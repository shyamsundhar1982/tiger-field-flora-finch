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0.xml" ContentType="application/vnd.openxmlformats-officedocument.spreadsheetml.table+xml"/>
  <Override PartName="/xl/worksheets/sheet25.xml" ContentType="application/vnd.openxmlformats-officedocument.spreadsheetml.worksheet+xml"/>
  <Override PartName="/xl/tables/table11.xml" ContentType="application/vnd.openxmlformats-officedocument.spreadsheetml.table+xml"/>
  <Override PartName="/xl/worksheets/sheet26.xml" ContentType="application/vnd.openxmlformats-officedocument.spreadsheetml.worksheet+xml"/>
  <Override PartName="/xl/tables/table12.xml" ContentType="application/vnd.openxmlformats-officedocument.spreadsheetml.table+xml"/>
  <Override PartName="/xl/worksheets/sheet27.xml" ContentType="application/vnd.openxmlformats-officedocument.spreadsheetml.worksheet+xml"/>
  <Override PartName="/xl/tables/table13.xml" ContentType="application/vnd.openxmlformats-officedocument.spreadsheetml.table+xml"/>
  <Override PartName="/xl/worksheets/sheet28.xml" ContentType="application/vnd.openxmlformats-officedocument.spreadsheetml.worksheet+xml"/>
  <Override PartName="/xl/tables/table14.xml" ContentType="application/vnd.openxmlformats-officedocument.spreadsheetml.table+xml"/>
  <Override PartName="/xl/worksheets/sheet29.xml" ContentType="application/vnd.openxmlformats-officedocument.spreadsheetml.worksheet+xml"/>
  <Override PartName="/xl/tables/table15.xml" ContentType="application/vnd.openxmlformats-officedocument.spreadsheetml.table+xml"/>
  <Override PartName="/xl/worksheets/sheet30.xml" ContentType="application/vnd.openxmlformats-officedocument.spreadsheetml.worksheet+xml"/>
  <Override PartName="/xl/tables/table16.xml" ContentType="application/vnd.openxmlformats-officedocument.spreadsheetml.table+xml"/>
  <Override PartName="/xl/worksheets/sheet31.xml" ContentType="application/vnd.openxmlformats-officedocument.spreadsheetml.worksheet+xml"/>
  <Override PartName="/xl/tables/table17.xml" ContentType="application/vnd.openxmlformats-officedocument.spreadsheetml.table+xml"/>
  <Override PartName="/xl/worksheets/sheet32.xml" ContentType="application/vnd.openxmlformats-officedocument.spreadsheetml.worksheet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Monthly Funding" sheetId="2" state="visible" r:id="rId2"/>
    <sheet xmlns:r="http://schemas.openxmlformats.org/officeDocument/2006/relationships" name="Monthly Materials" sheetId="3" state="visible" r:id="rId3"/>
    <sheet xmlns:r="http://schemas.openxmlformats.org/officeDocument/2006/relationships" name="Component Catalogue" sheetId="4" state="visible" r:id="rId4"/>
    <sheet xmlns:r="http://schemas.openxmlformats.org/officeDocument/2006/relationships" name="Inventory Movements" sheetId="5" state="visible" r:id="rId5"/>
    <sheet xmlns:r="http://schemas.openxmlformats.org/officeDocument/2006/relationships" name="Reservations" sheetId="6" state="visible" r:id="rId6"/>
    <sheet xmlns:r="http://schemas.openxmlformats.org/officeDocument/2006/relationships" name="Master Inventory" sheetId="7" state="visible" r:id="rId7"/>
    <sheet xmlns:r="http://schemas.openxmlformats.org/officeDocument/2006/relationships" name="BOM Mapping" sheetId="8" state="visible" r:id="rId8"/>
    <sheet xmlns:r="http://schemas.openxmlformats.org/officeDocument/2006/relationships" name="Sales Orders" sheetId="9" state="visible" r:id="rId9"/>
    <sheet xmlns:r="http://schemas.openxmlformats.org/officeDocument/2006/relationships" name="Job Cards" sheetId="10" state="visible" r:id="rId10"/>
    <sheet xmlns:r="http://schemas.openxmlformats.org/officeDocument/2006/relationships" name="Traveller" sheetId="11" state="visible" r:id="rId11"/>
    <sheet xmlns:r="http://schemas.openxmlformats.org/officeDocument/2006/relationships" name="Procurement Plan" sheetId="12" state="visible" r:id="rId12"/>
    <sheet xmlns:r="http://schemas.openxmlformats.org/officeDocument/2006/relationships" name="IBPE Control" sheetId="13" state="visible" r:id="rId13"/>
    <sheet xmlns:r="http://schemas.openxmlformats.org/officeDocument/2006/relationships" name="Audit Trail" sheetId="14" state="visible" r:id="rId14"/>
    <sheet xmlns:r="http://schemas.openxmlformats.org/officeDocument/2006/relationships" name="Control Dashboard" sheetId="15" state="visible" r:id="rId15"/>
    <sheet xmlns:r="http://schemas.openxmlformats.org/officeDocument/2006/relationships" name="Operating Cost Detail" sheetId="16" state="visible" r:id="rId16"/>
    <sheet xmlns:r="http://schemas.openxmlformats.org/officeDocument/2006/relationships" name="Manpower &amp; Salary" sheetId="17" state="visible" r:id="rId17"/>
    <sheet xmlns:r="http://schemas.openxmlformats.org/officeDocument/2006/relationships" name="Outsourcing Costs" sheetId="18" state="visible" r:id="rId18"/>
    <sheet xmlns:r="http://schemas.openxmlformats.org/officeDocument/2006/relationships" name="Office Equipment" sheetId="19" state="visible" r:id="rId19"/>
    <sheet xmlns:r="http://schemas.openxmlformats.org/officeDocument/2006/relationships" name="Monthly Operating Costs" sheetId="20" state="visible" r:id="rId20"/>
    <sheet xmlns:r="http://schemas.openxmlformats.org/officeDocument/2006/relationships" name="Job Material Req" sheetId="21" state="visible" r:id="rId21"/>
    <sheet xmlns:r="http://schemas.openxmlformats.org/officeDocument/2006/relationships" name="Repo Ledger Census" sheetId="22" state="visible" r:id="rId22"/>
    <sheet xmlns:r="http://schemas.openxmlformats.org/officeDocument/2006/relationships" name="MRP Cash Bridge" sheetId="23" state="visible" r:id="rId23"/>
    <sheet xmlns:r="http://schemas.openxmlformats.org/officeDocument/2006/relationships" name="Supplier Master" sheetId="24" state="visible" r:id="rId24"/>
    <sheet xmlns:r="http://schemas.openxmlformats.org/officeDocument/2006/relationships" name="Purchase Requisitions" sheetId="25" state="visible" r:id="rId25"/>
    <sheet xmlns:r="http://schemas.openxmlformats.org/officeDocument/2006/relationships" name="Purchase Orders" sheetId="26" state="visible" r:id="rId26"/>
    <sheet xmlns:r="http://schemas.openxmlformats.org/officeDocument/2006/relationships" name="Goods Receipts" sheetId="27" state="visible" r:id="rId27"/>
    <sheet xmlns:r="http://schemas.openxmlformats.org/officeDocument/2006/relationships" name="FIFO Layers" sheetId="28" state="visible" r:id="rId28"/>
    <sheet xmlns:r="http://schemas.openxmlformats.org/officeDocument/2006/relationships" name="FIFO Allocations" sheetId="29" state="visible" r:id="rId29"/>
    <sheet xmlns:r="http://schemas.openxmlformats.org/officeDocument/2006/relationships" name="Work Centre Master" sheetId="30" state="visible" r:id="rId30"/>
    <sheet xmlns:r="http://schemas.openxmlformats.org/officeDocument/2006/relationships" name="Capacity Planning" sheetId="31" state="visible" r:id="rId31"/>
    <sheet xmlns:r="http://schemas.openxmlformats.org/officeDocument/2006/relationships" name="Decision Register" sheetId="32" state="visible" r:id="rId32"/>
  </sheets>
  <definedNames/>
</workbook>
</file>

<file path=xl/styles.xml><?xml version="1.0" encoding="utf-8"?>
<styleSheet xmlns="http://schemas.openxmlformats.org/spreadsheetml/2006/main">
  <numFmts count="14">
    <numFmt numFmtId="164" formatCode="mmm\ yyyy"/>
    <numFmt numFmtId="165" formatCode="\₹0.00&quot;L&quot;"/>
    <numFmt numFmtId="166" formatCode="0.0%"/>
    <numFmt numFmtId="167" formatCode="\₹0.0&quot;L&quot;"/>
    <numFmt numFmtId="168" formatCode="\₹#,##0"/>
    <numFmt numFmtId="169" formatCode="#,#00"/>
    <numFmt numFmtId="170" formatCode="#,#00.0"/>
    <numFmt numFmtId="171" formatCode="\₹0.00;[Red]\(\₹0.00\);\-"/>
    <numFmt numFmtId="172" formatCode="\₹#,##0;[Red]\(\₹#,##0\);\-"/>
    <numFmt numFmtId="173" formatCode="yyyy\-mm\-dd\ hh:mm"/>
    <numFmt numFmtId="174" formatCode="yyyy\-mm\-dd"/>
    <numFmt numFmtId="175" formatCode="mmm\-yy"/>
    <numFmt numFmtId="176" formatCode="₹#,##0;[Red](₹#,##0);-"/>
    <numFmt numFmtId="177" formatCode="₹0.00;[Red](₹0.00);-"/>
  </numFmts>
  <fonts count="18">
    <font>
      <name val="Carlito"/>
      <sz val="11"/>
    </font>
    <font>
      <name val="Carlito"/>
      <b val="1"/>
      <color rgb="FFFFFFFF"/>
      <sz val="11"/>
    </font>
    <font>
      <name val="Aptos"/>
      <b val="1"/>
      <color rgb="FF1F2937"/>
      <sz val="10"/>
    </font>
    <font>
      <name val="Aptos"/>
      <color rgb="FF1F2937"/>
      <sz val="10"/>
    </font>
    <font>
      <name val="Aptos Display"/>
      <b val="1"/>
      <color rgb="FFFFFFFF"/>
      <sz val="10"/>
    </font>
    <font>
      <name val="Aptos Display"/>
      <color rgb="FFFFFFFF"/>
      <sz val="10"/>
    </font>
    <font>
      <name val="Aptos Display"/>
      <i val="1"/>
      <color rgb="FFFFFFFF"/>
      <sz val="10"/>
    </font>
    <font>
      <name val="Carlito"/>
      <b val="1"/>
      <color rgb="FFFFFFFF"/>
      <sz val="16"/>
    </font>
    <font>
      <name val="Carlito"/>
      <color rgb="FF0000FF"/>
      <sz val="11"/>
    </font>
    <font>
      <name val="Carlito"/>
      <color rgb="FF008000"/>
      <sz val="11"/>
    </font>
    <font>
      <name val="Carlito"/>
      <b val="1"/>
      <color rgb="FFFFFFFF"/>
      <sz val="15"/>
    </font>
    <font>
      <name val="Carlito"/>
      <color rgb="FF000000"/>
      <sz val="11"/>
    </font>
    <font>
      <name val="Carlito"/>
      <b val="1"/>
      <color rgb="FFFFFFFF"/>
      <sz val="14"/>
    </font>
    <font>
      <b val="1"/>
      <color rgb="00FFFFFF"/>
    </font>
    <font>
      <b val="1"/>
      <color rgb="00FFFFFF"/>
      <sz val="14"/>
    </font>
    <font>
      <i val="1"/>
      <color rgb="00374151"/>
    </font>
    <font>
      <b val="1"/>
      <color rgb="00FFFFFF"/>
      <sz val="12"/>
    </font>
    <font>
      <name val="Carlito"/>
      <color rgb="000000FF"/>
      <sz val="11"/>
    </font>
  </fonts>
  <fills count="19">
    <fill>
      <patternFill/>
    </fill>
    <fill>
      <patternFill patternType="gray125"/>
    </fill>
    <fill>
      <patternFill patternType="solid">
        <fgColor rgb="FF14213D"/>
      </patternFill>
    </fill>
    <fill>
      <patternFill patternType="solid">
        <fgColor rgb="FFF97316"/>
      </patternFill>
    </fill>
    <fill>
      <patternFill patternType="solid">
        <fgColor rgb="FFDBEAFE"/>
      </patternFill>
    </fill>
    <fill>
      <patternFill patternType="solid">
        <fgColor rgb="FFF7F9FC"/>
      </patternFill>
    </fill>
    <fill>
      <patternFill patternType="solid">
        <fgColor rgb="FF84CC16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00374151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32">
    <border/>
    <border>
      <left style="thin">
        <color rgb="FFD7DEE8"/>
      </left>
      <top style="thin">
        <color rgb="FFD7DEE8"/>
      </top>
      <bottom style="thin">
        <color rgb="FFD7DEE8"/>
      </bottom>
    </border>
    <border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D7DEE8"/>
      </left>
      <right style="thin">
        <color rgb="FFD7DEE8"/>
      </right>
      <top style="thin">
        <color rgb="FFD7DEE8"/>
      </top>
    </border>
    <border>
      <left style="thin">
        <color rgb="FFD7DEE8"/>
      </left>
      <right style="thin">
        <color rgb="FFD7DEE8"/>
      </right>
    </border>
    <border>
      <left style="thin">
        <color rgb="FFD7DEE8"/>
      </left>
      <right style="thin">
        <color rgb="FFD7DEE8"/>
      </right>
      <bottom style="thin">
        <color rgb="FFD7DEE8"/>
      </bottom>
    </border>
    <border>
      <top style="thin">
        <color rgb="FFD7DEE8"/>
      </top>
      <bottom style="thin">
        <color rgb="FFD7DEE8"/>
      </bottom>
    </border>
    <border>
      <left style="thin">
        <color rgb="FFD7DEE8"/>
      </left>
      <top style="thin">
        <color rgb="FFD7DEE8"/>
      </top>
    </border>
    <border>
      <top style="thin">
        <color rgb="FFD7DEE8"/>
      </top>
    </border>
    <border>
      <right style="thin">
        <color rgb="FFD7DEE8"/>
      </right>
      <top style="thin">
        <color rgb="FFD7DEE8"/>
      </top>
    </border>
    <border>
      <left style="thin">
        <color rgb="FFD7DEE8"/>
      </left>
    </border>
    <border>
      <right style="thin">
        <color rgb="FFD7DEE8"/>
      </right>
    </border>
    <border>
      <left style="thin">
        <color rgb="FFD7DEE8"/>
      </left>
      <bottom style="thin">
        <color rgb="FFD7DEE8"/>
      </bottom>
    </border>
    <border>
      <bottom style="thin">
        <color rgb="FFD7DEE8"/>
      </bottom>
    </border>
    <border>
      <right style="thin">
        <color rgb="FFD7DEE8"/>
      </right>
      <bottom style="thin">
        <color rgb="FFD7DEE8"/>
      </bottom>
    </border>
    <border>
      <bottom style="double">
        <color rgb="FF14213D"/>
      </bottom>
    </border>
    <border/>
    <border>
      <left style="thin">
        <color rgb="FFD7DEE8"/>
      </left>
      <top style="thin">
        <color rgb="FFD7DEE8"/>
      </top>
      <bottom style="thin">
        <color rgb="FFD7DEE8"/>
      </bottom>
    </border>
    <border>
      <right style="thin">
        <color rgb="FFD7DEE8"/>
      </right>
      <top style="thin">
        <color rgb="FFD7DEE8"/>
      </top>
      <bottom style="thin">
        <color rgb="FFD7DEE8"/>
      </bottom>
    </border>
    <border>
      <top style="thin">
        <color rgb="FFD7DEE8"/>
      </top>
      <bottom style="thin">
        <color rgb="FFD7DEE8"/>
      </bottom>
    </border>
    <border>
      <left style="thin">
        <color rgb="FFD7DEE8"/>
      </left>
      <right style="thin">
        <color rgb="FFD7DEE8"/>
      </right>
      <top style="thin">
        <color rgb="FFD7DEE8"/>
      </top>
    </border>
    <border>
      <left style="thin">
        <color rgb="FFD7DEE8"/>
      </left>
      <top style="thin">
        <color rgb="FFD7DEE8"/>
      </top>
    </border>
    <border>
      <top style="thin">
        <color rgb="FFD7DEE8"/>
      </top>
    </border>
    <border>
      <right style="thin">
        <color rgb="FFD7DEE8"/>
      </right>
      <top style="thin">
        <color rgb="FFD7DEE8"/>
      </top>
    </border>
    <border>
      <left style="thin">
        <color rgb="FFD7DEE8"/>
      </left>
      <right style="thin">
        <color rgb="FFD7DEE8"/>
      </right>
    </border>
    <border>
      <left style="thin">
        <color rgb="FFD7DEE8"/>
      </left>
    </border>
    <border>
      <right style="thin">
        <color rgb="FFD7DEE8"/>
      </right>
    </border>
    <border>
      <left style="thin">
        <color rgb="FFD7DEE8"/>
      </left>
      <bottom style="thin">
        <color rgb="FFD7DEE8"/>
      </bottom>
    </border>
    <border>
      <bottom style="thin">
        <color rgb="FFD7DEE8"/>
      </bottom>
    </border>
    <border>
      <right style="thin">
        <color rgb="FFD7DEE8"/>
      </right>
      <bottom style="thin">
        <color rgb="FFD7DEE8"/>
      </bottom>
    </border>
    <border>
      <left style="thin">
        <color rgb="FFD7DEE8"/>
      </left>
      <right style="thin">
        <color rgb="FFD7DEE8"/>
      </right>
      <bottom style="thin">
        <color rgb="FFD7DEE8"/>
      </bottom>
    </border>
    <border>
      <bottom style="double">
        <color rgb="FF14213D"/>
      </bottom>
    </border>
  </borders>
  <cellStyleXfs count="1">
    <xf numFmtId="0" fontId="0" fillId="0" borderId="16"/>
  </cellStyleXfs>
  <cellXfs count="2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164" fontId="3" fillId="4" borderId="3" pivotButton="0" quotePrefix="0" xfId="0"/>
    <xf numFmtId="9" fontId="3" fillId="4" borderId="7" pivotButton="0" quotePrefix="0" xfId="0"/>
    <xf numFmtId="165" fontId="3" fillId="4" borderId="8" pivotButton="0" quotePrefix="0" xfId="0"/>
    <xf numFmtId="0" fontId="3" fillId="4" borderId="9" pivotButton="0" quotePrefix="0" xfId="0"/>
    <xf numFmtId="0" fontId="3" fillId="4" borderId="4" pivotButton="0" quotePrefix="0" xfId="0"/>
    <xf numFmtId="9" fontId="3" fillId="4" borderId="10" pivotButton="0" quotePrefix="0" xfId="0"/>
    <xf numFmtId="165" fontId="3" fillId="4" borderId="0" pivotButton="0" quotePrefix="0" xfId="0"/>
    <xf numFmtId="0" fontId="3" fillId="4" borderId="11" pivotButton="0" quotePrefix="0" xfId="0"/>
    <xf numFmtId="9" fontId="3" fillId="4" borderId="12" pivotButton="0" quotePrefix="0" xfId="0"/>
    <xf numFmtId="165" fontId="3" fillId="4" borderId="13" pivotButton="0" quotePrefix="0" xfId="0"/>
    <xf numFmtId="0" fontId="3" fillId="4" borderId="14" pivotButton="0" quotePrefix="0" xfId="0"/>
    <xf numFmtId="166" fontId="3" fillId="4" borderId="4" pivotButton="0" quotePrefix="0" xfId="0"/>
    <xf numFmtId="9" fontId="3" fillId="0" borderId="0" pivotButton="0" quotePrefix="0" xfId="0"/>
    <xf numFmtId="167" fontId="3" fillId="4" borderId="4" pivotButton="0" quotePrefix="0" xfId="0"/>
    <xf numFmtId="167" fontId="3" fillId="4" borderId="5" pivotButton="0" quotePrefix="0" xfId="0"/>
    <xf numFmtId="0" fontId="3" fillId="4" borderId="7" pivotButton="0" quotePrefix="0" xfId="0"/>
    <xf numFmtId="167" fontId="3" fillId="4" borderId="8" pivotButton="0" quotePrefix="0" xfId="0"/>
    <xf numFmtId="0" fontId="3" fillId="4" borderId="10" pivotButton="0" quotePrefix="0" xfId="0"/>
    <xf numFmtId="167" fontId="3" fillId="4" borderId="0" pivotButton="0" quotePrefix="0" xfId="0"/>
    <xf numFmtId="0" fontId="3" fillId="4" borderId="12" pivotButton="0" quotePrefix="0" xfId="0"/>
    <xf numFmtId="167" fontId="3" fillId="4" borderId="13" pivotButton="0" quotePrefix="0" xfId="0"/>
    <xf numFmtId="167" fontId="3" fillId="0" borderId="0" pivotButton="0" quotePrefix="0" xfId="0"/>
    <xf numFmtId="0" fontId="3" fillId="4" borderId="8" pivotButton="0" quotePrefix="0" xfId="0"/>
    <xf numFmtId="168" fontId="3" fillId="4" borderId="9" pivotButton="0" quotePrefix="0" xfId="0"/>
    <xf numFmtId="0" fontId="3" fillId="0" borderId="0" applyAlignment="1" pivotButton="0" quotePrefix="0" xfId="0">
      <alignment wrapText="1"/>
    </xf>
    <xf numFmtId="0" fontId="3" fillId="4" borderId="0" pivotButton="0" quotePrefix="0" xfId="0"/>
    <xf numFmtId="168" fontId="3" fillId="4" borderId="11" pivotButton="0" quotePrefix="0" xfId="0"/>
    <xf numFmtId="0" fontId="3" fillId="4" borderId="13" pivotButton="0" quotePrefix="0" xfId="0"/>
    <xf numFmtId="168" fontId="3" fillId="4" borderId="14" pivotButton="0" quotePrefix="0" xfId="0"/>
    <xf numFmtId="0" fontId="3" fillId="4" borderId="3" pivotButton="0" quotePrefix="0" xfId="0"/>
    <xf numFmtId="167" fontId="3" fillId="4" borderId="9" pivotButton="0" quotePrefix="0" xfId="0"/>
    <xf numFmtId="167" fontId="3" fillId="4" borderId="11" pivotButton="0" quotePrefix="0" xfId="0"/>
    <xf numFmtId="167" fontId="3" fillId="4" borderId="14" pivotButton="0" quotePrefix="0" xfId="0"/>
    <xf numFmtId="0" fontId="3" fillId="5" borderId="0" applyAlignment="1" pivotButton="0" quotePrefix="0" xfId="0">
      <alignment wrapText="1"/>
    </xf>
    <xf numFmtId="0" fontId="3" fillId="4" borderId="5" pivotButton="0" quotePrefix="0" xfId="0"/>
    <xf numFmtId="165" fontId="3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169" fontId="3" fillId="5" borderId="0" pivotButton="0" quotePrefix="0" xfId="0"/>
    <xf numFmtId="165" fontId="3" fillId="5" borderId="0" pivotButton="0" quotePrefix="0" xfId="0"/>
    <xf numFmtId="0" fontId="2" fillId="6" borderId="15" pivotButton="0" quotePrefix="0" xfId="0"/>
    <xf numFmtId="169" fontId="2" fillId="6" borderId="15" pivotButton="0" quotePrefix="0" xfId="0"/>
    <xf numFmtId="165" fontId="2" fillId="6" borderId="15" pivotButton="0" quotePrefix="0" xfId="0"/>
    <xf numFmtId="170" fontId="3" fillId="5" borderId="0" pivotButton="0" quotePrefix="0" xfId="0"/>
    <xf numFmtId="168" fontId="3" fillId="5" borderId="0" pivotButton="0" quotePrefix="0" xfId="0"/>
    <xf numFmtId="170" fontId="2" fillId="6" borderId="15" pivotButton="0" quotePrefix="0" xfId="0"/>
    <xf numFmtId="168" fontId="2" fillId="6" borderId="15" pivotButton="0" quotePrefix="0" xfId="0"/>
    <xf numFmtId="0" fontId="1" fillId="8" borderId="0" applyAlignment="1" pivotButton="0" quotePrefix="0" xfId="0">
      <alignment horizontal="center" vertical="center" wrapText="1"/>
    </xf>
    <xf numFmtId="171" fontId="8" fillId="0" borderId="0" pivotButton="0" quotePrefix="0" xfId="0"/>
    <xf numFmtId="172" fontId="8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171" fontId="8" fillId="0" borderId="0" applyAlignment="1" pivotButton="0" quotePrefix="0" xfId="0">
      <alignment wrapText="1"/>
    </xf>
    <xf numFmtId="173" fontId="8" fillId="0" borderId="0" applyAlignment="1" pivotButton="0" quotePrefix="0" xfId="0">
      <alignment wrapText="1"/>
    </xf>
    <xf numFmtId="0" fontId="1" fillId="10" borderId="0" applyAlignment="1" pivotButton="0" quotePrefix="0" xfId="0">
      <alignment wrapText="1"/>
    </xf>
    <xf numFmtId="171" fontId="11" fillId="0" borderId="0" pivotButton="0" quotePrefix="0" xfId="0"/>
    <xf numFmtId="0" fontId="1" fillId="13" borderId="0" applyAlignment="1" pivotButton="0" quotePrefix="0" xfId="0">
      <alignment wrapText="1"/>
    </xf>
    <xf numFmtId="0" fontId="1" fillId="8" borderId="0" applyAlignment="1" pivotButton="0" quotePrefix="0" xfId="0">
      <alignment horizontal="center" vertical="center"/>
    </xf>
    <xf numFmtId="174" fontId="0" fillId="0" borderId="0" pivotButton="0" quotePrefix="0" xfId="0"/>
    <xf numFmtId="0" fontId="8" fillId="0" borderId="0" pivotButton="0" quotePrefix="0" xfId="0"/>
    <xf numFmtId="172" fontId="8" fillId="0" borderId="0" pivotButton="0" quotePrefix="0" xfId="0"/>
    <xf numFmtId="172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8" borderId="0" applyAlignment="1" pivotButton="0" quotePrefix="0" xfId="0">
      <alignment horizontal="center" vertical="top"/>
    </xf>
    <xf numFmtId="0" fontId="8" fillId="0" borderId="0" applyAlignment="1" pivotButton="0" quotePrefix="0" xfId="0">
      <alignment vertical="top"/>
    </xf>
    <xf numFmtId="174" fontId="8" fillId="0" borderId="0" pivotButton="0" quotePrefix="0" xfId="0"/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" fillId="10" borderId="0" pivotButton="0" quotePrefix="0" xfId="0"/>
    <xf numFmtId="0" fontId="1" fillId="13" borderId="0" pivotButton="0" quotePrefix="0" xfId="0"/>
    <xf numFmtId="0" fontId="0" fillId="0" borderId="0" applyAlignment="1" pivotButton="0" quotePrefix="0" xfId="0">
      <alignment horizontal="left"/>
    </xf>
    <xf numFmtId="0" fontId="1" fillId="8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/>
    </xf>
    <xf numFmtId="0" fontId="1" fillId="13" borderId="0" applyAlignment="1" pivotButton="0" quotePrefix="0" xfId="0">
      <alignment horizontal="left"/>
    </xf>
    <xf numFmtId="0" fontId="1" fillId="11" borderId="0" applyAlignment="1" pivotButton="0" quotePrefix="0" xfId="0">
      <alignment wrapText="1"/>
    </xf>
    <xf numFmtId="0" fontId="1" fillId="10" borderId="0" applyAlignment="1" pivotButton="0" quotePrefix="0" xfId="0">
      <alignment horizontal="center" vertical="center"/>
    </xf>
    <xf numFmtId="0" fontId="1" fillId="11" borderId="0" pivotButton="0" quotePrefix="0" xfId="0"/>
    <xf numFmtId="175" fontId="0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2" borderId="0" applyAlignment="1" pivotButton="0" quotePrefix="0" xfId="0">
      <alignment wrapText="1"/>
    </xf>
    <xf numFmtId="0" fontId="7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7" fillId="7" borderId="0" applyAlignment="1" pivotButton="0" quotePrefix="0" xfId="0">
      <alignment horizontal="left" vertical="top"/>
    </xf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10" fillId="12" borderId="0" pivotButton="0" quotePrefix="0" xfId="0"/>
    <xf numFmtId="0" fontId="0" fillId="0" borderId="16" pivotButton="0" quotePrefix="0" xfId="0"/>
    <xf numFmtId="0" fontId="0" fillId="0" borderId="16" applyAlignment="1" pivotButton="0" quotePrefix="0" xfId="0">
      <alignment wrapText="1"/>
    </xf>
    <xf numFmtId="0" fontId="3" fillId="0" borderId="16" pivotButton="0" quotePrefix="0" xfId="0"/>
    <xf numFmtId="0" fontId="2" fillId="3" borderId="17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center" vertical="center" wrapText="1"/>
    </xf>
    <xf numFmtId="164" fontId="3" fillId="4" borderId="20" pivotButton="0" quotePrefix="0" xfId="0"/>
    <xf numFmtId="9" fontId="3" fillId="4" borderId="21" pivotButton="0" quotePrefix="0" xfId="0"/>
    <xf numFmtId="165" fontId="3" fillId="4" borderId="22" pivotButton="0" quotePrefix="0" xfId="0"/>
    <xf numFmtId="0" fontId="3" fillId="4" borderId="23" pivotButton="0" quotePrefix="0" xfId="0"/>
    <xf numFmtId="0" fontId="3" fillId="4" borderId="24" pivotButton="0" quotePrefix="0" xfId="0"/>
    <xf numFmtId="9" fontId="3" fillId="4" borderId="25" pivotButton="0" quotePrefix="0" xfId="0"/>
    <xf numFmtId="165" fontId="3" fillId="4" borderId="16" pivotButton="0" quotePrefix="0" xfId="0"/>
    <xf numFmtId="0" fontId="3" fillId="4" borderId="26" pivotButton="0" quotePrefix="0" xfId="0"/>
    <xf numFmtId="9" fontId="3" fillId="4" borderId="27" pivotButton="0" quotePrefix="0" xfId="0"/>
    <xf numFmtId="165" fontId="3" fillId="4" borderId="28" pivotButton="0" quotePrefix="0" xfId="0"/>
    <xf numFmtId="0" fontId="3" fillId="4" borderId="29" pivotButton="0" quotePrefix="0" xfId="0"/>
    <xf numFmtId="166" fontId="3" fillId="4" borderId="24" pivotButton="0" quotePrefix="0" xfId="0"/>
    <xf numFmtId="9" fontId="3" fillId="0" borderId="16" pivotButton="0" quotePrefix="0" xfId="0"/>
    <xf numFmtId="167" fontId="3" fillId="4" borderId="24" pivotButton="0" quotePrefix="0" xfId="0"/>
    <xf numFmtId="167" fontId="3" fillId="4" borderId="30" pivotButton="0" quotePrefix="0" xfId="0"/>
    <xf numFmtId="0" fontId="3" fillId="4" borderId="21" pivotButton="0" quotePrefix="0" xfId="0"/>
    <xf numFmtId="167" fontId="3" fillId="4" borderId="22" pivotButton="0" quotePrefix="0" xfId="0"/>
    <xf numFmtId="0" fontId="3" fillId="4" borderId="25" pivotButton="0" quotePrefix="0" xfId="0"/>
    <xf numFmtId="167" fontId="3" fillId="4" borderId="16" pivotButton="0" quotePrefix="0" xfId="0"/>
    <xf numFmtId="0" fontId="3" fillId="4" borderId="27" pivotButton="0" quotePrefix="0" xfId="0"/>
    <xf numFmtId="167" fontId="3" fillId="4" borderId="28" pivotButton="0" quotePrefix="0" xfId="0"/>
    <xf numFmtId="167" fontId="3" fillId="0" borderId="16" pivotButton="0" quotePrefix="0" xfId="0"/>
    <xf numFmtId="0" fontId="3" fillId="4" borderId="22" pivotButton="0" quotePrefix="0" xfId="0"/>
    <xf numFmtId="168" fontId="3" fillId="4" borderId="23" pivotButton="0" quotePrefix="0" xfId="0"/>
    <xf numFmtId="0" fontId="3" fillId="0" borderId="16" applyAlignment="1" pivotButton="0" quotePrefix="0" xfId="0">
      <alignment wrapText="1"/>
    </xf>
    <xf numFmtId="0" fontId="3" fillId="4" borderId="16" pivotButton="0" quotePrefix="0" xfId="0"/>
    <xf numFmtId="168" fontId="3" fillId="4" borderId="26" pivotButton="0" quotePrefix="0" xfId="0"/>
    <xf numFmtId="0" fontId="3" fillId="4" borderId="28" pivotButton="0" quotePrefix="0" xfId="0"/>
    <xf numFmtId="168" fontId="3" fillId="4" borderId="29" pivotButton="0" quotePrefix="0" xfId="0"/>
    <xf numFmtId="0" fontId="3" fillId="4" borderId="20" pivotButton="0" quotePrefix="0" xfId="0"/>
    <xf numFmtId="167" fontId="3" fillId="4" borderId="23" pivotButton="0" quotePrefix="0" xfId="0"/>
    <xf numFmtId="167" fontId="3" fillId="4" borderId="26" pivotButton="0" quotePrefix="0" xfId="0"/>
    <xf numFmtId="167" fontId="3" fillId="4" borderId="29" pivotButton="0" quotePrefix="0" xfId="0"/>
    <xf numFmtId="0" fontId="3" fillId="5" borderId="16" applyAlignment="1" pivotButton="0" quotePrefix="0" xfId="0">
      <alignment wrapText="1"/>
    </xf>
    <xf numFmtId="0" fontId="3" fillId="4" borderId="30" pivotButton="0" quotePrefix="0" xfId="0"/>
    <xf numFmtId="165" fontId="3" fillId="0" borderId="16" pivotButton="0" quotePrefix="0" xfId="0"/>
    <xf numFmtId="0" fontId="3" fillId="5" borderId="16" pivotButton="0" quotePrefix="0" xfId="0"/>
    <xf numFmtId="164" fontId="3" fillId="5" borderId="16" pivotButton="0" quotePrefix="0" xfId="0"/>
    <xf numFmtId="169" fontId="3" fillId="5" borderId="16" pivotButton="0" quotePrefix="0" xfId="0"/>
    <xf numFmtId="165" fontId="3" fillId="5" borderId="16" pivotButton="0" quotePrefix="0" xfId="0"/>
    <xf numFmtId="0" fontId="2" fillId="6" borderId="31" pivotButton="0" quotePrefix="0" xfId="0"/>
    <xf numFmtId="169" fontId="2" fillId="6" borderId="31" pivotButton="0" quotePrefix="0" xfId="0"/>
    <xf numFmtId="165" fontId="2" fillId="6" borderId="31" pivotButton="0" quotePrefix="0" xfId="0"/>
    <xf numFmtId="170" fontId="3" fillId="5" borderId="16" pivotButton="0" quotePrefix="0" xfId="0"/>
    <xf numFmtId="168" fontId="3" fillId="5" borderId="16" pivotButton="0" quotePrefix="0" xfId="0"/>
    <xf numFmtId="170" fontId="2" fillId="6" borderId="31" pivotButton="0" quotePrefix="0" xfId="0"/>
    <xf numFmtId="168" fontId="2" fillId="6" borderId="31" pivotButton="0" quotePrefix="0" xfId="0"/>
    <xf numFmtId="0" fontId="1" fillId="8" borderId="16" applyAlignment="1" pivotButton="0" quotePrefix="0" xfId="0">
      <alignment horizontal="center" vertical="center" wrapText="1"/>
    </xf>
    <xf numFmtId="171" fontId="8" fillId="0" borderId="16" pivotButton="0" quotePrefix="0" xfId="0"/>
    <xf numFmtId="172" fontId="8" fillId="0" borderId="16" applyAlignment="1" pivotButton="0" quotePrefix="0" xfId="0">
      <alignment wrapText="1"/>
    </xf>
    <xf numFmtId="0" fontId="8" fillId="0" borderId="16" applyAlignment="1" pivotButton="0" quotePrefix="0" xfId="0">
      <alignment wrapText="1"/>
    </xf>
    <xf numFmtId="171" fontId="8" fillId="0" borderId="16" applyAlignment="1" pivotButton="0" quotePrefix="0" xfId="0">
      <alignment wrapText="1"/>
    </xf>
    <xf numFmtId="173" fontId="8" fillId="0" borderId="16" applyAlignment="1" pivotButton="0" quotePrefix="0" xfId="0">
      <alignment wrapText="1"/>
    </xf>
    <xf numFmtId="0" fontId="1" fillId="8" borderId="16" applyAlignment="1" pivotButton="0" quotePrefix="0" xfId="0">
      <alignment wrapText="1"/>
    </xf>
    <xf numFmtId="171" fontId="11" fillId="0" borderId="16" pivotButton="0" quotePrefix="0" xfId="0"/>
    <xf numFmtId="0" fontId="1" fillId="8" borderId="16" applyAlignment="1" pivotButton="0" quotePrefix="0" xfId="0">
      <alignment horizontal="center" vertical="center"/>
    </xf>
    <xf numFmtId="174" fontId="0" fillId="0" borderId="16" pivotButton="0" quotePrefix="0" xfId="0"/>
    <xf numFmtId="0" fontId="8" fillId="0" borderId="16" pivotButton="0" quotePrefix="0" xfId="0"/>
    <xf numFmtId="172" fontId="8" fillId="0" borderId="16" pivotButton="0" quotePrefix="0" xfId="0"/>
    <xf numFmtId="172" fontId="0" fillId="0" borderId="16" pivotButton="0" quotePrefix="0" xfId="0"/>
    <xf numFmtId="0" fontId="0" fillId="0" borderId="16" applyAlignment="1" pivotButton="0" quotePrefix="0" xfId="0">
      <alignment vertical="top"/>
    </xf>
    <xf numFmtId="0" fontId="1" fillId="8" borderId="16" applyAlignment="1" pivotButton="0" quotePrefix="0" xfId="0">
      <alignment horizontal="center" vertical="top"/>
    </xf>
    <xf numFmtId="0" fontId="8" fillId="0" borderId="16" applyAlignment="1" pivotButton="0" quotePrefix="0" xfId="0">
      <alignment vertical="top"/>
    </xf>
    <xf numFmtId="174" fontId="8" fillId="0" borderId="16" pivotButton="0" quotePrefix="0" xfId="0"/>
    <xf numFmtId="171" fontId="0" fillId="0" borderId="16" pivotButton="0" quotePrefix="0" xfId="0"/>
    <xf numFmtId="0" fontId="0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16" pivotButton="0" quotePrefix="0" xfId="0"/>
    <xf numFmtId="0" fontId="1" fillId="8" borderId="16" pivotButton="0" quotePrefix="0" xfId="0"/>
    <xf numFmtId="0" fontId="0" fillId="0" borderId="16" applyAlignment="1" pivotButton="0" quotePrefix="0" xfId="0">
      <alignment horizontal="left"/>
    </xf>
    <xf numFmtId="0" fontId="1" fillId="8" borderId="16" applyAlignment="1" pivotButton="0" quotePrefix="0" xfId="0">
      <alignment horizontal="left" vertical="center"/>
    </xf>
    <xf numFmtId="0" fontId="1" fillId="8" borderId="16" applyAlignment="1" pivotButton="0" quotePrefix="0" xfId="0">
      <alignment horizontal="left"/>
    </xf>
    <xf numFmtId="0" fontId="1" fillId="11" borderId="16" applyAlignment="1" pivotButton="0" quotePrefix="0" xfId="0">
      <alignment wrapText="1"/>
    </xf>
    <xf numFmtId="0" fontId="1" fillId="11" borderId="16" pivotButton="0" quotePrefix="0" xfId="0"/>
    <xf numFmtId="175" fontId="0" fillId="0" borderId="16" pivotButton="0" quotePrefix="0" xfId="0"/>
    <xf numFmtId="0" fontId="0" fillId="0" borderId="16" applyAlignment="1" pivotButton="0" quotePrefix="0" xfId="0">
      <alignment horizontal="center" vertical="center" wrapText="1"/>
    </xf>
    <xf numFmtId="0" fontId="7" fillId="7" borderId="16" applyAlignment="1" pivotButton="0" quotePrefix="0" xfId="0">
      <alignment horizontal="left" vertical="center"/>
    </xf>
    <xf numFmtId="0" fontId="4" fillId="2" borderId="16" applyAlignment="1" pivotButton="0" quotePrefix="0" xfId="0">
      <alignment vertical="center"/>
    </xf>
    <xf numFmtId="0" fontId="5" fillId="0" borderId="16" pivotButton="0" quotePrefix="0" xfId="0"/>
    <xf numFmtId="0" fontId="6" fillId="2" borderId="16" applyAlignment="1" pivotButton="0" quotePrefix="0" xfId="0">
      <alignment wrapText="1"/>
    </xf>
    <xf numFmtId="0" fontId="7" fillId="7" borderId="16" applyAlignment="1" pivotButton="0" quotePrefix="0" xfId="0">
      <alignment horizontal="left" vertical="center" wrapText="1"/>
    </xf>
    <xf numFmtId="0" fontId="7" fillId="7" borderId="16" applyAlignment="1" pivotButton="0" quotePrefix="0" xfId="0">
      <alignment horizontal="left" vertical="top"/>
    </xf>
    <xf numFmtId="0" fontId="10" fillId="7" borderId="16" pivotButton="0" quotePrefix="0" xfId="0"/>
    <xf numFmtId="0" fontId="10" fillId="7" borderId="16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14" borderId="0" applyAlignment="1" pivotButton="0" quotePrefix="0" xfId="0">
      <alignment horizontal="center" vertical="top"/>
    </xf>
    <xf numFmtId="0" fontId="0" fillId="14" borderId="0" pivotButton="0" quotePrefix="0" xfId="0"/>
    <xf numFmtId="0" fontId="1" fillId="14" borderId="0" pivotButton="0" quotePrefix="0" xfId="0"/>
    <xf numFmtId="0" fontId="1" fillId="14" borderId="0" applyAlignment="1" pivotButton="0" quotePrefix="0" xfId="0">
      <alignment horizontal="center" vertical="top" wrapText="1"/>
    </xf>
    <xf numFmtId="0" fontId="1" fillId="14" borderId="0" applyAlignment="1" pivotButton="0" quotePrefix="0" xfId="0">
      <alignment wrapText="1"/>
    </xf>
    <xf numFmtId="0" fontId="1" fillId="14" borderId="16" applyAlignment="1" pivotButton="0" quotePrefix="0" xfId="0">
      <alignment horizontal="center" vertical="top"/>
    </xf>
    <xf numFmtId="0" fontId="0" fillId="14" borderId="16" pivotButton="0" quotePrefix="0" xfId="0"/>
    <xf numFmtId="0" fontId="1" fillId="14" borderId="16" pivotButton="0" quotePrefix="0" xfId="0"/>
    <xf numFmtId="0" fontId="1" fillId="14" borderId="16" applyAlignment="1" pivotButton="0" quotePrefix="0" xfId="0">
      <alignment horizontal="center" vertical="top" wrapText="1"/>
    </xf>
    <xf numFmtId="0" fontId="1" fillId="14" borderId="16" applyAlignment="1" pivotButton="0" quotePrefix="0" xfId="0">
      <alignment wrapText="1"/>
    </xf>
    <xf numFmtId="0" fontId="1" fillId="14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wrapText="1"/>
    </xf>
    <xf numFmtId="0" fontId="1" fillId="14" borderId="16" applyAlignment="1" pivotButton="0" quotePrefix="0" xfId="0">
      <alignment horizontal="center" vertical="center" wrapText="1"/>
    </xf>
    <xf numFmtId="0" fontId="0" fillId="14" borderId="16" applyAlignment="1" pivotButton="0" quotePrefix="0" xfId="0">
      <alignment wrapText="1"/>
    </xf>
    <xf numFmtId="0" fontId="0" fillId="15" borderId="0" pivotButton="0" quotePrefix="0" xfId="0"/>
    <xf numFmtId="0" fontId="12" fillId="15" borderId="0" pivotButton="0" quotePrefix="0" xfId="0"/>
    <xf numFmtId="0" fontId="0" fillId="15" borderId="16" pivotButton="0" quotePrefix="0" xfId="0"/>
    <xf numFmtId="0" fontId="12" fillId="15" borderId="16" pivotButton="0" quotePrefix="0" xfId="0"/>
    <xf numFmtId="17" fontId="0" fillId="0" borderId="0" pivotButton="0" quotePrefix="0" xfId="0"/>
    <xf numFmtId="17" fontId="0" fillId="0" borderId="16" pivotButton="0" quotePrefix="0" xfId="0"/>
    <xf numFmtId="176" fontId="0" fillId="0" borderId="0" pivotButton="0" quotePrefix="0" xfId="0"/>
    <xf numFmtId="176" fontId="0" fillId="0" borderId="16" pivotButton="0" quotePrefix="0" xfId="0"/>
    <xf numFmtId="165" fontId="3" fillId="4" borderId="8" pivotButton="0" quotePrefix="0" xfId="0"/>
    <xf numFmtId="165" fontId="3" fillId="4" borderId="0" pivotButton="0" quotePrefix="0" xfId="0"/>
    <xf numFmtId="165" fontId="3" fillId="4" borderId="13" pivotButton="0" quotePrefix="0" xfId="0"/>
    <xf numFmtId="166" fontId="3" fillId="4" borderId="4" pivotButton="0" quotePrefix="0" xfId="0"/>
    <xf numFmtId="167" fontId="3" fillId="4" borderId="4" pivotButton="0" quotePrefix="0" xfId="0"/>
    <xf numFmtId="167" fontId="3" fillId="4" borderId="5" pivotButton="0" quotePrefix="0" xfId="0"/>
    <xf numFmtId="167" fontId="3" fillId="4" borderId="8" pivotButton="0" quotePrefix="0" xfId="0"/>
    <xf numFmtId="167" fontId="3" fillId="4" borderId="0" pivotButton="0" quotePrefix="0" xfId="0"/>
    <xf numFmtId="167" fontId="3" fillId="4" borderId="13" pivotButton="0" quotePrefix="0" xfId="0"/>
    <xf numFmtId="167" fontId="3" fillId="0" borderId="0" pivotButton="0" quotePrefix="0" xfId="0"/>
    <xf numFmtId="167" fontId="3" fillId="4" borderId="9" pivotButton="0" quotePrefix="0" xfId="0"/>
    <xf numFmtId="167" fontId="3" fillId="4" borderId="11" pivotButton="0" quotePrefix="0" xfId="0"/>
    <xf numFmtId="167" fontId="3" fillId="4" borderId="14" pivotButton="0" quotePrefix="0" xfId="0"/>
    <xf numFmtId="165" fontId="3" fillId="0" borderId="0" pivotButton="0" quotePrefix="0" xfId="0"/>
    <xf numFmtId="169" fontId="3" fillId="5" borderId="0" pivotButton="0" quotePrefix="0" xfId="0"/>
    <xf numFmtId="165" fontId="3" fillId="5" borderId="0" pivotButton="0" quotePrefix="0" xfId="0"/>
    <xf numFmtId="169" fontId="2" fillId="6" borderId="15" pivotButton="0" quotePrefix="0" xfId="0"/>
    <xf numFmtId="165" fontId="2" fillId="6" borderId="15" pivotButton="0" quotePrefix="0" xfId="0"/>
    <xf numFmtId="170" fontId="3" fillId="5" borderId="0" pivotButton="0" quotePrefix="0" xfId="0"/>
    <xf numFmtId="170" fontId="2" fillId="6" borderId="15" pivotButton="0" quotePrefix="0" xfId="0"/>
    <xf numFmtId="0" fontId="13" fillId="16" borderId="0" applyAlignment="1" pivotButton="0" quotePrefix="0" xfId="0">
      <alignment vertical="center" wrapText="1"/>
    </xf>
    <xf numFmtId="172" fontId="8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74" fontId="0" fillId="0" borderId="0" pivotButton="0" quotePrefix="0" xfId="0"/>
    <xf numFmtId="172" fontId="8" fillId="0" borderId="0" pivotButton="0" quotePrefix="0" xfId="0"/>
    <xf numFmtId="172" fontId="0" fillId="0" borderId="0" pivotButton="0" quotePrefix="0" xfId="0"/>
    <xf numFmtId="174" fontId="8" fillId="0" borderId="0" pivotButton="0" quotePrefix="0" xfId="0"/>
    <xf numFmtId="171" fontId="8" fillId="0" borderId="0" pivotButton="0" quotePrefix="0" xfId="0"/>
    <xf numFmtId="171" fontId="0" fillId="0" borderId="0" pivotButton="0" quotePrefix="0" xfId="0"/>
    <xf numFmtId="173" fontId="8" fillId="0" borderId="0" applyAlignment="1" pivotButton="0" quotePrefix="0" xfId="0">
      <alignment wrapText="1"/>
    </xf>
    <xf numFmtId="0" fontId="16" fillId="17" borderId="16" pivotButton="0" quotePrefix="0" xfId="0"/>
    <xf numFmtId="0" fontId="10" fillId="9" borderId="16" pivotButton="0" quotePrefix="0" xfId="0"/>
    <xf numFmtId="171" fontId="11" fillId="0" borderId="0" pivotButton="0" quotePrefix="0" xfId="0"/>
    <xf numFmtId="0" fontId="10" fillId="9" borderId="16" applyAlignment="1" pivotButton="0" quotePrefix="0" xfId="0">
      <alignment wrapText="1"/>
    </xf>
    <xf numFmtId="171" fontId="8" fillId="0" borderId="0" applyAlignment="1" pivotButton="0" quotePrefix="0" xfId="0">
      <alignment wrapText="1"/>
    </xf>
    <xf numFmtId="0" fontId="10" fillId="12" borderId="16" pivotButton="0" quotePrefix="0" xfId="0"/>
    <xf numFmtId="17" fontId="0" fillId="0" borderId="0" pivotButton="0" quotePrefix="0" xfId="0"/>
    <xf numFmtId="176" fontId="0" fillId="0" borderId="0" pivotButton="0" quotePrefix="0" xfId="0"/>
    <xf numFmtId="0" fontId="14" fillId="17" borderId="16" applyAlignment="1" pivotButton="0" quotePrefix="0" xfId="0">
      <alignment vertical="center" wrapText="1"/>
    </xf>
    <xf numFmtId="0" fontId="15" fillId="18" borderId="16" applyAlignment="1" pivotButton="0" quotePrefix="0" xfId="0">
      <alignment wrapText="1"/>
    </xf>
    <xf numFmtId="0" fontId="17" fillId="0" borderId="0" pivotButton="0" quotePrefix="0" xfId="0"/>
    <xf numFmtId="166" fontId="17" fillId="0" borderId="0" pivotButton="0" quotePrefix="0" xfId="0"/>
    <xf numFmtId="166" fontId="0" fillId="0" borderId="0" pivotButton="0" quotePrefix="0" xfId="0"/>
    <xf numFmtId="177" fontId="17" fillId="0" borderId="0" pivotButton="0" quotePrefix="0" xfId="0"/>
  </cellXfs>
  <cellStyles count="1">
    <cellStyle name="Normal" xfId="0"/>
  </cellStyles>
  <dxfs count="16"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D9EAD3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00B91C1C"/>
      </font>
      <fill>
        <patternFill patternType="solid">
          <fgColor rgb="00FECACA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36-Month Funding &amp; Cash Profile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Date</v>
          </tx>
          <spPr>
            <a:ln xmlns:a="http://schemas.openxmlformats.org/drawingml/2006/main">
              <a:prstDash val="solid"/>
            </a:ln>
          </spPr>
          <invertIfNegative val="0"/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lineChart>
        <grouping val="standard"/>
        <varyColors val="0"/>
        <ser>
          <idx val="1"/>
          <order val="1"/>
          <tx>
            <v>Units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Funding'!$C$6:$C$41</f>
              <numCache>
                <formatCode>#,#00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3</v>
                </pt>
                <pt idx="14">
                  <v>3</v>
                </pt>
                <pt idx="15">
                  <v>4</v>
                </pt>
                <pt idx="16">
                  <v>4</v>
                </pt>
                <pt idx="17">
                  <v>5</v>
                </pt>
                <pt idx="18">
                  <v>5</v>
                </pt>
                <pt idx="19">
                  <v>6</v>
                </pt>
                <pt idx="20">
                  <v>6</v>
                </pt>
                <pt idx="21">
                  <v>8</v>
                </pt>
                <pt idx="22">
                  <v>8</v>
                </pt>
                <pt idx="23">
                  <v>10</v>
                </pt>
                <pt idx="24">
                  <v>10</v>
                </pt>
                <pt idx="25">
                  <v>12</v>
                </pt>
                <pt idx="26">
                  <v>12</v>
                </pt>
                <pt idx="27">
                  <v>14</v>
                </pt>
                <pt idx="28">
                  <v>14</v>
                </pt>
                <pt idx="29">
                  <v>16</v>
                </pt>
                <pt idx="30">
                  <v>16</v>
                </pt>
                <pt idx="31">
                  <v>18</v>
                </pt>
                <pt idx="32">
                  <v>18</v>
                </pt>
                <pt idx="33">
                  <v>20</v>
                </pt>
                <pt idx="34">
                  <v>20</v>
                </pt>
                <pt idx="35">
                  <v>22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lineChart>
        <grouping val="standard"/>
        <varyColors val="0"/>
        <ser>
          <idx val="2"/>
          <order val="2"/>
          <tx>
            <v>Opex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Funding'!$D$6:$D$41</f>
              <numCache>
                <formatCode>\₹0.00"L"</formatCode>
                <ptCount val="36"/>
                <pt idx="0">
                  <v>2.8</v>
                </pt>
                <pt idx="1">
                  <v>2.8</v>
                </pt>
                <pt idx="2">
                  <v>2.8</v>
                </pt>
                <pt idx="3">
                  <v>4.2</v>
                </pt>
                <pt idx="4">
                  <v>4.2</v>
                </pt>
                <pt idx="5">
                  <v>4.2</v>
                </pt>
                <pt idx="6">
                  <v>4.2</v>
                </pt>
                <pt idx="7">
                  <v>4.2</v>
                </pt>
                <pt idx="8">
                  <v>6</v>
                </pt>
                <pt idx="9">
                  <v>6</v>
                </pt>
                <pt idx="10">
                  <v>6</v>
                </pt>
                <pt idx="11">
                  <v>7.8</v>
                </pt>
                <pt idx="12">
                  <v>7.8</v>
                </pt>
                <pt idx="13">
                  <v>7.8</v>
                </pt>
                <pt idx="14">
                  <v>9.199999999999999</v>
                </pt>
                <pt idx="15">
                  <v>9.199999999999999</v>
                </pt>
                <pt idx="16">
                  <v>9.199999999999999</v>
                </pt>
                <pt idx="17">
                  <v>9.199999999999999</v>
                </pt>
                <pt idx="18">
                  <v>9.199999999999999</v>
                </pt>
                <pt idx="19">
                  <v>9.199999999999999</v>
                </pt>
                <pt idx="20">
                  <v>9.199999999999999</v>
                </pt>
                <pt idx="21">
                  <v>9.199999999999999</v>
                </pt>
                <pt idx="22">
                  <v>9.199999999999999</v>
                </pt>
                <pt idx="23">
                  <v>9.199999999999999</v>
                </pt>
                <pt idx="24">
                  <v>9.199999999999999</v>
                </pt>
                <pt idx="25">
                  <v>9.199999999999999</v>
                </pt>
                <pt idx="26">
                  <v>9.199999999999999</v>
                </pt>
                <pt idx="27">
                  <v>9.199999999999999</v>
                </pt>
                <pt idx="28">
                  <v>9.199999999999999</v>
                </pt>
                <pt idx="29">
                  <v>9.199999999999999</v>
                </pt>
                <pt idx="30">
                  <v>9.199999999999999</v>
                </pt>
                <pt idx="31">
                  <v>9.199999999999999</v>
                </pt>
                <pt idx="32">
                  <v>9.199999999999999</v>
                </pt>
                <pt idx="33">
                  <v>9.199999999999999</v>
                </pt>
                <pt idx="34">
                  <v>9.199999999999999</v>
                </pt>
                <pt idx="35">
                  <v>9.199999999999999</v>
                </pt>
              </numCache>
            </numRef>
          </val>
          <smooth val="0"/>
        </ser>
        <ser>
          <idx val="3"/>
          <order val="3"/>
          <tx>
            <v>Capex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Funding'!$E$6:$E$41</f>
              <numCache>
                <formatCode>\₹0.00"L"</formatCode>
                <ptCount val="36"/>
                <pt idx="0">
                  <v>0</v>
                </pt>
                <pt idx="1">
                  <v>0</v>
                </pt>
                <pt idx="2">
                  <v>4</v>
                </pt>
                <pt idx="3">
                  <v>0</v>
                </pt>
                <pt idx="4">
                  <v>8</v>
                </pt>
                <pt idx="5">
                  <v>6</v>
                </pt>
                <pt idx="6">
                  <v>5.5</v>
                </pt>
                <pt idx="7">
                  <v>10</v>
                </pt>
                <pt idx="8">
                  <v>0</v>
                </pt>
                <pt idx="9">
                  <v>28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ser>
          <idx val="4"/>
          <order val="4"/>
          <tx>
            <v>Materials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Funding'!$F$6:$F$41</f>
              <numCache>
                <formatCode>\₹0.00"L"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</v>
                </pt>
                <pt idx="14">
                  <v>6</v>
                </pt>
                <pt idx="15">
                  <v>7.95</v>
                </pt>
                <pt idx="16">
                  <v>7.95</v>
                </pt>
                <pt idx="17">
                  <v>9.85</v>
                </pt>
                <pt idx="18">
                  <v>9.85</v>
                </pt>
                <pt idx="19">
                  <v>11.76</v>
                </pt>
                <pt idx="20">
                  <v>11.76</v>
                </pt>
                <pt idx="21">
                  <v>15.85</v>
                </pt>
                <pt idx="22">
                  <v>15.85</v>
                </pt>
                <pt idx="23">
                  <v>19.71</v>
                </pt>
                <pt idx="24">
                  <v>19.71</v>
                </pt>
                <pt idx="25">
                  <v>23.56</v>
                </pt>
                <pt idx="26">
                  <v>23.56</v>
                </pt>
                <pt idx="27">
                  <v>27.65</v>
                </pt>
                <pt idx="28">
                  <v>27.65</v>
                </pt>
                <pt idx="29">
                  <v>31.47</v>
                </pt>
                <pt idx="30">
                  <v>31.47</v>
                </pt>
                <pt idx="31">
                  <v>35.56</v>
                </pt>
                <pt idx="32">
                  <v>35.56</v>
                </pt>
                <pt idx="33">
                  <v>39.41</v>
                </pt>
                <pt idx="34">
                  <v>39.41</v>
                </pt>
                <pt idx="35">
                  <v>43.27</v>
                </pt>
              </numCache>
            </numRef>
          </val>
          <smooth val="0"/>
        </ser>
        <ser>
          <idx val="5"/>
          <order val="5"/>
          <tx>
            <v>Planned revenue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Funding'!$G$6:$G$41</f>
              <numCache>
                <formatCode>\₹0.00"L"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5.75</v>
                </pt>
                <pt idx="14">
                  <v>5.75</v>
                </pt>
                <pt idx="15">
                  <v>9.25</v>
                </pt>
                <pt idx="16">
                  <v>9.25</v>
                </pt>
                <pt idx="17">
                  <v>11.5</v>
                </pt>
                <pt idx="18">
                  <v>11.5</v>
                </pt>
                <pt idx="19">
                  <v>13.75</v>
                </pt>
                <pt idx="20">
                  <v>13.75</v>
                </pt>
                <pt idx="21">
                  <v>17.25</v>
                </pt>
                <pt idx="22">
                  <v>17.25</v>
                </pt>
                <pt idx="23">
                  <v>23</v>
                </pt>
                <pt idx="24">
                  <v>23</v>
                </pt>
                <pt idx="25">
                  <v>28.75</v>
                </pt>
                <pt idx="26">
                  <v>28.75</v>
                </pt>
                <pt idx="27">
                  <v>32.25</v>
                </pt>
                <pt idx="28">
                  <v>32.25</v>
                </pt>
                <pt idx="29">
                  <v>36.75</v>
                </pt>
                <pt idx="30">
                  <v>36.75</v>
                </pt>
                <pt idx="31">
                  <v>40.25</v>
                </pt>
                <pt idx="32">
                  <v>40.25</v>
                </pt>
                <pt idx="33">
                  <v>46</v>
                </pt>
                <pt idx="34">
                  <v>46</v>
                </pt>
                <pt idx="35">
                  <v>51.75</v>
                </pt>
              </numCache>
            </numRef>
          </val>
          <smooth val="0"/>
        </ser>
        <ser>
          <idx val="6"/>
          <order val="6"/>
          <tx>
            <v>Assumed cash inflow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Funding'!$H$6:$H$41</f>
              <numCache>
                <formatCode>\₹0.00"L"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4.6</v>
                </pt>
                <pt idx="14">
                  <v>4.6</v>
                </pt>
                <pt idx="15">
                  <v>7.4</v>
                </pt>
                <pt idx="16">
                  <v>7.4</v>
                </pt>
                <pt idx="17">
                  <v>9.199999999999999</v>
                </pt>
                <pt idx="18">
                  <v>9.199999999999999</v>
                </pt>
                <pt idx="19">
                  <v>11</v>
                </pt>
                <pt idx="20">
                  <v>11</v>
                </pt>
                <pt idx="21">
                  <v>13.8</v>
                </pt>
                <pt idx="22">
                  <v>13.8</v>
                </pt>
                <pt idx="23">
                  <v>18.4</v>
                </pt>
                <pt idx="24">
                  <v>18.4</v>
                </pt>
                <pt idx="25">
                  <v>23</v>
                </pt>
                <pt idx="26">
                  <v>23</v>
                </pt>
                <pt idx="27">
                  <v>25.8</v>
                </pt>
                <pt idx="28">
                  <v>25.8</v>
                </pt>
                <pt idx="29">
                  <v>29.4</v>
                </pt>
                <pt idx="30">
                  <v>29.4</v>
                </pt>
                <pt idx="31">
                  <v>32.2</v>
                </pt>
                <pt idx="32">
                  <v>32.2</v>
                </pt>
                <pt idx="33">
                  <v>36.8</v>
                </pt>
                <pt idx="34">
                  <v>36.8</v>
                </pt>
                <pt idx="35">
                  <v>41.4</v>
                </pt>
              </numCache>
            </numRef>
          </val>
          <smooth val="0"/>
        </ser>
        <ser>
          <idx val="7"/>
          <order val="7"/>
          <tx>
            <v>Core funding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Funding'!$I$6:$I$41</f>
              <numCache>
                <formatCode>\₹0.00"L"</formatCode>
                <ptCount val="36"/>
                <pt idx="0">
                  <v>15</v>
                </pt>
                <pt idx="1">
                  <v>0</v>
                </pt>
                <pt idx="2">
                  <v>35</v>
                </pt>
                <pt idx="3">
                  <v>0</v>
                </pt>
                <pt idx="4">
                  <v>0</v>
                </pt>
                <pt idx="5">
                  <v>35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50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65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ser>
          <idx val="8"/>
          <order val="8"/>
          <tx>
            <v>Standby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Funding'!$J$6:$J$41</f>
              <numCache>
                <formatCode>\₹0.00"L"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25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</numCache>
            </numRef>
          </val>
          <smooth val="0"/>
        </ser>
        <ser>
          <idx val="9"/>
          <order val="9"/>
          <tx>
            <v>Opening cash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Funding'!$K$6:$K$41</f>
              <numCache>
                <formatCode>\₹0.00"L"</formatCode>
                <ptCount val="36"/>
                <pt idx="0">
                  <v>1</v>
                </pt>
                <pt idx="1">
                  <v>15</v>
                </pt>
                <pt idx="2">
                  <v>15</v>
                </pt>
                <pt idx="3">
                  <v>43.2</v>
                </pt>
                <pt idx="4">
                  <v>39</v>
                </pt>
                <pt idx="5">
                  <v>26.8</v>
                </pt>
                <pt idx="6">
                  <v>51.6</v>
                </pt>
                <pt idx="7">
                  <v>41.9</v>
                </pt>
                <pt idx="8">
                  <v>27.7</v>
                </pt>
                <pt idx="9">
                  <v>46.7</v>
                </pt>
                <pt idx="10">
                  <v>62.7</v>
                </pt>
                <pt idx="11">
                  <v>56.7</v>
                </pt>
                <pt idx="12">
                  <v>48.9</v>
                </pt>
                <pt idx="13">
                  <v>41.1</v>
                </pt>
                <pt idx="14">
                  <v>96.90000000000001</v>
                </pt>
                <pt idx="15">
                  <v>86.3</v>
                </pt>
                <pt idx="16">
                  <v>76.55</v>
                </pt>
                <pt idx="17">
                  <v>66.8</v>
                </pt>
                <pt idx="18">
                  <v>56.95</v>
                </pt>
                <pt idx="19">
                  <v>47.1</v>
                </pt>
                <pt idx="20">
                  <v>37.14</v>
                </pt>
                <pt idx="21">
                  <v>27.18</v>
                </pt>
                <pt idx="22">
                  <v>15.93</v>
                </pt>
                <pt idx="23">
                  <v>15</v>
                </pt>
                <pt idx="24">
                  <v>15</v>
                </pt>
                <pt idx="25">
                  <v>15</v>
                </pt>
                <pt idx="26">
                  <v>15</v>
                </pt>
                <pt idx="27">
                  <v>15</v>
                </pt>
                <pt idx="28">
                  <v>15</v>
                </pt>
                <pt idx="29">
                  <v>15</v>
                </pt>
                <pt idx="30">
                  <v>15</v>
                </pt>
                <pt idx="31">
                  <v>15</v>
                </pt>
                <pt idx="32">
                  <v>15</v>
                </pt>
                <pt idx="33">
                  <v>15</v>
                </pt>
                <pt idx="34">
                  <v>15</v>
                </pt>
                <pt idx="35">
                  <v>15</v>
                </pt>
              </numCache>
            </numRef>
          </val>
          <smooth val="0"/>
        </ser>
        <ser>
          <idx val="10"/>
          <order val="10"/>
          <tx>
            <v>Pre-extra cash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Funding'!$L$6:$L$41</f>
              <numCache>
                <formatCode>\₹0.00"L"</formatCode>
                <ptCount val="36"/>
                <pt idx="0">
                  <v>13.2</v>
                </pt>
                <pt idx="1">
                  <v>12.2</v>
                </pt>
                <pt idx="2">
                  <v>43.2</v>
                </pt>
                <pt idx="3">
                  <v>39</v>
                </pt>
                <pt idx="4">
                  <v>26.8</v>
                </pt>
                <pt idx="5">
                  <v>51.6</v>
                </pt>
                <pt idx="6">
                  <v>41.9</v>
                </pt>
                <pt idx="7">
                  <v>27.7</v>
                </pt>
                <pt idx="8">
                  <v>46.7</v>
                </pt>
                <pt idx="9">
                  <v>62.7</v>
                </pt>
                <pt idx="10">
                  <v>56.7</v>
                </pt>
                <pt idx="11">
                  <v>48.9</v>
                </pt>
                <pt idx="12">
                  <v>41.1</v>
                </pt>
                <pt idx="13">
                  <v>96.90000000000001</v>
                </pt>
                <pt idx="14">
                  <v>86.3</v>
                </pt>
                <pt idx="15">
                  <v>76.55</v>
                </pt>
                <pt idx="16">
                  <v>66.8</v>
                </pt>
                <pt idx="17">
                  <v>56.95</v>
                </pt>
                <pt idx="18">
                  <v>47.1</v>
                </pt>
                <pt idx="19">
                  <v>37.14</v>
                </pt>
                <pt idx="20">
                  <v>27.18</v>
                </pt>
                <pt idx="21">
                  <v>15.93</v>
                </pt>
                <pt idx="22">
                  <v>4.68</v>
                </pt>
                <pt idx="23">
                  <v>4.49</v>
                </pt>
                <pt idx="24">
                  <v>4.49</v>
                </pt>
                <pt idx="25">
                  <v>5.24</v>
                </pt>
                <pt idx="26">
                  <v>5.24</v>
                </pt>
                <pt idx="27">
                  <v>3.95</v>
                </pt>
                <pt idx="28">
                  <v>3.95</v>
                </pt>
                <pt idx="29">
                  <v>3.73</v>
                </pt>
                <pt idx="30">
                  <v>3.73</v>
                </pt>
                <pt idx="31">
                  <v>2.44</v>
                </pt>
                <pt idx="32">
                  <v>2.44</v>
                </pt>
                <pt idx="33">
                  <v>3.19</v>
                </pt>
                <pt idx="34">
                  <v>3.19</v>
                </pt>
                <pt idx="35">
                  <v>3.93</v>
                </pt>
              </numCache>
            </numRef>
          </val>
          <smooth val="0"/>
        </ser>
        <ser>
          <idx val="11"/>
          <order val="11"/>
          <tx>
            <v>Additional fund required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Funding'!$M$6:$M$41</f>
              <numCache>
                <formatCode>\₹0.00"L"</formatCode>
                <ptCount val="36"/>
                <pt idx="0">
                  <v>1.8</v>
                </pt>
                <pt idx="1">
                  <v>2.8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10.32</v>
                </pt>
                <pt idx="23">
                  <v>10.51</v>
                </pt>
                <pt idx="24">
                  <v>10.51</v>
                </pt>
                <pt idx="25">
                  <v>9.76</v>
                </pt>
                <pt idx="26">
                  <v>9.76</v>
                </pt>
                <pt idx="27">
                  <v>11.05</v>
                </pt>
                <pt idx="28">
                  <v>11.05</v>
                </pt>
                <pt idx="29">
                  <v>11.27</v>
                </pt>
                <pt idx="30">
                  <v>11.27</v>
                </pt>
                <pt idx="31">
                  <v>12.56</v>
                </pt>
                <pt idx="32">
                  <v>12.56</v>
                </pt>
                <pt idx="33">
                  <v>11.81</v>
                </pt>
                <pt idx="34">
                  <v>11.81</v>
                </pt>
                <pt idx="35">
                  <v>11.07</v>
                </pt>
              </numCache>
            </numRef>
          </val>
          <smooth val="0"/>
        </ser>
        <ser>
          <idx val="12"/>
          <order val="12"/>
          <tx>
            <v>Closing cash ₹L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Funding'!$B$6:$B$41</f>
              <numCache>
                <formatCode>mmm\ yyyy</formatCode>
                <ptCount val="36"/>
                <pt idx="0">
                  <v>46266</v>
                </pt>
                <pt idx="1">
                  <v>46296</v>
                </pt>
                <pt idx="2">
                  <v>46327</v>
                </pt>
                <pt idx="3">
                  <v>46357</v>
                </pt>
                <pt idx="4">
                  <v>46388</v>
                </pt>
                <pt idx="5">
                  <v>46419</v>
                </pt>
                <pt idx="6">
                  <v>46447</v>
                </pt>
                <pt idx="7">
                  <v>46478</v>
                </pt>
                <pt idx="8">
                  <v>46508</v>
                </pt>
                <pt idx="9">
                  <v>46539</v>
                </pt>
                <pt idx="10">
                  <v>46569</v>
                </pt>
                <pt idx="11">
                  <v>46600</v>
                </pt>
                <pt idx="12">
                  <v>46631</v>
                </pt>
                <pt idx="13">
                  <v>46661</v>
                </pt>
                <pt idx="14">
                  <v>46692</v>
                </pt>
                <pt idx="15">
                  <v>46722</v>
                </pt>
                <pt idx="16">
                  <v>46753</v>
                </pt>
                <pt idx="17">
                  <v>46784</v>
                </pt>
                <pt idx="18">
                  <v>46813</v>
                </pt>
                <pt idx="19">
                  <v>46844</v>
                </pt>
                <pt idx="20">
                  <v>46874</v>
                </pt>
                <pt idx="21">
                  <v>46905</v>
                </pt>
                <pt idx="22">
                  <v>46935</v>
                </pt>
                <pt idx="23">
                  <v>46966</v>
                </pt>
                <pt idx="24">
                  <v>46997</v>
                </pt>
                <pt idx="25">
                  <v>47027</v>
                </pt>
                <pt idx="26">
                  <v>47058</v>
                </pt>
                <pt idx="27">
                  <v>47088</v>
                </pt>
                <pt idx="28">
                  <v>47119</v>
                </pt>
                <pt idx="29">
                  <v>47150</v>
                </pt>
                <pt idx="30">
                  <v>47178</v>
                </pt>
                <pt idx="31">
                  <v>47209</v>
                </pt>
                <pt idx="32">
                  <v>47239</v>
                </pt>
                <pt idx="33">
                  <v>47270</v>
                </pt>
                <pt idx="34">
                  <v>47300</v>
                </pt>
                <pt idx="35">
                  <v>47331</v>
                </pt>
              </numCache>
            </numRef>
          </cat>
          <val>
            <numRef>
              <f>'Monthly Funding'!$N$6:$N$41</f>
              <numCache>
                <formatCode>\₹0.00"L"</formatCode>
                <ptCount val="36"/>
                <pt idx="0">
                  <v>15</v>
                </pt>
                <pt idx="1">
                  <v>15</v>
                </pt>
                <pt idx="2">
                  <v>43.2</v>
                </pt>
                <pt idx="3">
                  <v>39</v>
                </pt>
                <pt idx="4">
                  <v>26.8</v>
                </pt>
                <pt idx="5">
                  <v>51.6</v>
                </pt>
                <pt idx="6">
                  <v>41.9</v>
                </pt>
                <pt idx="7">
                  <v>27.7</v>
                </pt>
                <pt idx="8">
                  <v>46.7</v>
                </pt>
                <pt idx="9">
                  <v>62.7</v>
                </pt>
                <pt idx="10">
                  <v>56.7</v>
                </pt>
                <pt idx="11">
                  <v>48.9</v>
                </pt>
                <pt idx="12">
                  <v>41.1</v>
                </pt>
                <pt idx="13">
                  <v>96.90000000000001</v>
                </pt>
                <pt idx="14">
                  <v>86.3</v>
                </pt>
                <pt idx="15">
                  <v>76.55</v>
                </pt>
                <pt idx="16">
                  <v>66.8</v>
                </pt>
                <pt idx="17">
                  <v>56.95</v>
                </pt>
                <pt idx="18">
                  <v>47.1</v>
                </pt>
                <pt idx="19">
                  <v>37.14</v>
                </pt>
                <pt idx="20">
                  <v>27.18</v>
                </pt>
                <pt idx="21">
                  <v>15.93</v>
                </pt>
                <pt idx="22">
                  <v>15</v>
                </pt>
                <pt idx="23">
                  <v>15</v>
                </pt>
                <pt idx="24">
                  <v>15</v>
                </pt>
                <pt idx="25">
                  <v>15</v>
                </pt>
                <pt idx="26">
                  <v>15</v>
                </pt>
                <pt idx="27">
                  <v>15</v>
                </pt>
                <pt idx="28">
                  <v>15</v>
                </pt>
                <pt idx="29">
                  <v>15</v>
                </pt>
                <pt idx="30">
                  <v>15</v>
                </pt>
                <pt idx="31">
                  <v>15</v>
                </pt>
                <pt idx="32">
                  <v>15</v>
                </pt>
                <pt idx="33">
                  <v>15</v>
                </pt>
                <pt idx="34">
                  <v>15</v>
                </pt>
                <pt idx="35">
                  <v>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31023871"/>
        <axId val="1986535311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[$-F800]dddd\,\ mmmm\ dd\,\ yyyy" sourceLinked="0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  <max val="1000000"/>
          <min val="1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&quot;₹&quot;\ #,##0" sourceLinked="0"/>
        <majorTickMark val="in"/>
        <minorTickMark val="none"/>
        <tickLblPos val="nextTo"/>
        <crossAx val="48650112"/>
        <crossesAt val="46266"/>
        <crossBetween val="between"/>
        <dispUnits>
          <builtInUnit val="millions"/>
        </dispUnits>
      </valAx>
      <dateAx>
        <axId val="2031023871"/>
        <scaling>
          <orientation val="minMax"/>
        </scaling>
        <delete val="1"/>
        <axPos val="b"/>
        <numFmt formatCode="mmm\ yyyy" sourceLinked="1"/>
        <majorTickMark val="out"/>
        <minorTickMark val="none"/>
        <tickLblPos val="nextTo"/>
        <crossAx val="1986535311"/>
        <crosses val="autoZero"/>
        <lblOffset val="100"/>
        <baseTimeUnit val="months"/>
      </dateAx>
      <valAx>
        <axId val="1986535311"/>
        <scaling>
          <orientation val="minMax"/>
        </scaling>
        <delete val="0"/>
        <axPos val="r"/>
        <numFmt formatCode="\₹0.00&quot;L&quot;" sourceLinked="1"/>
        <majorTickMark val="out"/>
        <minorTickMark val="none"/>
        <tickLblPos val="nextTo"/>
        <crossAx val="2031023871"/>
        <crosses val="max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424543</colOff>
      <row>14</row>
      <rowOff>130628</rowOff>
    </from>
    <to>
      <col>11</col>
      <colOff>424543</colOff>
      <row>45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Catalogue" displayName="tblCatalogue" ref="A4:AB76" headerRowCount="1">
  <autoFilter ref="A4:AB76"/>
  <tableColumns count="28">
    <tableColumn id="1" name="Item ID"/>
    <tableColumn id="2" name="Category"/>
    <tableColumn id="3" name="Subcategory"/>
    <tableColumn id="4" name="Brand"/>
    <tableColumn id="5" name="Model"/>
    <tableColumn id="6" name="Detail"/>
    <tableColumn id="7" name="SKU"/>
    <tableColumn id="8" name="Unit Price ₹"/>
    <tableColumn id="9" name="Opening Stock"/>
    <tableColumn id="10" name="MSL / Reorder"/>
    <tableColumn id="11" name="Longitude"/>
    <tableColumn id="12" name="Latitude"/>
    <tableColumn id="13" name="Altitude"/>
    <tableColumn id="14" name="Source"/>
    <tableColumn id="15" name="Control Note"/>
    <tableColumn id="16" name="Lead Time (mo)"/>
    <tableColumn id="17" name="MOQ"/>
    <tableColumn id="18" name="Order Multiple"/>
    <tableColumn id="19" name="Payment Lag (mo)"/>
    <tableColumn id="20" name="Preferred Supplier"/>
    <tableColumn id="21" name="Safety Stock"/>
    <tableColumn id="22" name="Supplier Part No."/>
    <tableColumn id="23" name="Currency"/>
    <tableColumn id="24" name="GST Rate"/>
    <tableColumn id="25" name="Payment Terms"/>
    <tableColumn id="26" name="Quality Inspection Required?"/>
    <tableColumn id="27" name="Lot Controlled?"/>
    <tableColumn id="28" name="Serial Controlled?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InventoryMovements" displayName="tblInventoryMovements" ref="A3:Q203" headerRowCount="1">
  <autoFilter ref="A3:Q203"/>
  <tableColumns count="17">
    <tableColumn id="1" name="Movement ID"/>
    <tableColumn id="2" name="Date"/>
    <tableColumn id="3" name="SKU"/>
    <tableColumn id="4" name="Type"/>
    <tableColumn id="5" name="Qty In"/>
    <tableColumn id="6" name="Qty Out"/>
    <tableColumn id="7" name="Unit Cost ₹"/>
    <tableColumn id="8" name="Lot / PO"/>
    <tableColumn id="9" name="Job Card"/>
    <tableColumn id="10" name="Quality Status"/>
    <tableColumn id="11" name="Posted?"/>
    <tableColumn id="12" name="Evidence / Note"/>
    <tableColumn id="13" name="Truth Class"/>
    <tableColumn id="14" name="Revision"/>
    <tableColumn id="15" name="Source Ref"/>
    <tableColumn id="16" name="Posted At"/>
    <tableColumn id="17" name="Posted B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Reservations" displayName="tblReservations" ref="A3:N103" headerRowCount="1">
  <autoFilter ref="A3:N103"/>
  <tableColumns count="14">
    <tableColumn id="1" name="Reservation ID"/>
    <tableColumn id="2" name="Order ID"/>
    <tableColumn id="3" name="Order Rev"/>
    <tableColumn id="4" name="Job Card"/>
    <tableColumn id="5" name="SKU"/>
    <tableColumn id="6" name="Qty Required"/>
    <tableColumn id="7" name="Qty Reserved"/>
    <tableColumn id="8" name="Status"/>
    <tableColumn id="9" name="Release / Issue Ref"/>
    <tableColumn id="10" name="Note"/>
    <tableColumn id="11" name="Truth Class"/>
    <tableColumn id="12" name="Revision"/>
    <tableColumn id="13" name="Created At"/>
    <tableColumn id="14" name="Approved B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BOMMapping" displayName="tblBOMMapping" ref="A3:L23" headerRowCount="1">
  <autoFilter ref="A3:L23"/>
  <tableColumns count="12">
    <tableColumn id="1" name="BOM Line"/>
    <tableColumn id="2" name="Category"/>
    <tableColumn id="3" name="Longitude SKU"/>
    <tableColumn id="4" name="Latitude SKU"/>
    <tableColumn id="5" name="Altitude SKU"/>
    <tableColumn id="6" name="Qty / bike"/>
    <tableColumn id="7" name="Unit"/>
    <tableColumn id="8" name="Revision"/>
    <tableColumn id="9" name="Status"/>
    <tableColumn id="10" name="Qty Longitude"/>
    <tableColumn id="11" name="Qty Latitude"/>
    <tableColumn id="12" name="Qty Altitud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SalesOrders" displayName="tblSalesOrders" ref="A3:S53" headerRowCount="1">
  <autoFilter ref="A3:S53"/>
  <tableColumns count="19">
    <tableColumn id="1" name="Order ID"/>
    <tableColumn id="2" name="Revision"/>
    <tableColumn id="3" name="Order Date"/>
    <tableColumn id="4" name="Customer"/>
    <tableColumn id="5" name="Model"/>
    <tableColumn id="6" name="Variant"/>
    <tableColumn id="7" name="Qty"/>
    <tableColumn id="8" name="Unit Price ₹L"/>
    <tableColumn id="9" name="Order Value ₹L"/>
    <tableColumn id="10" name="Status"/>
    <tableColumn id="11" name="Required Date"/>
    <tableColumn id="12" name="BOM Revision"/>
    <tableColumn id="13" name="Job Release?"/>
    <tableColumn id="14" name="Note"/>
    <tableColumn id="15" name="Truth Class"/>
    <tableColumn id="16" name="Created At"/>
    <tableColumn id="17" name="Approved At"/>
    <tableColumn id="18" name="Approved By"/>
    <tableColumn id="19" name="Source Ref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JobCards" displayName="tblJobCards" ref="A3:S53" headerRowCount="1">
  <autoFilter ref="A3:S53"/>
  <tableColumns count="19">
    <tableColumn id="1" name="Job Card"/>
    <tableColumn id="2" name="Order ID"/>
    <tableColumn id="3" name="Order Rev"/>
    <tableColumn id="4" name="Model"/>
    <tableColumn id="5" name="Qty"/>
    <tableColumn id="6" name="BOM Revision"/>
    <tableColumn id="7" name="Release Status"/>
    <tableColumn id="8" name="Material Status"/>
    <tableColumn id="9" name="Planned Start"/>
    <tableColumn id="10" name="Planned Finish"/>
    <tableColumn id="11" name="Traveller ID"/>
    <tableColumn id="12" name="Control Note"/>
    <tableColumn id="13" name="Release Gate"/>
    <tableColumn id="14" name="Plan Month"/>
    <tableColumn id="15" name="Truth Class"/>
    <tableColumn id="16" name="Revision"/>
    <tableColumn id="17" name="Created At"/>
    <tableColumn id="18" name="Approved At"/>
    <tableColumn id="19" name="Approved B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ProcurementPlan" displayName="tblProcurementPlan" ref="A3:O75" headerRowCount="1">
  <autoFilter ref="A3:O75"/>
  <tableColumns count="15">
    <tableColumn id="1" name="SKU"/>
    <tableColumn id="2" name="Item"/>
    <tableColumn id="3" name="MSL"/>
    <tableColumn id="4" name="ATP"/>
    <tableColumn id="5" name="36M Planned Qty"/>
    <tableColumn id="6" name="Committed Qty"/>
    <tableColumn id="7" name="Open PO Qty"/>
    <tableColumn id="8" name="Gross Requirement"/>
    <tableColumn id="9" name="Net Buy Qty"/>
    <tableColumn id="10" name="Unit Price ₹"/>
    <tableColumn id="11" name="Net Buy Value ₹"/>
    <tableColumn id="12" name="Priority"/>
    <tableColumn id="13" name="Decision"/>
    <tableColumn id="14" name="Lead-time flag"/>
    <tableColumn id="15" name="36M Net Buy Cash ₹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AuditTrail" displayName="tblAuditTrail" ref="A3:J50" headerRowCount="1">
  <autoFilter ref="A3:J50"/>
  <tableColumns count="10">
    <tableColumn id="1" name="Event ID"/>
    <tableColumn id="2" name="Timestamp"/>
    <tableColumn id="3" name="Object Type"/>
    <tableColumn id="4" name="Object ID"/>
    <tableColumn id="5" name="Revision"/>
    <tableColumn id="6" name="Action"/>
    <tableColumn id="7" name="Actor"/>
    <tableColumn id="8" name="Approval Status"/>
    <tableColumn id="9" name="Evidence Ref"/>
    <tableColumn id="10" name="Rational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JobMaterialReq" displayName="tblJobMaterialReq" ref="A3:L703" headerRowCount="1">
  <autoFilter ref="A3:L703"/>
  <tableColumns count="12">
    <tableColumn id="1" name="Job Card"/>
    <tableColumn id="2" name="Order ID"/>
    <tableColumn id="3" name="Model"/>
    <tableColumn id="4" name="BOM Line"/>
    <tableColumn id="5" name="SKU"/>
    <tableColumn id="6" name="Qty / Bike"/>
    <tableColumn id="7" name="Job Qty"/>
    <tableColumn id="8" name="Required Qty"/>
    <tableColumn id="9" name="ATP"/>
    <tableColumn id="10" name="Reserved for Job"/>
    <tableColumn id="11" name="Uncovered Qty"/>
    <tableColumn id="12" name="Readines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SupplierMaster" displayName="tblSupplierMaster" ref="A3:Q53" headerRowCount="1">
  <autoFilter ref="A3:Q53"/>
  <tableColumns count="17">
    <tableColumn id="1" name="Supplier ID"/>
    <tableColumn id="2" name="Supplier Name"/>
    <tableColumn id="3" name="Category"/>
    <tableColumn id="4" name="GSTIN / Tax ID"/>
    <tableColumn id="5" name="Currency"/>
    <tableColumn id="6" name="Payment Terms"/>
    <tableColumn id="7" name="Default Lead Time (days)"/>
    <tableColumn id="8" name="Default MOQ"/>
    <tableColumn id="9" name="Country"/>
    <tableColumn id="10" name="Incoterm"/>
    <tableColumn id="11" name="Approved?"/>
    <tableColumn id="12" name="Quality Rating"/>
    <tableColumn id="13" name="Delivery Rating"/>
    <tableColumn id="14" name="Commercial Rating"/>
    <tableColumn id="15" name="Last Review"/>
    <tableColumn id="16" name="Evidence / Source"/>
    <tableColumn id="17" name="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PurchaseRequisitions" displayName="tblPurchaseRequisitions" ref="A3:R53" headerRowCount="1">
  <autoFilter ref="A3:R53"/>
  <tableColumns count="18">
    <tableColumn id="1" name="PR ID"/>
    <tableColumn id="2" name="Created Date"/>
    <tableColumn id="3" name="MRP Month"/>
    <tableColumn id="4" name="SKU"/>
    <tableColumn id="5" name="Item"/>
    <tableColumn id="6" name="Recommended Qty"/>
    <tableColumn id="7" name="Requested Qty"/>
    <tableColumn id="8" name="Unit Price ₹"/>
    <tableColumn id="9" name="Estimated Value ₹"/>
    <tableColumn id="10" name="Priority"/>
    <tableColumn id="11" name="Required By Month"/>
    <tableColumn id="12" name="Preferred Supplier"/>
    <tableColumn id="13" name="Status"/>
    <tableColumn id="14" name="Truth Class"/>
    <tableColumn id="15" name="Revision"/>
    <tableColumn id="16" name="Requested By"/>
    <tableColumn id="17" name="Approved By"/>
    <tableColumn id="18" name="Evidence / Decision Ref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PurchaseOrders" displayName="tblPurchaseOrders" ref="A3:V53" headerRowCount="1">
  <autoFilter ref="A3:V53"/>
  <tableColumns count="22">
    <tableColumn id="1" name="PO ID"/>
    <tableColumn id="2" name="PR ID"/>
    <tableColumn id="3" name="Supplier ID"/>
    <tableColumn id="4" name="SKU"/>
    <tableColumn id="5" name="Qty"/>
    <tableColumn id="6" name="Unit Price ₹"/>
    <tableColumn id="7" name="PO Value ₹"/>
    <tableColumn id="8" name="Order Date"/>
    <tableColumn id="9" name="Order Month"/>
    <tableColumn id="10" name="Expected Receipt Month"/>
    <tableColumn id="11" name="Payment Month"/>
    <tableColumn id="12" name="Status"/>
    <tableColumn id="13" name="Truth Class"/>
    <tableColumn id="14" name="Revision"/>
    <tableColumn id="15" name="Approved By"/>
    <tableColumn id="16" name="Approved At"/>
    <tableColumn id="17" name="Supplier Ack?"/>
    <tableColumn id="18" name="Currency"/>
    <tableColumn id="19" name="GST Rate"/>
    <tableColumn id="20" name="Evidence / Quote Ref"/>
    <tableColumn id="21" name="GRN Qty"/>
    <tableColumn id="22" name="Open Qt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GoodsReceipts" displayName="tblGoodsReceipts" ref="A3:Q53" headerRowCount="1">
  <autoFilter ref="A3:Q53"/>
  <tableColumns count="17">
    <tableColumn id="1" name="GRN ID"/>
    <tableColumn id="2" name="PO ID"/>
    <tableColumn id="3" name="Receipt Date"/>
    <tableColumn id="4" name="SKU"/>
    <tableColumn id="5" name="Received Qty"/>
    <tableColumn id="6" name="Accepted Qty"/>
    <tableColumn id="7" name="Quarantine Qty"/>
    <tableColumn id="8" name="Rejected Qty"/>
    <tableColumn id="9" name="Unit Cost ₹"/>
    <tableColumn id="10" name="Lot / Batch"/>
    <tableColumn id="11" name="Quality Status"/>
    <tableColumn id="12" name="Status"/>
    <tableColumn id="13" name="Truth Class"/>
    <tableColumn id="14" name="Inventory Movement ID"/>
    <tableColumn id="15" name="Received By"/>
    <tableColumn id="16" name="Evidence / Document"/>
    <tableColumn id="17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FIFOLayers" displayName="tblFIFOLayers" ref="A3:O53" headerRowCount="1">
  <autoFilter ref="A3:O53"/>
  <tableColumns count="15">
    <tableColumn id="1" name="FIFO Layer ID"/>
    <tableColumn id="2" name="GRN ID"/>
    <tableColumn id="3" name="PO ID"/>
    <tableColumn id="4" name="Receipt Date"/>
    <tableColumn id="5" name="SKU"/>
    <tableColumn id="6" name="Lot / Batch"/>
    <tableColumn id="7" name="Original Qty"/>
    <tableColumn id="8" name="Allocated Qty"/>
    <tableColumn id="9" name="Remaining Qty"/>
    <tableColumn id="10" name="Unit Cost ₹"/>
    <tableColumn id="11" name="Remaining Value ₹"/>
    <tableColumn id="12" name="Quality Status"/>
    <tableColumn id="13" name="FIFO Sequence"/>
    <tableColumn id="14" name="Evidence / Source"/>
    <tableColumn id="15" name="Control 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FIFOAllocations" displayName="tblFIFOAllocations" ref="A3:L103" headerRowCount="1">
  <autoFilter ref="A3:L103"/>
  <tableColumns count="12">
    <tableColumn id="1" name="Allocation ID"/>
    <tableColumn id="2" name="Issue Movement ID"/>
    <tableColumn id="3" name="Job Card"/>
    <tableColumn id="4" name="SKU"/>
    <tableColumn id="5" name="FIFO Layer ID"/>
    <tableColumn id="6" name="Allocated Qty"/>
    <tableColumn id="7" name="Unit Cost ₹"/>
    <tableColumn id="8" name="Issue Value ₹"/>
    <tableColumn id="9" name="Allocation Date"/>
    <tableColumn id="10" name="Status"/>
    <tableColumn id="11" name="FIFO Check"/>
    <tableColumn id="12" name="Evidence / Not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blWorkCentreMaster" displayName="tblWorkCentreMaster" ref="A3:K11" headerRowCount="1">
  <autoFilter ref="A3:K11"/>
  <tableColumns count="11">
    <tableColumn id="1" name="Work Centre ID"/>
    <tableColumn id="2" name="Work Centre"/>
    <tableColumn id="3" name="Traveller Operation"/>
    <tableColumn id="4" name="Sequence"/>
    <tableColumn id="5" name="Available Hours / Month"/>
    <tableColumn id="6" name="Efficiency %"/>
    <tableColumn id="7" name="Standard Hrs / Unit"/>
    <tableColumn id="8" name="Capacity Units / Month"/>
    <tableColumn id="9" name="Owner"/>
    <tableColumn id="10" name="Status"/>
    <tableColumn id="11" name="Evidence / Basi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blCapacityPlanning" displayName="tblCapacityPlanning" ref="A3:N291" headerRowCount="1">
  <autoFilter ref="A3:N291"/>
  <tableColumns count="14">
    <tableColumn id="1" name="Month"/>
    <tableColumn id="2" name="Date"/>
    <tableColumn id="3" name="Work Centre ID"/>
    <tableColumn id="4" name="Work Centre"/>
    <tableColumn id="5" name="Available Hours"/>
    <tableColumn id="6" name="Efficiency %"/>
    <tableColumn id="7" name="Effective Hours"/>
    <tableColumn id="8" name="Std Hrs / Unit"/>
    <tableColumn id="9" name="Released Load (hrs)"/>
    <tableColumn id="10" name="Planned Load (hrs)"/>
    <tableColumn id="11" name="Total Load (hrs)"/>
    <tableColumn id="12" name="Remaining Capacity (hrs)"/>
    <tableColumn id="13" name="Utilisation %"/>
    <tableColumn id="14" name="Decis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blDecisionRegister" displayName="tblDecisionRegister" ref="A3:O53" headerRowCount="1">
  <autoFilter ref="A3:O53"/>
  <tableColumns count="15">
    <tableColumn id="1" name="Decision ID"/>
    <tableColumn id="2" name="Date"/>
    <tableColumn id="3" name="Domain"/>
    <tableColumn id="4" name="Severity"/>
    <tableColumn id="5" name="Trigger / Finding"/>
    <tableColumn id="6" name="Recommendation"/>
    <tableColumn id="7" name="Financial Impact ₹L"/>
    <tableColumn id="8" name="Operational Impact"/>
    <tableColumn id="9" name="Owner"/>
    <tableColumn id="10" name="Decision"/>
    <tableColumn id="11" name="Approved By"/>
    <tableColumn id="12" name="Due Date"/>
    <tableColumn id="13" name="Status"/>
    <tableColumn id="14" name="Evidence Ref"/>
    <tableColumn id="15" name="Closure 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3.80000019073486"/>
  <cols>
    <col width="25" customWidth="1" style="88" min="1" max="1"/>
    <col width="16" customWidth="1" style="88" min="2" max="3"/>
    <col width="20" customWidth="1" style="88" min="4" max="4"/>
    <col width="50" customWidth="1" style="88" min="5" max="5"/>
    <col width="16" customWidth="1" style="88" min="6" max="6"/>
    <col width="36" customWidth="1" style="88" min="7" max="7"/>
  </cols>
  <sheetData>
    <row r="1" ht="14.39999961853027" customHeight="1" s="88">
      <c r="A1" s="181" t="inlineStr">
        <is>
          <t>VYNDI 36-Month Fund &amp; Materials Projection</t>
        </is>
      </c>
      <c r="B1" s="98" t="n"/>
      <c r="C1" s="98" t="n"/>
      <c r="D1" s="98" t="n"/>
      <c r="E1" s="98" t="n"/>
      <c r="F1" s="98" t="n"/>
      <c r="G1" s="98" t="n"/>
    </row>
    <row r="2" ht="14.39999961853027" customHeight="1" s="88">
      <c r="A2" s="183" t="inlineStr">
        <is>
          <t>Editable planning workbook · approved-plan baseline · ₹ lakh unless stated</t>
        </is>
      </c>
      <c r="B2" s="98" t="n"/>
      <c r="C2" s="98" t="n"/>
      <c r="D2" s="98" t="n"/>
      <c r="E2" s="98" t="n"/>
      <c r="F2" s="98" t="n"/>
      <c r="G2" s="98" t="n"/>
    </row>
    <row r="3" ht="14.39999961853027" customHeight="1" s="88">
      <c r="A3" s="2" t="n"/>
      <c r="B3" s="2" t="n"/>
      <c r="C3" s="2" t="n"/>
      <c r="D3" s="2" t="n"/>
      <c r="E3" s="2" t="n"/>
      <c r="F3" s="2" t="n"/>
      <c r="G3" s="2" t="n"/>
    </row>
    <row r="4" ht="14.39999961853027" customHeight="1" s="88">
      <c r="A4" s="3" t="inlineStr">
        <is>
          <t>Approved plan input</t>
        </is>
      </c>
      <c r="B4" s="4" t="inlineStr">
        <is>
          <t>Value</t>
        </is>
      </c>
      <c r="C4" s="2" t="n"/>
      <c r="D4" s="3" t="inlineStr">
        <is>
          <t>Model</t>
        </is>
      </c>
      <c r="E4" s="5" t="inlineStr">
        <is>
          <t>Mix</t>
        </is>
      </c>
      <c r="F4" s="5" t="inlineStr">
        <is>
          <t>ASP ₹L</t>
        </is>
      </c>
      <c r="G4" s="4" t="inlineStr">
        <is>
          <t>Launch month</t>
        </is>
      </c>
    </row>
    <row r="5" ht="14.39999961853027" customHeight="1" s="88">
      <c r="A5" s="2" t="inlineStr">
        <is>
          <t>Horizon start</t>
        </is>
      </c>
      <c r="B5" s="6" t="n">
        <v>46266</v>
      </c>
      <c r="C5" s="2" t="n"/>
      <c r="D5" s="2" t="inlineStr">
        <is>
          <t>Longitude</t>
        </is>
      </c>
      <c r="E5" s="7" t="n">
        <v>0.2</v>
      </c>
      <c r="F5" s="211" t="n">
        <v>1.25</v>
      </c>
      <c r="G5" s="9" t="n">
        <v>14</v>
      </c>
    </row>
    <row r="6" ht="14.39999961853027" customHeight="1" s="88">
      <c r="A6" s="2" t="inlineStr">
        <is>
          <t>Commercial launch month</t>
        </is>
      </c>
      <c r="B6" s="10" t="n">
        <v>14</v>
      </c>
      <c r="C6" s="2" t="n"/>
      <c r="D6" s="2" t="inlineStr">
        <is>
          <t>Latitude</t>
        </is>
      </c>
      <c r="E6" s="11" t="n">
        <v>0.6</v>
      </c>
      <c r="F6" s="212" t="n">
        <v>2.25</v>
      </c>
      <c r="G6" s="13" t="n">
        <v>14</v>
      </c>
    </row>
    <row r="7" ht="14.39999961853027" customHeight="1" s="88">
      <c r="A7" s="2" t="inlineStr">
        <is>
          <t>Altitude launch month</t>
        </is>
      </c>
      <c r="B7" s="10" t="n">
        <v>16</v>
      </c>
      <c r="C7" s="2" t="n"/>
      <c r="D7" s="2" t="inlineStr">
        <is>
          <t>Altitude</t>
        </is>
      </c>
      <c r="E7" s="14" t="n">
        <v>0.2</v>
      </c>
      <c r="F7" s="213" t="n">
        <v>3.5</v>
      </c>
      <c r="G7" s="16" t="n">
        <v>16</v>
      </c>
    </row>
    <row r="8" ht="14.39999961853027" customHeight="1" s="88">
      <c r="A8" s="2" t="inlineStr">
        <is>
          <t>Demand multiplier</t>
        </is>
      </c>
      <c r="B8" s="214" t="n">
        <v>1</v>
      </c>
      <c r="C8" s="2" t="n"/>
      <c r="D8" s="2" t="inlineStr">
        <is>
          <t>Total</t>
        </is>
      </c>
      <c r="E8" s="18">
        <f>SUM(E5:E7)</f>
        <v/>
      </c>
      <c r="F8" s="2" t="n"/>
      <c r="G8" s="2" t="n"/>
    </row>
    <row r="9" ht="14.39999961853027" customHeight="1" s="88">
      <c r="A9" s="2" t="inlineStr">
        <is>
          <t>Material buffer</t>
        </is>
      </c>
      <c r="B9" s="214" t="n">
        <v>0.15</v>
      </c>
      <c r="C9" s="2" t="n"/>
      <c r="D9" s="2" t="n"/>
      <c r="E9" s="2" t="n"/>
      <c r="F9" s="2" t="n"/>
      <c r="G9" s="2" t="n"/>
    </row>
    <row r="10" ht="14.39999961853027" customHeight="1" s="88">
      <c r="A10" s="2" t="inlineStr">
        <is>
          <t>Cash collection assumption</t>
        </is>
      </c>
      <c r="B10" s="214" t="n">
        <v>0.8</v>
      </c>
      <c r="C10" s="2" t="n"/>
      <c r="D10" s="2" t="n"/>
      <c r="E10" s="2" t="n"/>
      <c r="F10" s="2" t="n"/>
      <c r="G10" s="2" t="n"/>
    </row>
    <row r="11" ht="14.39999961853027" customHeight="1" s="88">
      <c r="A11" s="2" t="inlineStr">
        <is>
          <t>Opening cash (₹L)</t>
        </is>
      </c>
      <c r="B11" s="215" t="n">
        <v>1</v>
      </c>
      <c r="C11" s="2" t="n"/>
      <c r="D11" s="2" t="n"/>
      <c r="E11" s="2" t="n"/>
      <c r="F11" s="2" t="n"/>
      <c r="G11" s="2" t="n"/>
    </row>
    <row r="12" ht="14.39999961853027" customHeight="1" s="88">
      <c r="A12" s="2" t="inlineStr">
        <is>
          <t>Cash floor (₹L)</t>
        </is>
      </c>
      <c r="B12" s="216" t="n">
        <v>15</v>
      </c>
      <c r="C12" s="2" t="n"/>
      <c r="D12" s="2" t="n"/>
      <c r="E12" s="2" t="n"/>
      <c r="F12" s="2" t="n"/>
      <c r="G12" s="2" t="n"/>
    </row>
    <row r="13" ht="14.39999961853027" customHeight="1" s="88">
      <c r="A13" s="2" t="n"/>
      <c r="B13" s="2" t="n"/>
      <c r="C13" s="2" t="n"/>
      <c r="D13" s="2" t="n"/>
      <c r="E13" s="2" t="n"/>
      <c r="F13" s="2" t="n"/>
      <c r="G13" s="2" t="n"/>
    </row>
    <row r="14" ht="14.39999961853027" customHeight="1" s="88">
      <c r="A14" s="3" t="inlineStr">
        <is>
          <t>Gate</t>
        </is>
      </c>
      <c r="B14" s="5" t="inlineStr">
        <is>
          <t>Month</t>
        </is>
      </c>
      <c r="C14" s="5" t="inlineStr">
        <is>
          <t>Core ₹L</t>
        </is>
      </c>
      <c r="D14" s="5" t="inlineStr">
        <is>
          <t>Optional?</t>
        </is>
      </c>
      <c r="E14" s="4" t="inlineStr">
        <is>
          <t>Purpose</t>
        </is>
      </c>
      <c r="F14" s="2" t="n"/>
      <c r="G14" s="2" t="n"/>
    </row>
    <row r="15" ht="14.39999961853027" customHeight="1" s="88">
      <c r="A15" s="2" t="inlineStr">
        <is>
          <t>T1</t>
        </is>
      </c>
      <c r="B15" s="21" t="n">
        <v>1</v>
      </c>
      <c r="C15" s="217" t="n">
        <v>15</v>
      </c>
      <c r="D15" s="9" t="inlineStr">
        <is>
          <t>No</t>
        </is>
      </c>
      <c r="E15" s="2" t="inlineStr">
        <is>
          <t>Foundation</t>
        </is>
      </c>
      <c r="F15" s="2" t="n"/>
      <c r="G15" s="2" t="n"/>
    </row>
    <row r="16" ht="14.39999961853027" customHeight="1" s="88">
      <c r="A16" s="2" t="inlineStr">
        <is>
          <t>T2</t>
        </is>
      </c>
      <c r="B16" s="23" t="n">
        <v>3</v>
      </c>
      <c r="C16" s="218" t="n">
        <v>35</v>
      </c>
      <c r="D16" s="13" t="inlineStr">
        <is>
          <t>No</t>
        </is>
      </c>
      <c r="E16" s="2" t="inlineStr">
        <is>
          <t>Engineering</t>
        </is>
      </c>
      <c r="F16" s="2" t="n"/>
      <c r="G16" s="2" t="n"/>
    </row>
    <row r="17" ht="14.39999961853027" customHeight="1" s="88">
      <c r="A17" s="2" t="inlineStr">
        <is>
          <t>T3</t>
        </is>
      </c>
      <c r="B17" s="23" t="n">
        <v>6</v>
      </c>
      <c r="C17" s="218" t="n">
        <v>35</v>
      </c>
      <c r="D17" s="13" t="inlineStr">
        <is>
          <t>No</t>
        </is>
      </c>
      <c r="E17" s="2" t="inlineStr">
        <is>
          <t>Validation</t>
        </is>
      </c>
      <c r="F17" s="2" t="n"/>
      <c r="G17" s="2" t="n"/>
    </row>
    <row r="18" ht="14.39999961853027" customHeight="1" s="88">
      <c r="A18" s="2" t="inlineStr">
        <is>
          <t>STBY</t>
        </is>
      </c>
      <c r="B18" s="23" t="n">
        <v>9</v>
      </c>
      <c r="C18" s="218" t="n">
        <v>25</v>
      </c>
      <c r="D18" s="13" t="inlineStr">
        <is>
          <t>Yes</t>
        </is>
      </c>
      <c r="E18" s="2" t="inlineStr">
        <is>
          <t>Contingent cash-gap cover</t>
        </is>
      </c>
      <c r="F18" s="2" t="n"/>
      <c r="G18" s="2" t="n"/>
    </row>
    <row r="19" ht="14.39999961853027" customHeight="1" s="88">
      <c r="A19" s="2" t="inlineStr">
        <is>
          <t>T4</t>
        </is>
      </c>
      <c r="B19" s="23" t="n">
        <v>10</v>
      </c>
      <c r="C19" s="218" t="n">
        <v>50</v>
      </c>
      <c r="D19" s="13" t="inlineStr">
        <is>
          <t>No</t>
        </is>
      </c>
      <c r="E19" s="2" t="inlineStr">
        <is>
          <t>Tooling / pilot</t>
        </is>
      </c>
      <c r="F19" s="2" t="n"/>
      <c r="G19" s="2" t="n"/>
    </row>
    <row r="20" ht="14.39999961853027" customHeight="1" s="88">
      <c r="A20" s="2" t="inlineStr">
        <is>
          <t>T5</t>
        </is>
      </c>
      <c r="B20" s="25" t="n">
        <v>14</v>
      </c>
      <c r="C20" s="219" t="n">
        <v>65</v>
      </c>
      <c r="D20" s="16" t="inlineStr">
        <is>
          <t>No</t>
        </is>
      </c>
      <c r="E20" s="2" t="inlineStr">
        <is>
          <t>Launch working capital</t>
        </is>
      </c>
      <c r="F20" s="2" t="n"/>
      <c r="G20" s="2" t="n"/>
    </row>
    <row r="21" ht="14.39999961853027" customHeight="1" s="88">
      <c r="A21" s="2" t="inlineStr">
        <is>
          <t>Core total</t>
        </is>
      </c>
      <c r="B21" s="2" t="n"/>
      <c r="C21" s="220">
        <f>SUM(C15:C17,C19:C20)</f>
        <v/>
      </c>
      <c r="D21" s="2" t="n"/>
      <c r="E21" s="2" t="n"/>
      <c r="F21" s="2" t="n"/>
      <c r="G21" s="2" t="n"/>
    </row>
    <row r="22" ht="14.39999961853027" customHeight="1" s="88">
      <c r="A22" s="2" t="n"/>
      <c r="B22" s="2" t="n"/>
      <c r="C22" s="2" t="n"/>
      <c r="D22" s="2" t="n"/>
      <c r="E22" s="2" t="n"/>
      <c r="F22" s="2" t="n"/>
      <c r="G22" s="2" t="n"/>
    </row>
    <row r="23" ht="14.39999961853027" customHeight="1" s="88">
      <c r="A23" s="2" t="n"/>
      <c r="B23" s="2" t="n"/>
      <c r="C23" s="2" t="n"/>
      <c r="D23" s="2" t="n"/>
      <c r="E23" s="2" t="n"/>
      <c r="F23" s="2" t="n"/>
      <c r="G23" s="2" t="n"/>
    </row>
    <row r="24">
      <c r="A24" s="3" t="inlineStr">
        <is>
          <t>Material / component</t>
        </is>
      </c>
      <c r="B24" s="5" t="inlineStr">
        <is>
          <t>Unit</t>
        </is>
      </c>
      <c r="C24" s="5" t="inlineStr">
        <is>
          <t>Per Longitude</t>
        </is>
      </c>
      <c r="D24" s="5" t="inlineStr">
        <is>
          <t>Per Latitude</t>
        </is>
      </c>
      <c r="E24" s="5" t="inlineStr">
        <is>
          <t>Per Altitude</t>
        </is>
      </c>
      <c r="F24" s="5" t="inlineStr">
        <is>
          <t>Unit cost ₹</t>
        </is>
      </c>
      <c r="G24" s="4" t="inlineStr">
        <is>
          <t>Basis</t>
        </is>
      </c>
    </row>
    <row r="25" ht="14.39999961853027" customHeight="1" s="88">
      <c r="A25" s="2" t="inlineStr">
        <is>
          <t>Aluminium/OEM frameset</t>
        </is>
      </c>
      <c r="B25" s="2" t="inlineStr">
        <is>
          <t>set</t>
        </is>
      </c>
      <c r="C25" s="21" t="n">
        <v>1</v>
      </c>
      <c r="D25" s="28" t="n">
        <v>0</v>
      </c>
      <c r="E25" s="28" t="n">
        <v>0</v>
      </c>
      <c r="F25" s="29" t="n">
        <v>45000</v>
      </c>
      <c r="G25" s="30" t="inlineStr">
        <is>
          <t>Planning assumption</t>
        </is>
      </c>
    </row>
    <row r="26" ht="14.39999961853027" customHeight="1" s="88">
      <c r="A26" s="2" t="inlineStr">
        <is>
          <t>T700 prepreg</t>
        </is>
      </c>
      <c r="B26" s="2" t="inlineStr">
        <is>
          <t>kg</t>
        </is>
      </c>
      <c r="C26" s="23" t="n">
        <v>0</v>
      </c>
      <c r="D26" s="31" t="n">
        <v>3.2</v>
      </c>
      <c r="E26" s="31" t="n">
        <v>2.5</v>
      </c>
      <c r="F26" s="32" t="n">
        <v>3500</v>
      </c>
      <c r="G26" s="30" t="inlineStr">
        <is>
          <t>Editable; release against approved ply book</t>
        </is>
      </c>
    </row>
    <row r="27" ht="14.39999961853027" customHeight="1" s="88">
      <c r="A27" s="2" t="inlineStr">
        <is>
          <t>T800 prepreg</t>
        </is>
      </c>
      <c r="B27" s="2" t="inlineStr">
        <is>
          <t>kg</t>
        </is>
      </c>
      <c r="C27" s="23" t="n">
        <v>0</v>
      </c>
      <c r="D27" s="31" t="n">
        <v>1.3</v>
      </c>
      <c r="E27" s="31" t="n">
        <v>2.2</v>
      </c>
      <c r="F27" s="32" t="n">
        <v>6500</v>
      </c>
      <c r="G27" s="30" t="inlineStr">
        <is>
          <t>Editable; release against approved ply book</t>
        </is>
      </c>
    </row>
    <row r="28" ht="14.39999961853027" customHeight="1" s="88">
      <c r="A28" s="2" t="inlineStr">
        <is>
          <t>Resin &amp; bonding system</t>
        </is>
      </c>
      <c r="B28" s="2" t="inlineStr">
        <is>
          <t>kg</t>
        </is>
      </c>
      <c r="C28" s="23" t="n">
        <v>0</v>
      </c>
      <c r="D28" s="31" t="n">
        <v>0.8</v>
      </c>
      <c r="E28" s="31" t="n">
        <v>0.9</v>
      </c>
      <c r="F28" s="32" t="n">
        <v>1800</v>
      </c>
      <c r="G28" s="30" t="inlineStr">
        <is>
          <t>Editable manufacturing assumption</t>
        </is>
      </c>
    </row>
    <row r="29" ht="14.39999961853027" customHeight="1" s="88">
      <c r="A29" s="2" t="inlineStr">
        <is>
          <t>Paint &amp; clear coat</t>
        </is>
      </c>
      <c r="B29" s="2" t="inlineStr">
        <is>
          <t>L</t>
        </is>
      </c>
      <c r="C29" s="23" t="n">
        <v>0.35</v>
      </c>
      <c r="D29" s="31" t="n">
        <v>0.35</v>
      </c>
      <c r="E29" s="31" t="n">
        <v>0.35</v>
      </c>
      <c r="F29" s="32" t="n">
        <v>2200</v>
      </c>
      <c r="G29" s="30" t="inlineStr">
        <is>
          <t>Editable manufacturing assumption</t>
        </is>
      </c>
    </row>
    <row r="30" ht="14.39999961853027" customHeight="1" s="88">
      <c r="A30" s="2" t="inlineStr">
        <is>
          <t>Groupset</t>
        </is>
      </c>
      <c r="B30" s="2" t="inlineStr">
        <is>
          <t>set</t>
        </is>
      </c>
      <c r="C30" s="23" t="n">
        <v>1</v>
      </c>
      <c r="D30" s="31" t="n">
        <v>1</v>
      </c>
      <c r="E30" s="31" t="n">
        <v>1</v>
      </c>
      <c r="F30" s="32" t="n">
        <v>65000</v>
      </c>
      <c r="G30" s="30" t="inlineStr">
        <is>
          <t>Exact variant BOM controls selection</t>
        </is>
      </c>
    </row>
    <row r="31" ht="14.39999961853027" customHeight="1" s="88">
      <c r="A31" s="2" t="inlineStr">
        <is>
          <t>Wheelset</t>
        </is>
      </c>
      <c r="B31" s="2" t="inlineStr">
        <is>
          <t>set</t>
        </is>
      </c>
      <c r="C31" s="23" t="n">
        <v>1</v>
      </c>
      <c r="D31" s="31" t="n">
        <v>1</v>
      </c>
      <c r="E31" s="31" t="n">
        <v>1</v>
      </c>
      <c r="F31" s="32" t="n">
        <v>35000</v>
      </c>
      <c r="G31" s="30" t="inlineStr">
        <is>
          <t>Exact variant BOM controls selection</t>
        </is>
      </c>
    </row>
    <row r="32" ht="14.39999961853027" customHeight="1" s="88">
      <c r="A32" s="2" t="inlineStr">
        <is>
          <t>Tyres</t>
        </is>
      </c>
      <c r="B32" s="2" t="inlineStr">
        <is>
          <t>ea</t>
        </is>
      </c>
      <c r="C32" s="23" t="n">
        <v>2</v>
      </c>
      <c r="D32" s="31" t="n">
        <v>2</v>
      </c>
      <c r="E32" s="31" t="n">
        <v>2</v>
      </c>
      <c r="F32" s="32" t="n">
        <v>3500</v>
      </c>
      <c r="G32" s="30" t="inlineStr">
        <is>
          <t>Two per bicycle</t>
        </is>
      </c>
    </row>
    <row r="33" ht="14.39999961853027" customHeight="1" s="88">
      <c r="A33" s="2" t="inlineStr">
        <is>
          <t>Cockpit</t>
        </is>
      </c>
      <c r="B33" s="2" t="inlineStr">
        <is>
          <t>set</t>
        </is>
      </c>
      <c r="C33" s="23" t="n">
        <v>1</v>
      </c>
      <c r="D33" s="31" t="n">
        <v>1</v>
      </c>
      <c r="E33" s="31" t="n">
        <v>1</v>
      </c>
      <c r="F33" s="32" t="n">
        <v>12000</v>
      </c>
      <c r="G33" s="30" t="inlineStr">
        <is>
          <t>Stem/bar or integrated option</t>
        </is>
      </c>
    </row>
    <row r="34" ht="14.39999961853027" customHeight="1" s="88">
      <c r="A34" s="2" t="inlineStr">
        <is>
          <t>Saddle</t>
        </is>
      </c>
      <c r="B34" s="2" t="inlineStr">
        <is>
          <t>ea</t>
        </is>
      </c>
      <c r="C34" s="23" t="n">
        <v>1</v>
      </c>
      <c r="D34" s="31" t="n">
        <v>1</v>
      </c>
      <c r="E34" s="31" t="n">
        <v>1</v>
      </c>
      <c r="F34" s="32" t="n">
        <v>4500</v>
      </c>
      <c r="G34" s="30" t="inlineStr">
        <is>
          <t>Variant option</t>
        </is>
      </c>
    </row>
    <row r="35" ht="14.39999961853027" customHeight="1" s="88">
      <c r="A35" s="2" t="inlineStr">
        <is>
          <t>Brake system</t>
        </is>
      </c>
      <c r="B35" s="2" t="inlineStr">
        <is>
          <t>set</t>
        </is>
      </c>
      <c r="C35" s="23" t="n">
        <v>1</v>
      </c>
      <c r="D35" s="31" t="n">
        <v>1</v>
      </c>
      <c r="E35" s="31" t="n">
        <v>1</v>
      </c>
      <c r="F35" s="32" t="n">
        <v>18000</v>
      </c>
      <c r="G35" s="30" t="inlineStr">
        <is>
          <t>Variant option</t>
        </is>
      </c>
    </row>
    <row r="36" ht="14.39999961853027" customHeight="1" s="88">
      <c r="A36" s="2" t="inlineStr">
        <is>
          <t>Packaging kit</t>
        </is>
      </c>
      <c r="B36" s="2" t="inlineStr">
        <is>
          <t>kit</t>
        </is>
      </c>
      <c r="C36" s="25" t="n">
        <v>1</v>
      </c>
      <c r="D36" s="33" t="n">
        <v>1</v>
      </c>
      <c r="E36" s="33" t="n">
        <v>1</v>
      </c>
      <c r="F36" s="34" t="n">
        <v>2500</v>
      </c>
      <c r="G36" s="30" t="inlineStr">
        <is>
          <t>Shipment-ready packaging</t>
        </is>
      </c>
    </row>
    <row r="37" ht="14.39999961853027" customHeight="1" s="88">
      <c r="A37" s="2" t="inlineStr">
        <is>
          <t>Note</t>
        </is>
      </c>
      <c r="B37" s="2" t="n"/>
      <c r="C37" s="2" t="inlineStr">
        <is>
          <t>Blue cells are editable assumptions. Quantities are planning estimates, not released purchase orders.</t>
        </is>
      </c>
      <c r="D37" s="2" t="n"/>
      <c r="E37" s="2" t="n"/>
      <c r="F37" s="2" t="n"/>
      <c r="G37" s="30" t="n"/>
    </row>
    <row r="38" ht="14.39999961853027" customHeight="1" s="88">
      <c r="A38" s="2" t="n"/>
      <c r="B38" s="2" t="n"/>
      <c r="C38" s="2" t="n"/>
      <c r="D38" s="2" t="n"/>
      <c r="E38" s="2" t="n"/>
      <c r="F38" s="2" t="n"/>
      <c r="G38" s="2" t="n"/>
    </row>
    <row r="39" ht="14.39999961853027" customHeight="1" s="88">
      <c r="A39" s="2" t="n"/>
      <c r="B39" s="2" t="n"/>
      <c r="C39" s="2" t="n"/>
      <c r="D39" s="2" t="n"/>
      <c r="E39" s="2" t="n"/>
      <c r="F39" s="2" t="n"/>
      <c r="G39" s="2" t="n"/>
    </row>
    <row r="40" ht="14.39999961853027" customHeight="1" s="88">
      <c r="A40" s="3" t="inlineStr">
        <is>
          <t>Ramp index</t>
        </is>
      </c>
      <c r="B40" s="4" t="inlineStr">
        <is>
          <t>Total bicycles</t>
        </is>
      </c>
      <c r="C40" s="2" t="n"/>
      <c r="D40" s="3" t="inlineStr">
        <is>
          <t>Capex month</t>
        </is>
      </c>
      <c r="E40" s="5" t="inlineStr">
        <is>
          <t>₹L</t>
        </is>
      </c>
      <c r="F40" s="5" t="inlineStr">
        <is>
          <t>Source</t>
        </is>
      </c>
      <c r="G40" s="4" t="inlineStr">
        <is>
          <t>Note</t>
        </is>
      </c>
    </row>
    <row r="41" ht="14.39999961853027" customHeight="1" s="88">
      <c r="A41" s="2" t="n">
        <v>1</v>
      </c>
      <c r="B41" s="35" t="n">
        <v>3</v>
      </c>
      <c r="C41" s="2" t="n"/>
      <c r="D41" s="21" t="n">
        <v>3</v>
      </c>
      <c r="E41" s="221" t="n">
        <v>4</v>
      </c>
      <c r="F41" s="2" t="inlineStr">
        <is>
          <t>finance/model.ts</t>
        </is>
      </c>
      <c r="G41" s="2" t="inlineStr">
        <is>
          <t>CAD/engineering</t>
        </is>
      </c>
    </row>
    <row r="42" ht="14.39999961853027" customHeight="1" s="88">
      <c r="A42" s="2" t="n">
        <v>2</v>
      </c>
      <c r="B42" s="10" t="n">
        <v>3</v>
      </c>
      <c r="C42" s="2" t="n"/>
      <c r="D42" s="23" t="n">
        <v>5</v>
      </c>
      <c r="E42" s="222" t="n">
        <v>8</v>
      </c>
      <c r="F42" s="2" t="inlineStr">
        <is>
          <t>finance/model.ts</t>
        </is>
      </c>
      <c r="G42" s="2" t="inlineStr">
        <is>
          <t>Development</t>
        </is>
      </c>
    </row>
    <row r="43" ht="14.39999961853027" customHeight="1" s="88">
      <c r="A43" s="2" t="n">
        <v>3</v>
      </c>
      <c r="B43" s="10" t="n">
        <v>4</v>
      </c>
      <c r="C43" s="2" t="n"/>
      <c r="D43" s="23" t="n">
        <v>6</v>
      </c>
      <c r="E43" s="222" t="n">
        <v>6</v>
      </c>
      <c r="F43" s="2" t="inlineStr">
        <is>
          <t>finance/model.ts</t>
        </is>
      </c>
      <c r="G43" s="2" t="inlineStr">
        <is>
          <t>Validation</t>
        </is>
      </c>
    </row>
    <row r="44" ht="14.39999961853027" customHeight="1" s="88">
      <c r="A44" s="2" t="n">
        <v>4</v>
      </c>
      <c r="B44" s="10" t="n">
        <v>4</v>
      </c>
      <c r="C44" s="2" t="n"/>
      <c r="D44" s="23" t="n">
        <v>7</v>
      </c>
      <c r="E44" s="222" t="n">
        <v>5.5</v>
      </c>
      <c r="F44" s="2" t="inlineStr">
        <is>
          <t>finance/model.ts</t>
        </is>
      </c>
      <c r="G44" s="2" t="inlineStr">
        <is>
          <t>Pilot preparation</t>
        </is>
      </c>
    </row>
    <row r="45" ht="14.39999961853027" customHeight="1" s="88">
      <c r="A45" s="2" t="n">
        <v>5</v>
      </c>
      <c r="B45" s="10" t="n">
        <v>5</v>
      </c>
      <c r="C45" s="2" t="n"/>
      <c r="D45" s="23" t="n">
        <v>8</v>
      </c>
      <c r="E45" s="222" t="n">
        <v>10</v>
      </c>
      <c r="F45" s="2" t="inlineStr">
        <is>
          <t>finance/model.ts</t>
        </is>
      </c>
      <c r="G45" s="2" t="inlineStr">
        <is>
          <t>Pre-tooling</t>
        </is>
      </c>
    </row>
    <row r="46" ht="14.39999961853027" customHeight="1" s="88">
      <c r="A46" s="2" t="n">
        <v>6</v>
      </c>
      <c r="B46" s="10" t="n">
        <v>5</v>
      </c>
      <c r="C46" s="2" t="n"/>
      <c r="D46" s="25" t="n">
        <v>10</v>
      </c>
      <c r="E46" s="223" t="n">
        <v>28</v>
      </c>
      <c r="F46" s="2" t="inlineStr">
        <is>
          <t>finance/model.ts</t>
        </is>
      </c>
      <c r="G46" s="2" t="inlineStr">
        <is>
          <t>Tooling</t>
        </is>
      </c>
    </row>
    <row r="47" ht="14.39999961853027" customHeight="1" s="88">
      <c r="A47" s="2" t="n">
        <v>7</v>
      </c>
      <c r="B47" s="10" t="n">
        <v>6</v>
      </c>
      <c r="C47" s="2" t="n"/>
      <c r="D47" s="2" t="n"/>
      <c r="E47" s="2" t="n"/>
      <c r="F47" s="2" t="n"/>
      <c r="G47" s="2" t="n"/>
    </row>
    <row r="48" ht="14.39999961853027" customHeight="1" s="88">
      <c r="A48" s="2" t="n">
        <v>8</v>
      </c>
      <c r="B48" s="10" t="n">
        <v>6</v>
      </c>
      <c r="C48" s="2" t="n"/>
      <c r="D48" s="2" t="n"/>
      <c r="E48" s="2" t="n"/>
      <c r="F48" s="2" t="n"/>
      <c r="G48" s="2" t="n"/>
    </row>
    <row r="49" ht="14.39999961853027" customHeight="1" s="88">
      <c r="A49" s="2" t="n">
        <v>9</v>
      </c>
      <c r="B49" s="10" t="n">
        <v>8</v>
      </c>
      <c r="C49" s="2" t="n"/>
      <c r="D49" s="3" t="inlineStr">
        <is>
          <t>Workbook source</t>
        </is>
      </c>
      <c r="E49" s="5" t="inlineStr">
        <is>
          <t>Repository path / URL</t>
        </is>
      </c>
      <c r="F49" s="5" t="inlineStr">
        <is>
          <t>Status</t>
        </is>
      </c>
      <c r="G49" s="4" t="inlineStr">
        <is>
          <t>Use</t>
        </is>
      </c>
    </row>
    <row r="50" ht="41.40000152587891" customHeight="1" s="88">
      <c r="A50" s="2" t="n">
        <v>10</v>
      </c>
      <c r="B50" s="10" t="n">
        <v>8</v>
      </c>
      <c r="C50" s="2" t="n"/>
      <c r="D50" s="39" t="inlineStr">
        <is>
          <t>Approved operating plan</t>
        </is>
      </c>
      <c r="E50" s="39" t="inlineStr">
        <is>
          <t>https://github.com/shyamsundhar1982/tiger-field-flora-finch/blob/c8bfd35f38970948dec86f8e41be046ecaa5da55/src/lib/planning/operating-plan.ts</t>
        </is>
      </c>
      <c r="F50" s="39" t="inlineStr">
        <is>
          <t>Source baseline</t>
        </is>
      </c>
      <c r="G50" s="39" t="inlineStr">
        <is>
          <t>Start, launch and demand ramp</t>
        </is>
      </c>
    </row>
    <row r="51" ht="41.40000152587891" customHeight="1" s="88">
      <c r="A51" s="2" t="n">
        <v>11</v>
      </c>
      <c r="B51" s="10" t="n">
        <v>10</v>
      </c>
      <c r="C51" s="2" t="n"/>
      <c r="D51" s="39" t="inlineStr">
        <is>
          <t>Finance model</t>
        </is>
      </c>
      <c r="E51" s="39" t="inlineStr">
        <is>
          <t>https://github.com/shyamsundhar1982/tiger-field-flora-finch/blob/c8bfd35f38970948dec86f8e41be046ecaa5da55/src/lib/finance/model.ts</t>
        </is>
      </c>
      <c r="F51" s="39" t="inlineStr">
        <is>
          <t>Source baseline</t>
        </is>
      </c>
      <c r="G51" s="39" t="inlineStr">
        <is>
          <t>Mix, opex, capex and funding timing</t>
        </is>
      </c>
    </row>
    <row r="52" ht="41.40000152587891" customHeight="1" s="88">
      <c r="A52" s="2" t="n">
        <v>12</v>
      </c>
      <c r="B52" s="10" t="n">
        <v>10</v>
      </c>
      <c r="C52" s="2" t="n"/>
      <c r="D52" s="39" t="inlineStr">
        <is>
          <t>Funding tranches</t>
        </is>
      </c>
      <c r="E52" s="39" t="inlineStr">
        <is>
          <t>https://github.com/shyamsundhar1982/tiger-field-flora-finch/blob/c8bfd35f38970948dec86f8e41be046ecaa5da55/src/lib/data/company.ts</t>
        </is>
      </c>
      <c r="F52" s="39" t="inlineStr">
        <is>
          <t>Source baseline</t>
        </is>
      </c>
      <c r="G52" s="39" t="inlineStr">
        <is>
          <t>₹2 Cr core staged funding</t>
        </is>
      </c>
    </row>
    <row r="53" ht="27.60000038146973" customHeight="1" s="88">
      <c r="A53" s="2" t="n">
        <v>13</v>
      </c>
      <c r="B53" s="10" t="n">
        <v>12</v>
      </c>
      <c r="C53" s="2" t="n"/>
      <c r="D53" s="39" t="inlineStr">
        <is>
          <t>Material quantities</t>
        </is>
      </c>
      <c r="E53" s="39" t="inlineStr">
        <is>
          <t>This workbook Inputs!A24:G36</t>
        </is>
      </c>
      <c r="F53" s="39" t="inlineStr">
        <is>
          <t>Editable assumption</t>
        </is>
      </c>
      <c r="G53" s="39" t="inlineStr">
        <is>
          <t>Replace with approved variant BOM/ply-book quantities</t>
        </is>
      </c>
    </row>
    <row r="54" ht="14.39999961853027" customHeight="1" s="88">
      <c r="A54" s="2" t="n">
        <v>14</v>
      </c>
      <c r="B54" s="10" t="n">
        <v>12</v>
      </c>
      <c r="C54" s="2" t="n"/>
      <c r="D54" s="39" t="inlineStr">
        <is>
          <t>Opening inventory</t>
        </is>
      </c>
      <c r="E54" s="39" t="inlineStr">
        <is>
          <t>Zero</t>
        </is>
      </c>
      <c r="F54" s="39" t="inlineStr">
        <is>
          <t>Business instruction</t>
        </is>
      </c>
      <c r="G54" s="39" t="inlineStr">
        <is>
          <t>Requirements shown gross; no stock netting</t>
        </is>
      </c>
    </row>
    <row r="55" ht="14.39999961853027" customHeight="1" s="88">
      <c r="A55" s="2" t="n">
        <v>15</v>
      </c>
      <c r="B55" s="10" t="n">
        <v>14</v>
      </c>
      <c r="C55" s="2" t="n"/>
      <c r="D55" s="39" t="inlineStr">
        <is>
          <t>Accounting caution</t>
        </is>
      </c>
      <c r="E55" s="39" t="inlineStr">
        <is>
          <t>Planned revenue × collection assumption</t>
        </is>
      </c>
      <c r="F55" s="39" t="inlineStr">
        <is>
          <t>Forecast only</t>
        </is>
      </c>
      <c r="G55" s="39" t="inlineStr">
        <is>
          <t>Not recognized revenue or actual collection</t>
        </is>
      </c>
    </row>
    <row r="56" ht="14.39999961853027" customHeight="1" s="88">
      <c r="A56" s="2" t="n">
        <v>16</v>
      </c>
      <c r="B56" s="10" t="n">
        <v>14</v>
      </c>
      <c r="C56" s="2" t="n"/>
      <c r="D56" s="2" t="n"/>
      <c r="E56" s="2" t="n"/>
      <c r="F56" s="2" t="n"/>
      <c r="G56" s="2" t="n"/>
    </row>
    <row r="57" ht="14.39999961853027" customHeight="1" s="88">
      <c r="A57" s="2" t="n">
        <v>17</v>
      </c>
      <c r="B57" s="10" t="n">
        <v>16</v>
      </c>
      <c r="C57" s="2" t="n"/>
      <c r="D57" s="2" t="n"/>
      <c r="E57" s="2" t="n"/>
      <c r="F57" s="2" t="n"/>
      <c r="G57" s="2" t="n"/>
    </row>
    <row r="58" ht="14.39999961853027" customHeight="1" s="88">
      <c r="A58" s="2" t="n">
        <v>18</v>
      </c>
      <c r="B58" s="10" t="n">
        <v>16</v>
      </c>
      <c r="C58" s="2" t="n"/>
      <c r="D58" s="2" t="n"/>
      <c r="E58" s="2" t="n"/>
      <c r="F58" s="2" t="n"/>
      <c r="G58" s="2" t="n"/>
    </row>
    <row r="59" ht="14.39999961853027" customHeight="1" s="88">
      <c r="A59" s="2" t="n">
        <v>19</v>
      </c>
      <c r="B59" s="10" t="n">
        <v>18</v>
      </c>
      <c r="C59" s="2" t="n"/>
      <c r="D59" s="2" t="n"/>
      <c r="E59" s="2" t="n"/>
      <c r="F59" s="2" t="n"/>
      <c r="G59" s="2" t="n"/>
    </row>
    <row r="60" ht="14.39999961853027" customHeight="1" s="88">
      <c r="A60" s="2" t="n">
        <v>20</v>
      </c>
      <c r="B60" s="10" t="n">
        <v>18</v>
      </c>
      <c r="C60" s="2" t="n"/>
      <c r="D60" s="2" t="n"/>
      <c r="E60" s="2" t="n"/>
      <c r="F60" s="2" t="n"/>
      <c r="G60" s="2" t="n"/>
    </row>
    <row r="61" ht="14.39999961853027" customHeight="1" s="88">
      <c r="A61" s="2" t="n">
        <v>21</v>
      </c>
      <c r="B61" s="10" t="n">
        <v>20</v>
      </c>
      <c r="C61" s="2" t="n"/>
      <c r="D61" s="2" t="n"/>
      <c r="E61" s="2" t="n"/>
      <c r="F61" s="2" t="n"/>
      <c r="G61" s="2" t="n"/>
    </row>
    <row r="62" ht="14.39999961853027" customHeight="1" s="88">
      <c r="A62" s="2" t="n">
        <v>22</v>
      </c>
      <c r="B62" s="10" t="n">
        <v>20</v>
      </c>
      <c r="C62" s="2" t="n"/>
      <c r="D62" s="2" t="n"/>
      <c r="E62" s="2" t="n"/>
      <c r="F62" s="2" t="n"/>
      <c r="G62" s="2" t="n"/>
    </row>
    <row r="63" ht="14.39999961853027" customHeight="1" s="88">
      <c r="A63" s="2" t="n">
        <v>23</v>
      </c>
      <c r="B63" s="10" t="n">
        <v>22</v>
      </c>
      <c r="C63" s="2" t="n"/>
      <c r="D63" s="2" t="n"/>
      <c r="E63" s="2" t="n"/>
      <c r="F63" s="2" t="n"/>
      <c r="G63" s="2" t="n"/>
    </row>
    <row r="64" ht="14.39999961853027" customHeight="1" s="88">
      <c r="A64" s="2" t="n">
        <v>24</v>
      </c>
      <c r="B64" s="40" t="n">
        <v>22</v>
      </c>
      <c r="C64" s="2" t="n"/>
      <c r="D64" s="2" t="n"/>
      <c r="E64" s="2" t="n"/>
      <c r="F64" s="2" t="n"/>
      <c r="G64" s="2" t="n"/>
    </row>
    <row r="65" ht="14.39999961853027" customHeight="1" s="88">
      <c r="A65" s="2" t="n"/>
      <c r="B65" s="2" t="n"/>
      <c r="C65" s="2" t="n"/>
      <c r="D65" s="2" t="n"/>
      <c r="E65" s="2" t="n"/>
      <c r="F65" s="2" t="n"/>
      <c r="G65" s="2" t="n"/>
    </row>
    <row r="66" ht="14.39999961853027" customHeight="1" s="88">
      <c r="A66" s="2" t="n"/>
      <c r="B66" s="2" t="n"/>
      <c r="C66" s="2" t="n"/>
      <c r="D66" s="2" t="n"/>
      <c r="E66" s="2" t="n"/>
      <c r="F66" s="2" t="n"/>
      <c r="G66" s="2" t="n"/>
    </row>
    <row r="67" ht="14.39999961853027" customHeight="1" s="88">
      <c r="A67" s="3" t="inlineStr">
        <is>
          <t>Key output</t>
        </is>
      </c>
      <c r="B67" s="5" t="inlineStr">
        <is>
          <t>Formula / result</t>
        </is>
      </c>
      <c r="C67" s="4" t="inlineStr">
        <is>
          <t>Interpretation</t>
        </is>
      </c>
      <c r="D67" s="2" t="n"/>
      <c r="E67" s="2" t="n"/>
      <c r="F67" s="2" t="n"/>
      <c r="G67" s="2" t="n"/>
    </row>
    <row r="68" ht="14.39999961853027" customHeight="1" s="88">
      <c r="A68" s="2" t="inlineStr">
        <is>
          <t>Core staged funding</t>
        </is>
      </c>
      <c r="B68" s="224">
        <f>ROUND(SUM('Monthly Funding'!I6:I41),2)</f>
        <v/>
      </c>
      <c r="C68" s="2" t="inlineStr">
        <is>
          <t>Excludes optional standby</t>
        </is>
      </c>
      <c r="D68" s="2" t="n"/>
      <c r="E68" s="2" t="n"/>
      <c r="F68" s="2" t="n"/>
      <c r="G68" s="2" t="n"/>
    </row>
    <row r="69" ht="14.39999961853027" customHeight="1" s="88">
      <c r="A69" s="2" t="inlineStr">
        <is>
          <t>Optional standby</t>
        </is>
      </c>
      <c r="B69" s="224">
        <f>ROUND(SUM('Monthly Funding'!J6:J41),2)</f>
        <v/>
      </c>
      <c r="C69" s="2" t="inlineStr">
        <is>
          <t>Included in monthly cash projection</t>
        </is>
      </c>
      <c r="D69" s="2" t="n"/>
      <c r="E69" s="2" t="n"/>
      <c r="F69" s="2" t="n"/>
      <c r="G69" s="2" t="n"/>
    </row>
    <row r="70" ht="14.39999961853027" customHeight="1" s="88">
      <c r="A70" s="2" t="inlineStr">
        <is>
          <t>Additional funding gap</t>
        </is>
      </c>
      <c r="B70" s="224">
        <f>ROUND(SUM('Monthly Funding'!M6:M41),2)</f>
        <v/>
      </c>
      <c r="C70" s="2" t="inlineStr">
        <is>
          <t>Extra cash needed to preserve approved floor</t>
        </is>
      </c>
      <c r="D70" s="2" t="n"/>
      <c r="E70" s="2" t="n"/>
      <c r="F70" s="2" t="n"/>
      <c r="G70" s="2" t="n"/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3.80000019073486"/>
  <cols>
    <col width="9" customWidth="1" style="88" min="1" max="1"/>
    <col width="13" customWidth="1" style="88" min="2" max="2"/>
    <col width="15" customWidth="1" style="88" min="3" max="14"/>
  </cols>
  <sheetData>
    <row r="1" ht="14.39999961853027" customHeight="1" s="88">
      <c r="A1" s="181" t="inlineStr">
        <is>
          <t>Monthly Fund Requirement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4.39999961853027" customHeight="1" s="88">
      <c r="A2" s="183" t="inlineStr">
        <is>
          <t>Core funding tranches + optional standby + formula-derived additional funding to preserve cash floor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</row>
    <row r="3" ht="14.39999961853027" customHeight="1" s="88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4.39999961853027" customHeight="1" s="88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9.95000076293945" customHeight="1" s="88">
      <c r="A5" s="3" t="inlineStr">
        <is>
          <t>Month</t>
        </is>
      </c>
      <c r="B5" s="5" t="inlineStr">
        <is>
          <t>Date</t>
        </is>
      </c>
      <c r="C5" s="5" t="inlineStr">
        <is>
          <t>Units</t>
        </is>
      </c>
      <c r="D5" s="5" t="inlineStr">
        <is>
          <t>Opex ₹L</t>
        </is>
      </c>
      <c r="E5" s="5" t="inlineStr">
        <is>
          <t>Capex ₹L</t>
        </is>
      </c>
      <c r="F5" s="5" t="inlineStr">
        <is>
          <t>Net Procurement Cash ₹L</t>
        </is>
      </c>
      <c r="G5" s="5" t="inlineStr">
        <is>
          <t>Planned revenue ₹L</t>
        </is>
      </c>
      <c r="H5" s="5" t="inlineStr">
        <is>
          <t>Assumed cash inflow ₹L</t>
        </is>
      </c>
      <c r="I5" s="5" t="inlineStr">
        <is>
          <t>Core funding ₹L</t>
        </is>
      </c>
      <c r="J5" s="5" t="inlineStr">
        <is>
          <t>Standby ₹L</t>
        </is>
      </c>
      <c r="K5" s="5" t="inlineStr">
        <is>
          <t>Opening cash ₹L</t>
        </is>
      </c>
      <c r="L5" s="5" t="inlineStr">
        <is>
          <t>Pre-extra cash ₹L</t>
        </is>
      </c>
      <c r="M5" s="5" t="inlineStr">
        <is>
          <t>Additional fund required ₹L</t>
        </is>
      </c>
      <c r="N5" s="4" t="inlineStr">
        <is>
          <t>Closing cash ₹L</t>
        </is>
      </c>
    </row>
    <row r="6" ht="19.95000076293945" customHeight="1" s="88">
      <c r="A6" s="42" t="n">
        <v>1</v>
      </c>
      <c r="B6" s="43" t="n">
        <v>46266</v>
      </c>
      <c r="C6" s="225">
        <f>'Monthly Materials'!C6</f>
        <v/>
      </c>
      <c r="D6" s="226">
        <f>IF(A6&lt;=Inputs!$B$6-11,2.8,IF(A6&lt;=Inputs!$B$6-6,4.2,IF(A6&lt;=Inputs!$B$6-3,6,IF(A6&lt;=Inputs!$B$6,7.8,9.2))))</f>
        <v/>
      </c>
      <c r="E6" s="226">
        <f>SUMIF(Inputs!$D$41:$D$46,A6,Inputs!$E$41:$E$46)</f>
        <v/>
      </c>
      <c r="F6" s="226">
        <f>ROUND(INDEX('MRP Cash Bridge'!$J$4:$J$39,A6)/100000,2)</f>
        <v/>
      </c>
      <c r="G6" s="226">
        <f>ROUND('Monthly Materials'!D6*Inputs!$F$5+'Monthly Materials'!E6*Inputs!$F$6+'Monthly Materials'!F6*Inputs!$F$7,2)</f>
        <v/>
      </c>
      <c r="H6" s="226">
        <f>ROUND(G6*Inputs!$B$10,2)</f>
        <v/>
      </c>
      <c r="I6" s="226">
        <f>SUMIFS(Inputs!$C$15:$C$20,Inputs!$B$15:$B$20,A6,Inputs!$D$15:$D$20,"No")</f>
        <v/>
      </c>
      <c r="J6" s="226">
        <f>SUMIFS(Inputs!$C$15:$C$20,Inputs!$B$15:$B$20,A6,Inputs!$D$15:$D$20,"Yes")</f>
        <v/>
      </c>
      <c r="K6" s="226">
        <f>Inputs!$B$11</f>
        <v/>
      </c>
      <c r="L6" s="226">
        <f>ROUND(K6+H6+I6+J6-D6-E6-F6,2)</f>
        <v/>
      </c>
      <c r="M6" s="226">
        <f>ROUND(MAX(0,Inputs!$B$12-L6),2)</f>
        <v/>
      </c>
      <c r="N6" s="226">
        <f>ROUND(L6+M6,2)</f>
        <v/>
      </c>
    </row>
    <row r="7" ht="19.95000076293945" customHeight="1" s="88">
      <c r="A7" s="42" t="n">
        <v>2</v>
      </c>
      <c r="B7" s="43" t="n">
        <v>46296</v>
      </c>
      <c r="C7" s="225">
        <f>'Monthly Materials'!C7</f>
        <v/>
      </c>
      <c r="D7" s="226">
        <f>IF(A7&lt;=Inputs!$B$6-11,2.8,IF(A7&lt;=Inputs!$B$6-6,4.2,IF(A7&lt;=Inputs!$B$6-3,6,IF(A7&lt;=Inputs!$B$6,7.8,9.2))))</f>
        <v/>
      </c>
      <c r="E7" s="226">
        <f>SUMIF(Inputs!$D$41:$D$46,A7,Inputs!$E$41:$E$46)</f>
        <v/>
      </c>
      <c r="F7" s="226">
        <f>ROUND(INDEX('MRP Cash Bridge'!$J$4:$J$39,A7)/100000,2)</f>
        <v/>
      </c>
      <c r="G7" s="226">
        <f>ROUND('Monthly Materials'!D7*Inputs!$F$5+'Monthly Materials'!E7*Inputs!$F$6+'Monthly Materials'!F7*Inputs!$F$7,2)</f>
        <v/>
      </c>
      <c r="H7" s="226">
        <f>ROUND(G7*Inputs!$B$10,2)</f>
        <v/>
      </c>
      <c r="I7" s="226">
        <f>SUMIFS(Inputs!$C$15:$C$20,Inputs!$B$15:$B$20,A7,Inputs!$D$15:$D$20,"No")</f>
        <v/>
      </c>
      <c r="J7" s="226">
        <f>SUMIFS(Inputs!$C$15:$C$20,Inputs!$B$15:$B$20,A7,Inputs!$D$15:$D$20,"Yes")</f>
        <v/>
      </c>
      <c r="K7" s="226">
        <f>N6</f>
        <v/>
      </c>
      <c r="L7" s="226">
        <f>ROUND(K7+H7+I7+J7-D7-E7-F7,2)</f>
        <v/>
      </c>
      <c r="M7" s="226">
        <f>ROUND(MAX(0,Inputs!$B$12-L7),2)</f>
        <v/>
      </c>
      <c r="N7" s="226">
        <f>ROUND(L7+M7,2)</f>
        <v/>
      </c>
    </row>
    <row r="8" ht="19.95000076293945" customHeight="1" s="88">
      <c r="A8" s="42" t="n">
        <v>3</v>
      </c>
      <c r="B8" s="43" t="n">
        <v>46327</v>
      </c>
      <c r="C8" s="225">
        <f>'Monthly Materials'!C8</f>
        <v/>
      </c>
      <c r="D8" s="226">
        <f>IF(A8&lt;=Inputs!$B$6-11,2.8,IF(A8&lt;=Inputs!$B$6-6,4.2,IF(A8&lt;=Inputs!$B$6-3,6,IF(A8&lt;=Inputs!$B$6,7.8,9.2))))</f>
        <v/>
      </c>
      <c r="E8" s="226">
        <f>SUMIF(Inputs!$D$41:$D$46,A8,Inputs!$E$41:$E$46)</f>
        <v/>
      </c>
      <c r="F8" s="226">
        <f>ROUND(INDEX('MRP Cash Bridge'!$J$4:$J$39,A8)/100000,2)</f>
        <v/>
      </c>
      <c r="G8" s="226">
        <f>ROUND('Monthly Materials'!D8*Inputs!$F$5+'Monthly Materials'!E8*Inputs!$F$6+'Monthly Materials'!F8*Inputs!$F$7,2)</f>
        <v/>
      </c>
      <c r="H8" s="226">
        <f>ROUND(G8*Inputs!$B$10,2)</f>
        <v/>
      </c>
      <c r="I8" s="226">
        <f>SUMIFS(Inputs!$C$15:$C$20,Inputs!$B$15:$B$20,A8,Inputs!$D$15:$D$20,"No")</f>
        <v/>
      </c>
      <c r="J8" s="226">
        <f>SUMIFS(Inputs!$C$15:$C$20,Inputs!$B$15:$B$20,A8,Inputs!$D$15:$D$20,"Yes")</f>
        <v/>
      </c>
      <c r="K8" s="226">
        <f>N7</f>
        <v/>
      </c>
      <c r="L8" s="226">
        <f>ROUND(K8+H8+I8+J8-D8-E8-F8,2)</f>
        <v/>
      </c>
      <c r="M8" s="226">
        <f>ROUND(MAX(0,Inputs!$B$12-L8),2)</f>
        <v/>
      </c>
      <c r="N8" s="226">
        <f>ROUND(L8+M8,2)</f>
        <v/>
      </c>
    </row>
    <row r="9" ht="19.95000076293945" customHeight="1" s="88">
      <c r="A9" s="42" t="n">
        <v>4</v>
      </c>
      <c r="B9" s="43" t="n">
        <v>46357</v>
      </c>
      <c r="C9" s="225">
        <f>'Monthly Materials'!C9</f>
        <v/>
      </c>
      <c r="D9" s="226">
        <f>IF(A9&lt;=Inputs!$B$6-11,2.8,IF(A9&lt;=Inputs!$B$6-6,4.2,IF(A9&lt;=Inputs!$B$6-3,6,IF(A9&lt;=Inputs!$B$6,7.8,9.2))))</f>
        <v/>
      </c>
      <c r="E9" s="226">
        <f>SUMIF(Inputs!$D$41:$D$46,A9,Inputs!$E$41:$E$46)</f>
        <v/>
      </c>
      <c r="F9" s="226">
        <f>ROUND(INDEX('MRP Cash Bridge'!$J$4:$J$39,A9)/100000,2)</f>
        <v/>
      </c>
      <c r="G9" s="226">
        <f>ROUND('Monthly Materials'!D9*Inputs!$F$5+'Monthly Materials'!E9*Inputs!$F$6+'Monthly Materials'!F9*Inputs!$F$7,2)</f>
        <v/>
      </c>
      <c r="H9" s="226">
        <f>ROUND(G9*Inputs!$B$10,2)</f>
        <v/>
      </c>
      <c r="I9" s="226">
        <f>SUMIFS(Inputs!$C$15:$C$20,Inputs!$B$15:$B$20,A9,Inputs!$D$15:$D$20,"No")</f>
        <v/>
      </c>
      <c r="J9" s="226">
        <f>SUMIFS(Inputs!$C$15:$C$20,Inputs!$B$15:$B$20,A9,Inputs!$D$15:$D$20,"Yes")</f>
        <v/>
      </c>
      <c r="K9" s="226">
        <f>N8</f>
        <v/>
      </c>
      <c r="L9" s="226">
        <f>ROUND(K9+H9+I9+J9-D9-E9-F9,2)</f>
        <v/>
      </c>
      <c r="M9" s="226">
        <f>ROUND(MAX(0,Inputs!$B$12-L9),2)</f>
        <v/>
      </c>
      <c r="N9" s="226">
        <f>ROUND(L9+M9,2)</f>
        <v/>
      </c>
    </row>
    <row r="10" ht="19.95000076293945" customHeight="1" s="88">
      <c r="A10" s="42" t="n">
        <v>5</v>
      </c>
      <c r="B10" s="43" t="n">
        <v>46388</v>
      </c>
      <c r="C10" s="225">
        <f>'Monthly Materials'!C10</f>
        <v/>
      </c>
      <c r="D10" s="226">
        <f>IF(A10&lt;=Inputs!$B$6-11,2.8,IF(A10&lt;=Inputs!$B$6-6,4.2,IF(A10&lt;=Inputs!$B$6-3,6,IF(A10&lt;=Inputs!$B$6,7.8,9.2))))</f>
        <v/>
      </c>
      <c r="E10" s="226">
        <f>SUMIF(Inputs!$D$41:$D$46,A10,Inputs!$E$41:$E$46)</f>
        <v/>
      </c>
      <c r="F10" s="226">
        <f>ROUND(INDEX('MRP Cash Bridge'!$J$4:$J$39,A10)/100000,2)</f>
        <v/>
      </c>
      <c r="G10" s="226">
        <f>ROUND('Monthly Materials'!D10*Inputs!$F$5+'Monthly Materials'!E10*Inputs!$F$6+'Monthly Materials'!F10*Inputs!$F$7,2)</f>
        <v/>
      </c>
      <c r="H10" s="226">
        <f>ROUND(G10*Inputs!$B$10,2)</f>
        <v/>
      </c>
      <c r="I10" s="226">
        <f>SUMIFS(Inputs!$C$15:$C$20,Inputs!$B$15:$B$20,A10,Inputs!$D$15:$D$20,"No")</f>
        <v/>
      </c>
      <c r="J10" s="226">
        <f>SUMIFS(Inputs!$C$15:$C$20,Inputs!$B$15:$B$20,A10,Inputs!$D$15:$D$20,"Yes")</f>
        <v/>
      </c>
      <c r="K10" s="226">
        <f>N9</f>
        <v/>
      </c>
      <c r="L10" s="226">
        <f>ROUND(K10+H10+I10+J10-D10-E10-F10,2)</f>
        <v/>
      </c>
      <c r="M10" s="226">
        <f>ROUND(MAX(0,Inputs!$B$12-L10),2)</f>
        <v/>
      </c>
      <c r="N10" s="226">
        <f>ROUND(L10+M10,2)</f>
        <v/>
      </c>
    </row>
    <row r="11" ht="19.95000076293945" customHeight="1" s="88">
      <c r="A11" s="42" t="n">
        <v>6</v>
      </c>
      <c r="B11" s="43" t="n">
        <v>46419</v>
      </c>
      <c r="C11" s="225">
        <f>'Monthly Materials'!C11</f>
        <v/>
      </c>
      <c r="D11" s="226">
        <f>IF(A11&lt;=Inputs!$B$6-11,2.8,IF(A11&lt;=Inputs!$B$6-6,4.2,IF(A11&lt;=Inputs!$B$6-3,6,IF(A11&lt;=Inputs!$B$6,7.8,9.2))))</f>
        <v/>
      </c>
      <c r="E11" s="226">
        <f>SUMIF(Inputs!$D$41:$D$46,A11,Inputs!$E$41:$E$46)</f>
        <v/>
      </c>
      <c r="F11" s="226">
        <f>ROUND(INDEX('MRP Cash Bridge'!$J$4:$J$39,A11)/100000,2)</f>
        <v/>
      </c>
      <c r="G11" s="226">
        <f>ROUND('Monthly Materials'!D11*Inputs!$F$5+'Monthly Materials'!E11*Inputs!$F$6+'Monthly Materials'!F11*Inputs!$F$7,2)</f>
        <v/>
      </c>
      <c r="H11" s="226">
        <f>ROUND(G11*Inputs!$B$10,2)</f>
        <v/>
      </c>
      <c r="I11" s="226">
        <f>SUMIFS(Inputs!$C$15:$C$20,Inputs!$B$15:$B$20,A11,Inputs!$D$15:$D$20,"No")</f>
        <v/>
      </c>
      <c r="J11" s="226">
        <f>SUMIFS(Inputs!$C$15:$C$20,Inputs!$B$15:$B$20,A11,Inputs!$D$15:$D$20,"Yes")</f>
        <v/>
      </c>
      <c r="K11" s="226">
        <f>N10</f>
        <v/>
      </c>
      <c r="L11" s="226">
        <f>ROUND(K11+H11+I11+J11-D11-E11-F11,2)</f>
        <v/>
      </c>
      <c r="M11" s="226">
        <f>ROUND(MAX(0,Inputs!$B$12-L11),2)</f>
        <v/>
      </c>
      <c r="N11" s="226">
        <f>ROUND(L11+M11,2)</f>
        <v/>
      </c>
    </row>
    <row r="12" ht="19.95000076293945" customHeight="1" s="88">
      <c r="A12" s="42" t="n">
        <v>7</v>
      </c>
      <c r="B12" s="43" t="n">
        <v>46447</v>
      </c>
      <c r="C12" s="225">
        <f>'Monthly Materials'!C12</f>
        <v/>
      </c>
      <c r="D12" s="226">
        <f>IF(A12&lt;=Inputs!$B$6-11,2.8,IF(A12&lt;=Inputs!$B$6-6,4.2,IF(A12&lt;=Inputs!$B$6-3,6,IF(A12&lt;=Inputs!$B$6,7.8,9.2))))</f>
        <v/>
      </c>
      <c r="E12" s="226">
        <f>SUMIF(Inputs!$D$41:$D$46,A12,Inputs!$E$41:$E$46)</f>
        <v/>
      </c>
      <c r="F12" s="226">
        <f>ROUND(INDEX('MRP Cash Bridge'!$J$4:$J$39,A12)/100000,2)</f>
        <v/>
      </c>
      <c r="G12" s="226">
        <f>ROUND('Monthly Materials'!D12*Inputs!$F$5+'Monthly Materials'!E12*Inputs!$F$6+'Monthly Materials'!F12*Inputs!$F$7,2)</f>
        <v/>
      </c>
      <c r="H12" s="226">
        <f>ROUND(G12*Inputs!$B$10,2)</f>
        <v/>
      </c>
      <c r="I12" s="226">
        <f>SUMIFS(Inputs!$C$15:$C$20,Inputs!$B$15:$B$20,A12,Inputs!$D$15:$D$20,"No")</f>
        <v/>
      </c>
      <c r="J12" s="226">
        <f>SUMIFS(Inputs!$C$15:$C$20,Inputs!$B$15:$B$20,A12,Inputs!$D$15:$D$20,"Yes")</f>
        <v/>
      </c>
      <c r="K12" s="226">
        <f>N11</f>
        <v/>
      </c>
      <c r="L12" s="226">
        <f>ROUND(K12+H12+I12+J12-D12-E12-F12,2)</f>
        <v/>
      </c>
      <c r="M12" s="226">
        <f>ROUND(MAX(0,Inputs!$B$12-L12),2)</f>
        <v/>
      </c>
      <c r="N12" s="226">
        <f>ROUND(L12+M12,2)</f>
        <v/>
      </c>
    </row>
    <row r="13" ht="19.95000076293945" customHeight="1" s="88">
      <c r="A13" s="42" t="n">
        <v>8</v>
      </c>
      <c r="B13" s="43" t="n">
        <v>46478</v>
      </c>
      <c r="C13" s="225">
        <f>'Monthly Materials'!C13</f>
        <v/>
      </c>
      <c r="D13" s="226">
        <f>IF(A13&lt;=Inputs!$B$6-11,2.8,IF(A13&lt;=Inputs!$B$6-6,4.2,IF(A13&lt;=Inputs!$B$6-3,6,IF(A13&lt;=Inputs!$B$6,7.8,9.2))))</f>
        <v/>
      </c>
      <c r="E13" s="226">
        <f>SUMIF(Inputs!$D$41:$D$46,A13,Inputs!$E$41:$E$46)</f>
        <v/>
      </c>
      <c r="F13" s="226">
        <f>ROUND(INDEX('MRP Cash Bridge'!$J$4:$J$39,A13)/100000,2)</f>
        <v/>
      </c>
      <c r="G13" s="226">
        <f>ROUND('Monthly Materials'!D13*Inputs!$F$5+'Monthly Materials'!E13*Inputs!$F$6+'Monthly Materials'!F13*Inputs!$F$7,2)</f>
        <v/>
      </c>
      <c r="H13" s="226">
        <f>ROUND(G13*Inputs!$B$10,2)</f>
        <v/>
      </c>
      <c r="I13" s="226">
        <f>SUMIFS(Inputs!$C$15:$C$20,Inputs!$B$15:$B$20,A13,Inputs!$D$15:$D$20,"No")</f>
        <v/>
      </c>
      <c r="J13" s="226">
        <f>SUMIFS(Inputs!$C$15:$C$20,Inputs!$B$15:$B$20,A13,Inputs!$D$15:$D$20,"Yes")</f>
        <v/>
      </c>
      <c r="K13" s="226">
        <f>N12</f>
        <v/>
      </c>
      <c r="L13" s="226">
        <f>ROUND(K13+H13+I13+J13-D13-E13-F13,2)</f>
        <v/>
      </c>
      <c r="M13" s="226">
        <f>ROUND(MAX(0,Inputs!$B$12-L13),2)</f>
        <v/>
      </c>
      <c r="N13" s="226">
        <f>ROUND(L13+M13,2)</f>
        <v/>
      </c>
    </row>
    <row r="14" ht="19.95000076293945" customHeight="1" s="88">
      <c r="A14" s="42" t="n">
        <v>9</v>
      </c>
      <c r="B14" s="43" t="n">
        <v>46508</v>
      </c>
      <c r="C14" s="225">
        <f>'Monthly Materials'!C14</f>
        <v/>
      </c>
      <c r="D14" s="226">
        <f>IF(A14&lt;=Inputs!$B$6-11,2.8,IF(A14&lt;=Inputs!$B$6-6,4.2,IF(A14&lt;=Inputs!$B$6-3,6,IF(A14&lt;=Inputs!$B$6,7.8,9.2))))</f>
        <v/>
      </c>
      <c r="E14" s="226">
        <f>SUMIF(Inputs!$D$41:$D$46,A14,Inputs!$E$41:$E$46)</f>
        <v/>
      </c>
      <c r="F14" s="226">
        <f>ROUND(INDEX('MRP Cash Bridge'!$J$4:$J$39,A14)/100000,2)</f>
        <v/>
      </c>
      <c r="G14" s="226">
        <f>ROUND('Monthly Materials'!D14*Inputs!$F$5+'Monthly Materials'!E14*Inputs!$F$6+'Monthly Materials'!F14*Inputs!$F$7,2)</f>
        <v/>
      </c>
      <c r="H14" s="226">
        <f>ROUND(G14*Inputs!$B$10,2)</f>
        <v/>
      </c>
      <c r="I14" s="226">
        <f>SUMIFS(Inputs!$C$15:$C$20,Inputs!$B$15:$B$20,A14,Inputs!$D$15:$D$20,"No")</f>
        <v/>
      </c>
      <c r="J14" s="226">
        <f>SUMIFS(Inputs!$C$15:$C$20,Inputs!$B$15:$B$20,A14,Inputs!$D$15:$D$20,"Yes")</f>
        <v/>
      </c>
      <c r="K14" s="226">
        <f>N13</f>
        <v/>
      </c>
      <c r="L14" s="226">
        <f>ROUND(K14+H14+I14+J14-D14-E14-F14,2)</f>
        <v/>
      </c>
      <c r="M14" s="226">
        <f>ROUND(MAX(0,Inputs!$B$12-L14),2)</f>
        <v/>
      </c>
      <c r="N14" s="226">
        <f>ROUND(L14+M14,2)</f>
        <v/>
      </c>
    </row>
    <row r="15" ht="19.95000076293945" customHeight="1" s="88">
      <c r="A15" s="42" t="n">
        <v>10</v>
      </c>
      <c r="B15" s="43" t="n">
        <v>46539</v>
      </c>
      <c r="C15" s="225">
        <f>'Monthly Materials'!C15</f>
        <v/>
      </c>
      <c r="D15" s="226">
        <f>IF(A15&lt;=Inputs!$B$6-11,2.8,IF(A15&lt;=Inputs!$B$6-6,4.2,IF(A15&lt;=Inputs!$B$6-3,6,IF(A15&lt;=Inputs!$B$6,7.8,9.2))))</f>
        <v/>
      </c>
      <c r="E15" s="226">
        <f>SUMIF(Inputs!$D$41:$D$46,A15,Inputs!$E$41:$E$46)</f>
        <v/>
      </c>
      <c r="F15" s="226">
        <f>ROUND(INDEX('MRP Cash Bridge'!$J$4:$J$39,A15)/100000,2)</f>
        <v/>
      </c>
      <c r="G15" s="226">
        <f>ROUND('Monthly Materials'!D15*Inputs!$F$5+'Monthly Materials'!E15*Inputs!$F$6+'Monthly Materials'!F15*Inputs!$F$7,2)</f>
        <v/>
      </c>
      <c r="H15" s="226">
        <f>ROUND(G15*Inputs!$B$10,2)</f>
        <v/>
      </c>
      <c r="I15" s="226">
        <f>SUMIFS(Inputs!$C$15:$C$20,Inputs!$B$15:$B$20,A15,Inputs!$D$15:$D$20,"No")</f>
        <v/>
      </c>
      <c r="J15" s="226">
        <f>SUMIFS(Inputs!$C$15:$C$20,Inputs!$B$15:$B$20,A15,Inputs!$D$15:$D$20,"Yes")</f>
        <v/>
      </c>
      <c r="K15" s="226">
        <f>N14</f>
        <v/>
      </c>
      <c r="L15" s="226">
        <f>ROUND(K15+H15+I15+J15-D15-E15-F15,2)</f>
        <v/>
      </c>
      <c r="M15" s="226">
        <f>ROUND(MAX(0,Inputs!$B$12-L15),2)</f>
        <v/>
      </c>
      <c r="N15" s="226">
        <f>ROUND(L15+M15,2)</f>
        <v/>
      </c>
    </row>
    <row r="16" ht="19.95000076293945" customHeight="1" s="88">
      <c r="A16" s="42" t="n">
        <v>11</v>
      </c>
      <c r="B16" s="43" t="n">
        <v>46569</v>
      </c>
      <c r="C16" s="225">
        <f>'Monthly Materials'!C16</f>
        <v/>
      </c>
      <c r="D16" s="226">
        <f>IF(A16&lt;=Inputs!$B$6-11,2.8,IF(A16&lt;=Inputs!$B$6-6,4.2,IF(A16&lt;=Inputs!$B$6-3,6,IF(A16&lt;=Inputs!$B$6,7.8,9.2))))</f>
        <v/>
      </c>
      <c r="E16" s="226">
        <f>SUMIF(Inputs!$D$41:$D$46,A16,Inputs!$E$41:$E$46)</f>
        <v/>
      </c>
      <c r="F16" s="226">
        <f>ROUND(INDEX('MRP Cash Bridge'!$J$4:$J$39,A16)/100000,2)</f>
        <v/>
      </c>
      <c r="G16" s="226">
        <f>ROUND('Monthly Materials'!D16*Inputs!$F$5+'Monthly Materials'!E16*Inputs!$F$6+'Monthly Materials'!F16*Inputs!$F$7,2)</f>
        <v/>
      </c>
      <c r="H16" s="226">
        <f>ROUND(G16*Inputs!$B$10,2)</f>
        <v/>
      </c>
      <c r="I16" s="226">
        <f>SUMIFS(Inputs!$C$15:$C$20,Inputs!$B$15:$B$20,A16,Inputs!$D$15:$D$20,"No")</f>
        <v/>
      </c>
      <c r="J16" s="226">
        <f>SUMIFS(Inputs!$C$15:$C$20,Inputs!$B$15:$B$20,A16,Inputs!$D$15:$D$20,"Yes")</f>
        <v/>
      </c>
      <c r="K16" s="226">
        <f>N15</f>
        <v/>
      </c>
      <c r="L16" s="226">
        <f>ROUND(K16+H16+I16+J16-D16-E16-F16,2)</f>
        <v/>
      </c>
      <c r="M16" s="226">
        <f>ROUND(MAX(0,Inputs!$B$12-L16),2)</f>
        <v/>
      </c>
      <c r="N16" s="226">
        <f>ROUND(L16+M16,2)</f>
        <v/>
      </c>
    </row>
    <row r="17" ht="19.95000076293945" customHeight="1" s="88">
      <c r="A17" s="42" t="n">
        <v>12</v>
      </c>
      <c r="B17" s="43" t="n">
        <v>46600</v>
      </c>
      <c r="C17" s="225">
        <f>'Monthly Materials'!C17</f>
        <v/>
      </c>
      <c r="D17" s="226">
        <f>IF(A17&lt;=Inputs!$B$6-11,2.8,IF(A17&lt;=Inputs!$B$6-6,4.2,IF(A17&lt;=Inputs!$B$6-3,6,IF(A17&lt;=Inputs!$B$6,7.8,9.2))))</f>
        <v/>
      </c>
      <c r="E17" s="226">
        <f>SUMIF(Inputs!$D$41:$D$46,A17,Inputs!$E$41:$E$46)</f>
        <v/>
      </c>
      <c r="F17" s="226">
        <f>ROUND(INDEX('MRP Cash Bridge'!$J$4:$J$39,A17)/100000,2)</f>
        <v/>
      </c>
      <c r="G17" s="226">
        <f>ROUND('Monthly Materials'!D17*Inputs!$F$5+'Monthly Materials'!E17*Inputs!$F$6+'Monthly Materials'!F17*Inputs!$F$7,2)</f>
        <v/>
      </c>
      <c r="H17" s="226">
        <f>ROUND(G17*Inputs!$B$10,2)</f>
        <v/>
      </c>
      <c r="I17" s="226">
        <f>SUMIFS(Inputs!$C$15:$C$20,Inputs!$B$15:$B$20,A17,Inputs!$D$15:$D$20,"No")</f>
        <v/>
      </c>
      <c r="J17" s="226">
        <f>SUMIFS(Inputs!$C$15:$C$20,Inputs!$B$15:$B$20,A17,Inputs!$D$15:$D$20,"Yes")</f>
        <v/>
      </c>
      <c r="K17" s="226">
        <f>N16</f>
        <v/>
      </c>
      <c r="L17" s="226">
        <f>ROUND(K17+H17+I17+J17-D17-E17-F17,2)</f>
        <v/>
      </c>
      <c r="M17" s="226">
        <f>ROUND(MAX(0,Inputs!$B$12-L17),2)</f>
        <v/>
      </c>
      <c r="N17" s="226">
        <f>ROUND(L17+M17,2)</f>
        <v/>
      </c>
    </row>
    <row r="18" ht="19.95000076293945" customHeight="1" s="88">
      <c r="A18" s="42" t="n">
        <v>13</v>
      </c>
      <c r="B18" s="43" t="n">
        <v>46631</v>
      </c>
      <c r="C18" s="225">
        <f>'Monthly Materials'!C18</f>
        <v/>
      </c>
      <c r="D18" s="226">
        <f>IF(A18&lt;=Inputs!$B$6-11,2.8,IF(A18&lt;=Inputs!$B$6-6,4.2,IF(A18&lt;=Inputs!$B$6-3,6,IF(A18&lt;=Inputs!$B$6,7.8,9.2))))</f>
        <v/>
      </c>
      <c r="E18" s="226">
        <f>SUMIF(Inputs!$D$41:$D$46,A18,Inputs!$E$41:$E$46)</f>
        <v/>
      </c>
      <c r="F18" s="226">
        <f>ROUND(INDEX('MRP Cash Bridge'!$J$4:$J$39,A18)/100000,2)</f>
        <v/>
      </c>
      <c r="G18" s="226">
        <f>ROUND('Monthly Materials'!D18*Inputs!$F$5+'Monthly Materials'!E18*Inputs!$F$6+'Monthly Materials'!F18*Inputs!$F$7,2)</f>
        <v/>
      </c>
      <c r="H18" s="226">
        <f>ROUND(G18*Inputs!$B$10,2)</f>
        <v/>
      </c>
      <c r="I18" s="226">
        <f>SUMIFS(Inputs!$C$15:$C$20,Inputs!$B$15:$B$20,A18,Inputs!$D$15:$D$20,"No")</f>
        <v/>
      </c>
      <c r="J18" s="226">
        <f>SUMIFS(Inputs!$C$15:$C$20,Inputs!$B$15:$B$20,A18,Inputs!$D$15:$D$20,"Yes")</f>
        <v/>
      </c>
      <c r="K18" s="226">
        <f>N17</f>
        <v/>
      </c>
      <c r="L18" s="226">
        <f>ROUND(K18+H18+I18+J18-D18-E18-F18,2)</f>
        <v/>
      </c>
      <c r="M18" s="226">
        <f>ROUND(MAX(0,Inputs!$B$12-L18),2)</f>
        <v/>
      </c>
      <c r="N18" s="226">
        <f>ROUND(L18+M18,2)</f>
        <v/>
      </c>
    </row>
    <row r="19" ht="19.95000076293945" customHeight="1" s="88">
      <c r="A19" s="42" t="n">
        <v>14</v>
      </c>
      <c r="B19" s="43" t="n">
        <v>46661</v>
      </c>
      <c r="C19" s="225">
        <f>'Monthly Materials'!C19</f>
        <v/>
      </c>
      <c r="D19" s="226">
        <f>IF(A19&lt;=Inputs!$B$6-11,2.8,IF(A19&lt;=Inputs!$B$6-6,4.2,IF(A19&lt;=Inputs!$B$6-3,6,IF(A19&lt;=Inputs!$B$6,7.8,9.2))))</f>
        <v/>
      </c>
      <c r="E19" s="226">
        <f>SUMIF(Inputs!$D$41:$D$46,A19,Inputs!$E$41:$E$46)</f>
        <v/>
      </c>
      <c r="F19" s="226">
        <f>ROUND(INDEX('MRP Cash Bridge'!$J$4:$J$39,A19)/100000,2)</f>
        <v/>
      </c>
      <c r="G19" s="226">
        <f>ROUND('Monthly Materials'!D19*Inputs!$F$5+'Monthly Materials'!E19*Inputs!$F$6+'Monthly Materials'!F19*Inputs!$F$7,2)</f>
        <v/>
      </c>
      <c r="H19" s="226">
        <f>ROUND(G19*Inputs!$B$10,2)</f>
        <v/>
      </c>
      <c r="I19" s="226">
        <f>SUMIFS(Inputs!$C$15:$C$20,Inputs!$B$15:$B$20,A19,Inputs!$D$15:$D$20,"No")</f>
        <v/>
      </c>
      <c r="J19" s="226">
        <f>SUMIFS(Inputs!$C$15:$C$20,Inputs!$B$15:$B$20,A19,Inputs!$D$15:$D$20,"Yes")</f>
        <v/>
      </c>
      <c r="K19" s="226">
        <f>N18</f>
        <v/>
      </c>
      <c r="L19" s="226">
        <f>ROUND(K19+H19+I19+J19-D19-E19-F19,2)</f>
        <v/>
      </c>
      <c r="M19" s="226">
        <f>ROUND(MAX(0,Inputs!$B$12-L19),2)</f>
        <v/>
      </c>
      <c r="N19" s="226">
        <f>ROUND(L19+M19,2)</f>
        <v/>
      </c>
    </row>
    <row r="20" ht="19.95000076293945" customHeight="1" s="88">
      <c r="A20" s="42" t="n">
        <v>15</v>
      </c>
      <c r="B20" s="43" t="n">
        <v>46692</v>
      </c>
      <c r="C20" s="225">
        <f>'Monthly Materials'!C20</f>
        <v/>
      </c>
      <c r="D20" s="226">
        <f>IF(A20&lt;=Inputs!$B$6-11,2.8,IF(A20&lt;=Inputs!$B$6-6,4.2,IF(A20&lt;=Inputs!$B$6-3,6,IF(A20&lt;=Inputs!$B$6,7.8,9.2))))</f>
        <v/>
      </c>
      <c r="E20" s="226">
        <f>SUMIF(Inputs!$D$41:$D$46,A20,Inputs!$E$41:$E$46)</f>
        <v/>
      </c>
      <c r="F20" s="226">
        <f>ROUND(INDEX('MRP Cash Bridge'!$J$4:$J$39,A20)/100000,2)</f>
        <v/>
      </c>
      <c r="G20" s="226">
        <f>ROUND('Monthly Materials'!D20*Inputs!$F$5+'Monthly Materials'!E20*Inputs!$F$6+'Monthly Materials'!F20*Inputs!$F$7,2)</f>
        <v/>
      </c>
      <c r="H20" s="226">
        <f>ROUND(G20*Inputs!$B$10,2)</f>
        <v/>
      </c>
      <c r="I20" s="226">
        <f>SUMIFS(Inputs!$C$15:$C$20,Inputs!$B$15:$B$20,A20,Inputs!$D$15:$D$20,"No")</f>
        <v/>
      </c>
      <c r="J20" s="226">
        <f>SUMIFS(Inputs!$C$15:$C$20,Inputs!$B$15:$B$20,A20,Inputs!$D$15:$D$20,"Yes")</f>
        <v/>
      </c>
      <c r="K20" s="226">
        <f>N19</f>
        <v/>
      </c>
      <c r="L20" s="226">
        <f>ROUND(K20+H20+I20+J20-D20-E20-F20,2)</f>
        <v/>
      </c>
      <c r="M20" s="226">
        <f>ROUND(MAX(0,Inputs!$B$12-L20),2)</f>
        <v/>
      </c>
      <c r="N20" s="226">
        <f>ROUND(L20+M20,2)</f>
        <v/>
      </c>
    </row>
    <row r="21" ht="19.95000076293945" customHeight="1" s="88">
      <c r="A21" s="42" t="n">
        <v>16</v>
      </c>
      <c r="B21" s="43" t="n">
        <v>46722</v>
      </c>
      <c r="C21" s="225">
        <f>'Monthly Materials'!C21</f>
        <v/>
      </c>
      <c r="D21" s="226">
        <f>IF(A21&lt;=Inputs!$B$6-11,2.8,IF(A21&lt;=Inputs!$B$6-6,4.2,IF(A21&lt;=Inputs!$B$6-3,6,IF(A21&lt;=Inputs!$B$6,7.8,9.2))))</f>
        <v/>
      </c>
      <c r="E21" s="226">
        <f>SUMIF(Inputs!$D$41:$D$46,A21,Inputs!$E$41:$E$46)</f>
        <v/>
      </c>
      <c r="F21" s="226">
        <f>ROUND(INDEX('MRP Cash Bridge'!$J$4:$J$39,A21)/100000,2)</f>
        <v/>
      </c>
      <c r="G21" s="226">
        <f>ROUND('Monthly Materials'!D21*Inputs!$F$5+'Monthly Materials'!E21*Inputs!$F$6+'Monthly Materials'!F21*Inputs!$F$7,2)</f>
        <v/>
      </c>
      <c r="H21" s="226">
        <f>ROUND(G21*Inputs!$B$10,2)</f>
        <v/>
      </c>
      <c r="I21" s="226">
        <f>SUMIFS(Inputs!$C$15:$C$20,Inputs!$B$15:$B$20,A21,Inputs!$D$15:$D$20,"No")</f>
        <v/>
      </c>
      <c r="J21" s="226">
        <f>SUMIFS(Inputs!$C$15:$C$20,Inputs!$B$15:$B$20,A21,Inputs!$D$15:$D$20,"Yes")</f>
        <v/>
      </c>
      <c r="K21" s="226">
        <f>N20</f>
        <v/>
      </c>
      <c r="L21" s="226">
        <f>ROUND(K21+H21+I21+J21-D21-E21-F21,2)</f>
        <v/>
      </c>
      <c r="M21" s="226">
        <f>ROUND(MAX(0,Inputs!$B$12-L21),2)</f>
        <v/>
      </c>
      <c r="N21" s="226">
        <f>ROUND(L21+M21,2)</f>
        <v/>
      </c>
    </row>
    <row r="22" ht="19.95000076293945" customHeight="1" s="88">
      <c r="A22" s="42" t="n">
        <v>17</v>
      </c>
      <c r="B22" s="43" t="n">
        <v>46753</v>
      </c>
      <c r="C22" s="225">
        <f>'Monthly Materials'!C22</f>
        <v/>
      </c>
      <c r="D22" s="226">
        <f>IF(A22&lt;=Inputs!$B$6-11,2.8,IF(A22&lt;=Inputs!$B$6-6,4.2,IF(A22&lt;=Inputs!$B$6-3,6,IF(A22&lt;=Inputs!$B$6,7.8,9.2))))</f>
        <v/>
      </c>
      <c r="E22" s="226">
        <f>SUMIF(Inputs!$D$41:$D$46,A22,Inputs!$E$41:$E$46)</f>
        <v/>
      </c>
      <c r="F22" s="226">
        <f>ROUND(INDEX('MRP Cash Bridge'!$J$4:$J$39,A22)/100000,2)</f>
        <v/>
      </c>
      <c r="G22" s="226">
        <f>ROUND('Monthly Materials'!D22*Inputs!$F$5+'Monthly Materials'!E22*Inputs!$F$6+'Monthly Materials'!F22*Inputs!$F$7,2)</f>
        <v/>
      </c>
      <c r="H22" s="226">
        <f>ROUND(G22*Inputs!$B$10,2)</f>
        <v/>
      </c>
      <c r="I22" s="226">
        <f>SUMIFS(Inputs!$C$15:$C$20,Inputs!$B$15:$B$20,A22,Inputs!$D$15:$D$20,"No")</f>
        <v/>
      </c>
      <c r="J22" s="226">
        <f>SUMIFS(Inputs!$C$15:$C$20,Inputs!$B$15:$B$20,A22,Inputs!$D$15:$D$20,"Yes")</f>
        <v/>
      </c>
      <c r="K22" s="226">
        <f>N21</f>
        <v/>
      </c>
      <c r="L22" s="226">
        <f>ROUND(K22+H22+I22+J22-D22-E22-F22,2)</f>
        <v/>
      </c>
      <c r="M22" s="226">
        <f>ROUND(MAX(0,Inputs!$B$12-L22),2)</f>
        <v/>
      </c>
      <c r="N22" s="226">
        <f>ROUND(L22+M22,2)</f>
        <v/>
      </c>
    </row>
    <row r="23" ht="19.95000076293945" customHeight="1" s="88">
      <c r="A23" s="42" t="n">
        <v>18</v>
      </c>
      <c r="B23" s="43" t="n">
        <v>46784</v>
      </c>
      <c r="C23" s="225">
        <f>'Monthly Materials'!C23</f>
        <v/>
      </c>
      <c r="D23" s="226">
        <f>IF(A23&lt;=Inputs!$B$6-11,2.8,IF(A23&lt;=Inputs!$B$6-6,4.2,IF(A23&lt;=Inputs!$B$6-3,6,IF(A23&lt;=Inputs!$B$6,7.8,9.2))))</f>
        <v/>
      </c>
      <c r="E23" s="226">
        <f>SUMIF(Inputs!$D$41:$D$46,A23,Inputs!$E$41:$E$46)</f>
        <v/>
      </c>
      <c r="F23" s="226">
        <f>ROUND(INDEX('MRP Cash Bridge'!$J$4:$J$39,A23)/100000,2)</f>
        <v/>
      </c>
      <c r="G23" s="226">
        <f>ROUND('Monthly Materials'!D23*Inputs!$F$5+'Monthly Materials'!E23*Inputs!$F$6+'Monthly Materials'!F23*Inputs!$F$7,2)</f>
        <v/>
      </c>
      <c r="H23" s="226">
        <f>ROUND(G23*Inputs!$B$10,2)</f>
        <v/>
      </c>
      <c r="I23" s="226">
        <f>SUMIFS(Inputs!$C$15:$C$20,Inputs!$B$15:$B$20,A23,Inputs!$D$15:$D$20,"No")</f>
        <v/>
      </c>
      <c r="J23" s="226">
        <f>SUMIFS(Inputs!$C$15:$C$20,Inputs!$B$15:$B$20,A23,Inputs!$D$15:$D$20,"Yes")</f>
        <v/>
      </c>
      <c r="K23" s="226">
        <f>N22</f>
        <v/>
      </c>
      <c r="L23" s="226">
        <f>ROUND(K23+H23+I23+J23-D23-E23-F23,2)</f>
        <v/>
      </c>
      <c r="M23" s="226">
        <f>ROUND(MAX(0,Inputs!$B$12-L23),2)</f>
        <v/>
      </c>
      <c r="N23" s="226">
        <f>ROUND(L23+M23,2)</f>
        <v/>
      </c>
    </row>
    <row r="24" ht="19.95000076293945" customHeight="1" s="88">
      <c r="A24" s="42" t="n">
        <v>19</v>
      </c>
      <c r="B24" s="43" t="n">
        <v>46813</v>
      </c>
      <c r="C24" s="225">
        <f>'Monthly Materials'!C24</f>
        <v/>
      </c>
      <c r="D24" s="226">
        <f>IF(A24&lt;=Inputs!$B$6-11,2.8,IF(A24&lt;=Inputs!$B$6-6,4.2,IF(A24&lt;=Inputs!$B$6-3,6,IF(A24&lt;=Inputs!$B$6,7.8,9.2))))</f>
        <v/>
      </c>
      <c r="E24" s="226">
        <f>SUMIF(Inputs!$D$41:$D$46,A24,Inputs!$E$41:$E$46)</f>
        <v/>
      </c>
      <c r="F24" s="226">
        <f>ROUND(INDEX('MRP Cash Bridge'!$J$4:$J$39,A24)/100000,2)</f>
        <v/>
      </c>
      <c r="G24" s="226">
        <f>ROUND('Monthly Materials'!D24*Inputs!$F$5+'Monthly Materials'!E24*Inputs!$F$6+'Monthly Materials'!F24*Inputs!$F$7,2)</f>
        <v/>
      </c>
      <c r="H24" s="226">
        <f>ROUND(G24*Inputs!$B$10,2)</f>
        <v/>
      </c>
      <c r="I24" s="226">
        <f>SUMIFS(Inputs!$C$15:$C$20,Inputs!$B$15:$B$20,A24,Inputs!$D$15:$D$20,"No")</f>
        <v/>
      </c>
      <c r="J24" s="226">
        <f>SUMIFS(Inputs!$C$15:$C$20,Inputs!$B$15:$B$20,A24,Inputs!$D$15:$D$20,"Yes")</f>
        <v/>
      </c>
      <c r="K24" s="226">
        <f>N23</f>
        <v/>
      </c>
      <c r="L24" s="226">
        <f>ROUND(K24+H24+I24+J24-D24-E24-F24,2)</f>
        <v/>
      </c>
      <c r="M24" s="226">
        <f>ROUND(MAX(0,Inputs!$B$12-L24),2)</f>
        <v/>
      </c>
      <c r="N24" s="226">
        <f>ROUND(L24+M24,2)</f>
        <v/>
      </c>
    </row>
    <row r="25" ht="19.95000076293945" customHeight="1" s="88">
      <c r="A25" s="42" t="n">
        <v>20</v>
      </c>
      <c r="B25" s="43" t="n">
        <v>46844</v>
      </c>
      <c r="C25" s="225">
        <f>'Monthly Materials'!C25</f>
        <v/>
      </c>
      <c r="D25" s="226">
        <f>IF(A25&lt;=Inputs!$B$6-11,2.8,IF(A25&lt;=Inputs!$B$6-6,4.2,IF(A25&lt;=Inputs!$B$6-3,6,IF(A25&lt;=Inputs!$B$6,7.8,9.2))))</f>
        <v/>
      </c>
      <c r="E25" s="226">
        <f>SUMIF(Inputs!$D$41:$D$46,A25,Inputs!$E$41:$E$46)</f>
        <v/>
      </c>
      <c r="F25" s="226">
        <f>ROUND(INDEX('MRP Cash Bridge'!$J$4:$J$39,A25)/100000,2)</f>
        <v/>
      </c>
      <c r="G25" s="226">
        <f>ROUND('Monthly Materials'!D25*Inputs!$F$5+'Monthly Materials'!E25*Inputs!$F$6+'Monthly Materials'!F25*Inputs!$F$7,2)</f>
        <v/>
      </c>
      <c r="H25" s="226">
        <f>ROUND(G25*Inputs!$B$10,2)</f>
        <v/>
      </c>
      <c r="I25" s="226">
        <f>SUMIFS(Inputs!$C$15:$C$20,Inputs!$B$15:$B$20,A25,Inputs!$D$15:$D$20,"No")</f>
        <v/>
      </c>
      <c r="J25" s="226">
        <f>SUMIFS(Inputs!$C$15:$C$20,Inputs!$B$15:$B$20,A25,Inputs!$D$15:$D$20,"Yes")</f>
        <v/>
      </c>
      <c r="K25" s="226">
        <f>N24</f>
        <v/>
      </c>
      <c r="L25" s="226">
        <f>ROUND(K25+H25+I25+J25-D25-E25-F25,2)</f>
        <v/>
      </c>
      <c r="M25" s="226">
        <f>ROUND(MAX(0,Inputs!$B$12-L25),2)</f>
        <v/>
      </c>
      <c r="N25" s="226">
        <f>ROUND(L25+M25,2)</f>
        <v/>
      </c>
    </row>
    <row r="26" ht="19.95000076293945" customHeight="1" s="88">
      <c r="A26" s="42" t="n">
        <v>21</v>
      </c>
      <c r="B26" s="43" t="n">
        <v>46874</v>
      </c>
      <c r="C26" s="225">
        <f>'Monthly Materials'!C26</f>
        <v/>
      </c>
      <c r="D26" s="226">
        <f>IF(A26&lt;=Inputs!$B$6-11,2.8,IF(A26&lt;=Inputs!$B$6-6,4.2,IF(A26&lt;=Inputs!$B$6-3,6,IF(A26&lt;=Inputs!$B$6,7.8,9.2))))</f>
        <v/>
      </c>
      <c r="E26" s="226">
        <f>SUMIF(Inputs!$D$41:$D$46,A26,Inputs!$E$41:$E$46)</f>
        <v/>
      </c>
      <c r="F26" s="226">
        <f>ROUND(INDEX('MRP Cash Bridge'!$J$4:$J$39,A26)/100000,2)</f>
        <v/>
      </c>
      <c r="G26" s="226">
        <f>ROUND('Monthly Materials'!D26*Inputs!$F$5+'Monthly Materials'!E26*Inputs!$F$6+'Monthly Materials'!F26*Inputs!$F$7,2)</f>
        <v/>
      </c>
      <c r="H26" s="226">
        <f>ROUND(G26*Inputs!$B$10,2)</f>
        <v/>
      </c>
      <c r="I26" s="226">
        <f>SUMIFS(Inputs!$C$15:$C$20,Inputs!$B$15:$B$20,A26,Inputs!$D$15:$D$20,"No")</f>
        <v/>
      </c>
      <c r="J26" s="226">
        <f>SUMIFS(Inputs!$C$15:$C$20,Inputs!$B$15:$B$20,A26,Inputs!$D$15:$D$20,"Yes")</f>
        <v/>
      </c>
      <c r="K26" s="226">
        <f>N25</f>
        <v/>
      </c>
      <c r="L26" s="226">
        <f>ROUND(K26+H26+I26+J26-D26-E26-F26,2)</f>
        <v/>
      </c>
      <c r="M26" s="226">
        <f>ROUND(MAX(0,Inputs!$B$12-L26),2)</f>
        <v/>
      </c>
      <c r="N26" s="226">
        <f>ROUND(L26+M26,2)</f>
        <v/>
      </c>
    </row>
    <row r="27" ht="19.95000076293945" customHeight="1" s="88">
      <c r="A27" s="42" t="n">
        <v>22</v>
      </c>
      <c r="B27" s="43" t="n">
        <v>46905</v>
      </c>
      <c r="C27" s="225">
        <f>'Monthly Materials'!C27</f>
        <v/>
      </c>
      <c r="D27" s="226">
        <f>IF(A27&lt;=Inputs!$B$6-11,2.8,IF(A27&lt;=Inputs!$B$6-6,4.2,IF(A27&lt;=Inputs!$B$6-3,6,IF(A27&lt;=Inputs!$B$6,7.8,9.2))))</f>
        <v/>
      </c>
      <c r="E27" s="226">
        <f>SUMIF(Inputs!$D$41:$D$46,A27,Inputs!$E$41:$E$46)</f>
        <v/>
      </c>
      <c r="F27" s="226">
        <f>ROUND(INDEX('MRP Cash Bridge'!$J$4:$J$39,A27)/100000,2)</f>
        <v/>
      </c>
      <c r="G27" s="226">
        <f>ROUND('Monthly Materials'!D27*Inputs!$F$5+'Monthly Materials'!E27*Inputs!$F$6+'Monthly Materials'!F27*Inputs!$F$7,2)</f>
        <v/>
      </c>
      <c r="H27" s="226">
        <f>ROUND(G27*Inputs!$B$10,2)</f>
        <v/>
      </c>
      <c r="I27" s="226">
        <f>SUMIFS(Inputs!$C$15:$C$20,Inputs!$B$15:$B$20,A27,Inputs!$D$15:$D$20,"No")</f>
        <v/>
      </c>
      <c r="J27" s="226">
        <f>SUMIFS(Inputs!$C$15:$C$20,Inputs!$B$15:$B$20,A27,Inputs!$D$15:$D$20,"Yes")</f>
        <v/>
      </c>
      <c r="K27" s="226">
        <f>N26</f>
        <v/>
      </c>
      <c r="L27" s="226">
        <f>ROUND(K27+H27+I27+J27-D27-E27-F27,2)</f>
        <v/>
      </c>
      <c r="M27" s="226">
        <f>ROUND(MAX(0,Inputs!$B$12-L27),2)</f>
        <v/>
      </c>
      <c r="N27" s="226">
        <f>ROUND(L27+M27,2)</f>
        <v/>
      </c>
    </row>
    <row r="28" ht="19.95000076293945" customHeight="1" s="88">
      <c r="A28" s="42" t="n">
        <v>23</v>
      </c>
      <c r="B28" s="43" t="n">
        <v>46935</v>
      </c>
      <c r="C28" s="225">
        <f>'Monthly Materials'!C28</f>
        <v/>
      </c>
      <c r="D28" s="226">
        <f>IF(A28&lt;=Inputs!$B$6-11,2.8,IF(A28&lt;=Inputs!$B$6-6,4.2,IF(A28&lt;=Inputs!$B$6-3,6,IF(A28&lt;=Inputs!$B$6,7.8,9.2))))</f>
        <v/>
      </c>
      <c r="E28" s="226">
        <f>SUMIF(Inputs!$D$41:$D$46,A28,Inputs!$E$41:$E$46)</f>
        <v/>
      </c>
      <c r="F28" s="226">
        <f>ROUND(INDEX('MRP Cash Bridge'!$J$4:$J$39,A28)/100000,2)</f>
        <v/>
      </c>
      <c r="G28" s="226">
        <f>ROUND('Monthly Materials'!D28*Inputs!$F$5+'Monthly Materials'!E28*Inputs!$F$6+'Monthly Materials'!F28*Inputs!$F$7,2)</f>
        <v/>
      </c>
      <c r="H28" s="226">
        <f>ROUND(G28*Inputs!$B$10,2)</f>
        <v/>
      </c>
      <c r="I28" s="226">
        <f>SUMIFS(Inputs!$C$15:$C$20,Inputs!$B$15:$B$20,A28,Inputs!$D$15:$D$20,"No")</f>
        <v/>
      </c>
      <c r="J28" s="226">
        <f>SUMIFS(Inputs!$C$15:$C$20,Inputs!$B$15:$B$20,A28,Inputs!$D$15:$D$20,"Yes")</f>
        <v/>
      </c>
      <c r="K28" s="226">
        <f>N27</f>
        <v/>
      </c>
      <c r="L28" s="226">
        <f>ROUND(K28+H28+I28+J28-D28-E28-F28,2)</f>
        <v/>
      </c>
      <c r="M28" s="226">
        <f>ROUND(MAX(0,Inputs!$B$12-L28),2)</f>
        <v/>
      </c>
      <c r="N28" s="226">
        <f>ROUND(L28+M28,2)</f>
        <v/>
      </c>
    </row>
    <row r="29" ht="19.95000076293945" customHeight="1" s="88">
      <c r="A29" s="42" t="n">
        <v>24</v>
      </c>
      <c r="B29" s="43" t="n">
        <v>46966</v>
      </c>
      <c r="C29" s="225">
        <f>'Monthly Materials'!C29</f>
        <v/>
      </c>
      <c r="D29" s="226">
        <f>IF(A29&lt;=Inputs!$B$6-11,2.8,IF(A29&lt;=Inputs!$B$6-6,4.2,IF(A29&lt;=Inputs!$B$6-3,6,IF(A29&lt;=Inputs!$B$6,7.8,9.2))))</f>
        <v/>
      </c>
      <c r="E29" s="226">
        <f>SUMIF(Inputs!$D$41:$D$46,A29,Inputs!$E$41:$E$46)</f>
        <v/>
      </c>
      <c r="F29" s="226">
        <f>ROUND(INDEX('MRP Cash Bridge'!$J$4:$J$39,A29)/100000,2)</f>
        <v/>
      </c>
      <c r="G29" s="226">
        <f>ROUND('Monthly Materials'!D29*Inputs!$F$5+'Monthly Materials'!E29*Inputs!$F$6+'Monthly Materials'!F29*Inputs!$F$7,2)</f>
        <v/>
      </c>
      <c r="H29" s="226">
        <f>ROUND(G29*Inputs!$B$10,2)</f>
        <v/>
      </c>
      <c r="I29" s="226">
        <f>SUMIFS(Inputs!$C$15:$C$20,Inputs!$B$15:$B$20,A29,Inputs!$D$15:$D$20,"No")</f>
        <v/>
      </c>
      <c r="J29" s="226">
        <f>SUMIFS(Inputs!$C$15:$C$20,Inputs!$B$15:$B$20,A29,Inputs!$D$15:$D$20,"Yes")</f>
        <v/>
      </c>
      <c r="K29" s="226">
        <f>N28</f>
        <v/>
      </c>
      <c r="L29" s="226">
        <f>ROUND(K29+H29+I29+J29-D29-E29-F29,2)</f>
        <v/>
      </c>
      <c r="M29" s="226">
        <f>ROUND(MAX(0,Inputs!$B$12-L29),2)</f>
        <v/>
      </c>
      <c r="N29" s="226">
        <f>ROUND(L29+M29,2)</f>
        <v/>
      </c>
    </row>
    <row r="30" ht="19.95000076293945" customHeight="1" s="88">
      <c r="A30" s="42" t="n">
        <v>25</v>
      </c>
      <c r="B30" s="43" t="n">
        <v>46997</v>
      </c>
      <c r="C30" s="225">
        <f>'Monthly Materials'!C30</f>
        <v/>
      </c>
      <c r="D30" s="226">
        <f>IF(A30&lt;=Inputs!$B$6-11,2.8,IF(A30&lt;=Inputs!$B$6-6,4.2,IF(A30&lt;=Inputs!$B$6-3,6,IF(A30&lt;=Inputs!$B$6,7.8,9.2))))</f>
        <v/>
      </c>
      <c r="E30" s="226">
        <f>SUMIF(Inputs!$D$41:$D$46,A30,Inputs!$E$41:$E$46)</f>
        <v/>
      </c>
      <c r="F30" s="226">
        <f>ROUND(INDEX('MRP Cash Bridge'!$J$4:$J$39,A30)/100000,2)</f>
        <v/>
      </c>
      <c r="G30" s="226">
        <f>ROUND('Monthly Materials'!D30*Inputs!$F$5+'Monthly Materials'!E30*Inputs!$F$6+'Monthly Materials'!F30*Inputs!$F$7,2)</f>
        <v/>
      </c>
      <c r="H30" s="226">
        <f>ROUND(G30*Inputs!$B$10,2)</f>
        <v/>
      </c>
      <c r="I30" s="226">
        <f>SUMIFS(Inputs!$C$15:$C$20,Inputs!$B$15:$B$20,A30,Inputs!$D$15:$D$20,"No")</f>
        <v/>
      </c>
      <c r="J30" s="226">
        <f>SUMIFS(Inputs!$C$15:$C$20,Inputs!$B$15:$B$20,A30,Inputs!$D$15:$D$20,"Yes")</f>
        <v/>
      </c>
      <c r="K30" s="226">
        <f>N29</f>
        <v/>
      </c>
      <c r="L30" s="226">
        <f>ROUND(K30+H30+I30+J30-D30-E30-F30,2)</f>
        <v/>
      </c>
      <c r="M30" s="226">
        <f>ROUND(MAX(0,Inputs!$B$12-L30),2)</f>
        <v/>
      </c>
      <c r="N30" s="226">
        <f>ROUND(L30+M30,2)</f>
        <v/>
      </c>
    </row>
    <row r="31" ht="19.95000076293945" customHeight="1" s="88">
      <c r="A31" s="42" t="n">
        <v>26</v>
      </c>
      <c r="B31" s="43" t="n">
        <v>47027</v>
      </c>
      <c r="C31" s="225">
        <f>'Monthly Materials'!C31</f>
        <v/>
      </c>
      <c r="D31" s="226">
        <f>IF(A31&lt;=Inputs!$B$6-11,2.8,IF(A31&lt;=Inputs!$B$6-6,4.2,IF(A31&lt;=Inputs!$B$6-3,6,IF(A31&lt;=Inputs!$B$6,7.8,9.2))))</f>
        <v/>
      </c>
      <c r="E31" s="226">
        <f>SUMIF(Inputs!$D$41:$D$46,A31,Inputs!$E$41:$E$46)</f>
        <v/>
      </c>
      <c r="F31" s="226">
        <f>ROUND(INDEX('MRP Cash Bridge'!$J$4:$J$39,A31)/100000,2)</f>
        <v/>
      </c>
      <c r="G31" s="226">
        <f>ROUND('Monthly Materials'!D31*Inputs!$F$5+'Monthly Materials'!E31*Inputs!$F$6+'Monthly Materials'!F31*Inputs!$F$7,2)</f>
        <v/>
      </c>
      <c r="H31" s="226">
        <f>ROUND(G31*Inputs!$B$10,2)</f>
        <v/>
      </c>
      <c r="I31" s="226">
        <f>SUMIFS(Inputs!$C$15:$C$20,Inputs!$B$15:$B$20,A31,Inputs!$D$15:$D$20,"No")</f>
        <v/>
      </c>
      <c r="J31" s="226">
        <f>SUMIFS(Inputs!$C$15:$C$20,Inputs!$B$15:$B$20,A31,Inputs!$D$15:$D$20,"Yes")</f>
        <v/>
      </c>
      <c r="K31" s="226">
        <f>N30</f>
        <v/>
      </c>
      <c r="L31" s="226">
        <f>ROUND(K31+H31+I31+J31-D31-E31-F31,2)</f>
        <v/>
      </c>
      <c r="M31" s="226">
        <f>ROUND(MAX(0,Inputs!$B$12-L31),2)</f>
        <v/>
      </c>
      <c r="N31" s="226">
        <f>ROUND(L31+M31,2)</f>
        <v/>
      </c>
    </row>
    <row r="32" ht="19.95000076293945" customHeight="1" s="88">
      <c r="A32" s="42" t="n">
        <v>27</v>
      </c>
      <c r="B32" s="43" t="n">
        <v>47058</v>
      </c>
      <c r="C32" s="225">
        <f>'Monthly Materials'!C32</f>
        <v/>
      </c>
      <c r="D32" s="226">
        <f>IF(A32&lt;=Inputs!$B$6-11,2.8,IF(A32&lt;=Inputs!$B$6-6,4.2,IF(A32&lt;=Inputs!$B$6-3,6,IF(A32&lt;=Inputs!$B$6,7.8,9.2))))</f>
        <v/>
      </c>
      <c r="E32" s="226">
        <f>SUMIF(Inputs!$D$41:$D$46,A32,Inputs!$E$41:$E$46)</f>
        <v/>
      </c>
      <c r="F32" s="226">
        <f>ROUND(INDEX('MRP Cash Bridge'!$J$4:$J$39,A32)/100000,2)</f>
        <v/>
      </c>
      <c r="G32" s="226">
        <f>ROUND('Monthly Materials'!D32*Inputs!$F$5+'Monthly Materials'!E32*Inputs!$F$6+'Monthly Materials'!F32*Inputs!$F$7,2)</f>
        <v/>
      </c>
      <c r="H32" s="226">
        <f>ROUND(G32*Inputs!$B$10,2)</f>
        <v/>
      </c>
      <c r="I32" s="226">
        <f>SUMIFS(Inputs!$C$15:$C$20,Inputs!$B$15:$B$20,A32,Inputs!$D$15:$D$20,"No")</f>
        <v/>
      </c>
      <c r="J32" s="226">
        <f>SUMIFS(Inputs!$C$15:$C$20,Inputs!$B$15:$B$20,A32,Inputs!$D$15:$D$20,"Yes")</f>
        <v/>
      </c>
      <c r="K32" s="226">
        <f>N31</f>
        <v/>
      </c>
      <c r="L32" s="226">
        <f>ROUND(K32+H32+I32+J32-D32-E32-F32,2)</f>
        <v/>
      </c>
      <c r="M32" s="226">
        <f>ROUND(MAX(0,Inputs!$B$12-L32),2)</f>
        <v/>
      </c>
      <c r="N32" s="226">
        <f>ROUND(L32+M32,2)</f>
        <v/>
      </c>
    </row>
    <row r="33" ht="19.95000076293945" customHeight="1" s="88">
      <c r="A33" s="42" t="n">
        <v>28</v>
      </c>
      <c r="B33" s="43" t="n">
        <v>47088</v>
      </c>
      <c r="C33" s="225">
        <f>'Monthly Materials'!C33</f>
        <v/>
      </c>
      <c r="D33" s="226">
        <f>IF(A33&lt;=Inputs!$B$6-11,2.8,IF(A33&lt;=Inputs!$B$6-6,4.2,IF(A33&lt;=Inputs!$B$6-3,6,IF(A33&lt;=Inputs!$B$6,7.8,9.2))))</f>
        <v/>
      </c>
      <c r="E33" s="226">
        <f>SUMIF(Inputs!$D$41:$D$46,A33,Inputs!$E$41:$E$46)</f>
        <v/>
      </c>
      <c r="F33" s="226">
        <f>ROUND(INDEX('MRP Cash Bridge'!$J$4:$J$39,A33)/100000,2)</f>
        <v/>
      </c>
      <c r="G33" s="226">
        <f>ROUND('Monthly Materials'!D33*Inputs!$F$5+'Monthly Materials'!E33*Inputs!$F$6+'Monthly Materials'!F33*Inputs!$F$7,2)</f>
        <v/>
      </c>
      <c r="H33" s="226">
        <f>ROUND(G33*Inputs!$B$10,2)</f>
        <v/>
      </c>
      <c r="I33" s="226">
        <f>SUMIFS(Inputs!$C$15:$C$20,Inputs!$B$15:$B$20,A33,Inputs!$D$15:$D$20,"No")</f>
        <v/>
      </c>
      <c r="J33" s="226">
        <f>SUMIFS(Inputs!$C$15:$C$20,Inputs!$B$15:$B$20,A33,Inputs!$D$15:$D$20,"Yes")</f>
        <v/>
      </c>
      <c r="K33" s="226">
        <f>N32</f>
        <v/>
      </c>
      <c r="L33" s="226">
        <f>ROUND(K33+H33+I33+J33-D33-E33-F33,2)</f>
        <v/>
      </c>
      <c r="M33" s="226">
        <f>ROUND(MAX(0,Inputs!$B$12-L33),2)</f>
        <v/>
      </c>
      <c r="N33" s="226">
        <f>ROUND(L33+M33,2)</f>
        <v/>
      </c>
    </row>
    <row r="34" ht="19.95000076293945" customHeight="1" s="88">
      <c r="A34" s="42" t="n">
        <v>29</v>
      </c>
      <c r="B34" s="43" t="n">
        <v>47119</v>
      </c>
      <c r="C34" s="225">
        <f>'Monthly Materials'!C34</f>
        <v/>
      </c>
      <c r="D34" s="226">
        <f>IF(A34&lt;=Inputs!$B$6-11,2.8,IF(A34&lt;=Inputs!$B$6-6,4.2,IF(A34&lt;=Inputs!$B$6-3,6,IF(A34&lt;=Inputs!$B$6,7.8,9.2))))</f>
        <v/>
      </c>
      <c r="E34" s="226">
        <f>SUMIF(Inputs!$D$41:$D$46,A34,Inputs!$E$41:$E$46)</f>
        <v/>
      </c>
      <c r="F34" s="226">
        <f>ROUND(INDEX('MRP Cash Bridge'!$J$4:$J$39,A34)/100000,2)</f>
        <v/>
      </c>
      <c r="G34" s="226">
        <f>ROUND('Monthly Materials'!D34*Inputs!$F$5+'Monthly Materials'!E34*Inputs!$F$6+'Monthly Materials'!F34*Inputs!$F$7,2)</f>
        <v/>
      </c>
      <c r="H34" s="226">
        <f>ROUND(G34*Inputs!$B$10,2)</f>
        <v/>
      </c>
      <c r="I34" s="226">
        <f>SUMIFS(Inputs!$C$15:$C$20,Inputs!$B$15:$B$20,A34,Inputs!$D$15:$D$20,"No")</f>
        <v/>
      </c>
      <c r="J34" s="226">
        <f>SUMIFS(Inputs!$C$15:$C$20,Inputs!$B$15:$B$20,A34,Inputs!$D$15:$D$20,"Yes")</f>
        <v/>
      </c>
      <c r="K34" s="226">
        <f>N33</f>
        <v/>
      </c>
      <c r="L34" s="226">
        <f>ROUND(K34+H34+I34+J34-D34-E34-F34,2)</f>
        <v/>
      </c>
      <c r="M34" s="226">
        <f>ROUND(MAX(0,Inputs!$B$12-L34),2)</f>
        <v/>
      </c>
      <c r="N34" s="226">
        <f>ROUND(L34+M34,2)</f>
        <v/>
      </c>
    </row>
    <row r="35" ht="19.95000076293945" customHeight="1" s="88">
      <c r="A35" s="42" t="n">
        <v>30</v>
      </c>
      <c r="B35" s="43" t="n">
        <v>47150</v>
      </c>
      <c r="C35" s="225">
        <f>'Monthly Materials'!C35</f>
        <v/>
      </c>
      <c r="D35" s="226">
        <f>IF(A35&lt;=Inputs!$B$6-11,2.8,IF(A35&lt;=Inputs!$B$6-6,4.2,IF(A35&lt;=Inputs!$B$6-3,6,IF(A35&lt;=Inputs!$B$6,7.8,9.2))))</f>
        <v/>
      </c>
      <c r="E35" s="226">
        <f>SUMIF(Inputs!$D$41:$D$46,A35,Inputs!$E$41:$E$46)</f>
        <v/>
      </c>
      <c r="F35" s="226">
        <f>ROUND(INDEX('MRP Cash Bridge'!$J$4:$J$39,A35)/100000,2)</f>
        <v/>
      </c>
      <c r="G35" s="226">
        <f>ROUND('Monthly Materials'!D35*Inputs!$F$5+'Monthly Materials'!E35*Inputs!$F$6+'Monthly Materials'!F35*Inputs!$F$7,2)</f>
        <v/>
      </c>
      <c r="H35" s="226">
        <f>ROUND(G35*Inputs!$B$10,2)</f>
        <v/>
      </c>
      <c r="I35" s="226">
        <f>SUMIFS(Inputs!$C$15:$C$20,Inputs!$B$15:$B$20,A35,Inputs!$D$15:$D$20,"No")</f>
        <v/>
      </c>
      <c r="J35" s="226">
        <f>SUMIFS(Inputs!$C$15:$C$20,Inputs!$B$15:$B$20,A35,Inputs!$D$15:$D$20,"Yes")</f>
        <v/>
      </c>
      <c r="K35" s="226">
        <f>N34</f>
        <v/>
      </c>
      <c r="L35" s="226">
        <f>ROUND(K35+H35+I35+J35-D35-E35-F35,2)</f>
        <v/>
      </c>
      <c r="M35" s="226">
        <f>ROUND(MAX(0,Inputs!$B$12-L35),2)</f>
        <v/>
      </c>
      <c r="N35" s="226">
        <f>ROUND(L35+M35,2)</f>
        <v/>
      </c>
    </row>
    <row r="36" ht="19.95000076293945" customHeight="1" s="88">
      <c r="A36" s="42" t="n">
        <v>31</v>
      </c>
      <c r="B36" s="43" t="n">
        <v>47178</v>
      </c>
      <c r="C36" s="225">
        <f>'Monthly Materials'!C36</f>
        <v/>
      </c>
      <c r="D36" s="226">
        <f>IF(A36&lt;=Inputs!$B$6-11,2.8,IF(A36&lt;=Inputs!$B$6-6,4.2,IF(A36&lt;=Inputs!$B$6-3,6,IF(A36&lt;=Inputs!$B$6,7.8,9.2))))</f>
        <v/>
      </c>
      <c r="E36" s="226">
        <f>SUMIF(Inputs!$D$41:$D$46,A36,Inputs!$E$41:$E$46)</f>
        <v/>
      </c>
      <c r="F36" s="226">
        <f>ROUND(INDEX('MRP Cash Bridge'!$J$4:$J$39,A36)/100000,2)</f>
        <v/>
      </c>
      <c r="G36" s="226">
        <f>ROUND('Monthly Materials'!D36*Inputs!$F$5+'Monthly Materials'!E36*Inputs!$F$6+'Monthly Materials'!F36*Inputs!$F$7,2)</f>
        <v/>
      </c>
      <c r="H36" s="226">
        <f>ROUND(G36*Inputs!$B$10,2)</f>
        <v/>
      </c>
      <c r="I36" s="226">
        <f>SUMIFS(Inputs!$C$15:$C$20,Inputs!$B$15:$B$20,A36,Inputs!$D$15:$D$20,"No")</f>
        <v/>
      </c>
      <c r="J36" s="226">
        <f>SUMIFS(Inputs!$C$15:$C$20,Inputs!$B$15:$B$20,A36,Inputs!$D$15:$D$20,"Yes")</f>
        <v/>
      </c>
      <c r="K36" s="226">
        <f>N35</f>
        <v/>
      </c>
      <c r="L36" s="226">
        <f>ROUND(K36+H36+I36+J36-D36-E36-F36,2)</f>
        <v/>
      </c>
      <c r="M36" s="226">
        <f>ROUND(MAX(0,Inputs!$B$12-L36),2)</f>
        <v/>
      </c>
      <c r="N36" s="226">
        <f>ROUND(L36+M36,2)</f>
        <v/>
      </c>
    </row>
    <row r="37" ht="19.95000076293945" customHeight="1" s="88">
      <c r="A37" s="42" t="n">
        <v>32</v>
      </c>
      <c r="B37" s="43" t="n">
        <v>47209</v>
      </c>
      <c r="C37" s="225">
        <f>'Monthly Materials'!C37</f>
        <v/>
      </c>
      <c r="D37" s="226">
        <f>IF(A37&lt;=Inputs!$B$6-11,2.8,IF(A37&lt;=Inputs!$B$6-6,4.2,IF(A37&lt;=Inputs!$B$6-3,6,IF(A37&lt;=Inputs!$B$6,7.8,9.2))))</f>
        <v/>
      </c>
      <c r="E37" s="226">
        <f>SUMIF(Inputs!$D$41:$D$46,A37,Inputs!$E$41:$E$46)</f>
        <v/>
      </c>
      <c r="F37" s="226">
        <f>ROUND(INDEX('MRP Cash Bridge'!$J$4:$J$39,A37)/100000,2)</f>
        <v/>
      </c>
      <c r="G37" s="226">
        <f>ROUND('Monthly Materials'!D37*Inputs!$F$5+'Monthly Materials'!E37*Inputs!$F$6+'Monthly Materials'!F37*Inputs!$F$7,2)</f>
        <v/>
      </c>
      <c r="H37" s="226">
        <f>ROUND(G37*Inputs!$B$10,2)</f>
        <v/>
      </c>
      <c r="I37" s="226">
        <f>SUMIFS(Inputs!$C$15:$C$20,Inputs!$B$15:$B$20,A37,Inputs!$D$15:$D$20,"No")</f>
        <v/>
      </c>
      <c r="J37" s="226">
        <f>SUMIFS(Inputs!$C$15:$C$20,Inputs!$B$15:$B$20,A37,Inputs!$D$15:$D$20,"Yes")</f>
        <v/>
      </c>
      <c r="K37" s="226">
        <f>N36</f>
        <v/>
      </c>
      <c r="L37" s="226">
        <f>ROUND(K37+H37+I37+J37-D37-E37-F37,2)</f>
        <v/>
      </c>
      <c r="M37" s="226">
        <f>ROUND(MAX(0,Inputs!$B$12-L37),2)</f>
        <v/>
      </c>
      <c r="N37" s="226">
        <f>ROUND(L37+M37,2)</f>
        <v/>
      </c>
    </row>
    <row r="38" ht="19.95000076293945" customHeight="1" s="88">
      <c r="A38" s="42" t="n">
        <v>33</v>
      </c>
      <c r="B38" s="43" t="n">
        <v>47239</v>
      </c>
      <c r="C38" s="225">
        <f>'Monthly Materials'!C38</f>
        <v/>
      </c>
      <c r="D38" s="226">
        <f>IF(A38&lt;=Inputs!$B$6-11,2.8,IF(A38&lt;=Inputs!$B$6-6,4.2,IF(A38&lt;=Inputs!$B$6-3,6,IF(A38&lt;=Inputs!$B$6,7.8,9.2))))</f>
        <v/>
      </c>
      <c r="E38" s="226">
        <f>SUMIF(Inputs!$D$41:$D$46,A38,Inputs!$E$41:$E$46)</f>
        <v/>
      </c>
      <c r="F38" s="226">
        <f>ROUND(INDEX('MRP Cash Bridge'!$J$4:$J$39,A38)/100000,2)</f>
        <v/>
      </c>
      <c r="G38" s="226">
        <f>ROUND('Monthly Materials'!D38*Inputs!$F$5+'Monthly Materials'!E38*Inputs!$F$6+'Monthly Materials'!F38*Inputs!$F$7,2)</f>
        <v/>
      </c>
      <c r="H38" s="226">
        <f>ROUND(G38*Inputs!$B$10,2)</f>
        <v/>
      </c>
      <c r="I38" s="226">
        <f>SUMIFS(Inputs!$C$15:$C$20,Inputs!$B$15:$B$20,A38,Inputs!$D$15:$D$20,"No")</f>
        <v/>
      </c>
      <c r="J38" s="226">
        <f>SUMIFS(Inputs!$C$15:$C$20,Inputs!$B$15:$B$20,A38,Inputs!$D$15:$D$20,"Yes")</f>
        <v/>
      </c>
      <c r="K38" s="226">
        <f>N37</f>
        <v/>
      </c>
      <c r="L38" s="226">
        <f>ROUND(K38+H38+I38+J38-D38-E38-F38,2)</f>
        <v/>
      </c>
      <c r="M38" s="226">
        <f>ROUND(MAX(0,Inputs!$B$12-L38),2)</f>
        <v/>
      </c>
      <c r="N38" s="226">
        <f>ROUND(L38+M38,2)</f>
        <v/>
      </c>
    </row>
    <row r="39" ht="19.95000076293945" customHeight="1" s="88">
      <c r="A39" s="42" t="n">
        <v>34</v>
      </c>
      <c r="B39" s="43" t="n">
        <v>47270</v>
      </c>
      <c r="C39" s="225">
        <f>'Monthly Materials'!C39</f>
        <v/>
      </c>
      <c r="D39" s="226">
        <f>IF(A39&lt;=Inputs!$B$6-11,2.8,IF(A39&lt;=Inputs!$B$6-6,4.2,IF(A39&lt;=Inputs!$B$6-3,6,IF(A39&lt;=Inputs!$B$6,7.8,9.2))))</f>
        <v/>
      </c>
      <c r="E39" s="226">
        <f>SUMIF(Inputs!$D$41:$D$46,A39,Inputs!$E$41:$E$46)</f>
        <v/>
      </c>
      <c r="F39" s="226">
        <f>ROUND(INDEX('MRP Cash Bridge'!$J$4:$J$39,A39)/100000,2)</f>
        <v/>
      </c>
      <c r="G39" s="226">
        <f>ROUND('Monthly Materials'!D39*Inputs!$F$5+'Monthly Materials'!E39*Inputs!$F$6+'Monthly Materials'!F39*Inputs!$F$7,2)</f>
        <v/>
      </c>
      <c r="H39" s="226">
        <f>ROUND(G39*Inputs!$B$10,2)</f>
        <v/>
      </c>
      <c r="I39" s="226">
        <f>SUMIFS(Inputs!$C$15:$C$20,Inputs!$B$15:$B$20,A39,Inputs!$D$15:$D$20,"No")</f>
        <v/>
      </c>
      <c r="J39" s="226">
        <f>SUMIFS(Inputs!$C$15:$C$20,Inputs!$B$15:$B$20,A39,Inputs!$D$15:$D$20,"Yes")</f>
        <v/>
      </c>
      <c r="K39" s="226">
        <f>N38</f>
        <v/>
      </c>
      <c r="L39" s="226">
        <f>ROUND(K39+H39+I39+J39-D39-E39-F39,2)</f>
        <v/>
      </c>
      <c r="M39" s="226">
        <f>ROUND(MAX(0,Inputs!$B$12-L39),2)</f>
        <v/>
      </c>
      <c r="N39" s="226">
        <f>ROUND(L39+M39,2)</f>
        <v/>
      </c>
    </row>
    <row r="40" ht="19.95000076293945" customHeight="1" s="88">
      <c r="A40" s="42" t="n">
        <v>35</v>
      </c>
      <c r="B40" s="43" t="n">
        <v>47300</v>
      </c>
      <c r="C40" s="225">
        <f>'Monthly Materials'!C40</f>
        <v/>
      </c>
      <c r="D40" s="226">
        <f>IF(A40&lt;=Inputs!$B$6-11,2.8,IF(A40&lt;=Inputs!$B$6-6,4.2,IF(A40&lt;=Inputs!$B$6-3,6,IF(A40&lt;=Inputs!$B$6,7.8,9.2))))</f>
        <v/>
      </c>
      <c r="E40" s="226">
        <f>SUMIF(Inputs!$D$41:$D$46,A40,Inputs!$E$41:$E$46)</f>
        <v/>
      </c>
      <c r="F40" s="226">
        <f>ROUND(INDEX('MRP Cash Bridge'!$J$4:$J$39,A40)/100000,2)</f>
        <v/>
      </c>
      <c r="G40" s="226">
        <f>ROUND('Monthly Materials'!D40*Inputs!$F$5+'Monthly Materials'!E40*Inputs!$F$6+'Monthly Materials'!F40*Inputs!$F$7,2)</f>
        <v/>
      </c>
      <c r="H40" s="226">
        <f>ROUND(G40*Inputs!$B$10,2)</f>
        <v/>
      </c>
      <c r="I40" s="226">
        <f>SUMIFS(Inputs!$C$15:$C$20,Inputs!$B$15:$B$20,A40,Inputs!$D$15:$D$20,"No")</f>
        <v/>
      </c>
      <c r="J40" s="226">
        <f>SUMIFS(Inputs!$C$15:$C$20,Inputs!$B$15:$B$20,A40,Inputs!$D$15:$D$20,"Yes")</f>
        <v/>
      </c>
      <c r="K40" s="226">
        <f>N39</f>
        <v/>
      </c>
      <c r="L40" s="226">
        <f>ROUND(K40+H40+I40+J40-D40-E40-F40,2)</f>
        <v/>
      </c>
      <c r="M40" s="226">
        <f>ROUND(MAX(0,Inputs!$B$12-L40),2)</f>
        <v/>
      </c>
      <c r="N40" s="226">
        <f>ROUND(L40+M40,2)</f>
        <v/>
      </c>
    </row>
    <row r="41" ht="19.95000076293945" customHeight="1" s="88">
      <c r="A41" s="42" t="n">
        <v>36</v>
      </c>
      <c r="B41" s="43" t="n">
        <v>47331</v>
      </c>
      <c r="C41" s="225">
        <f>'Monthly Materials'!C41</f>
        <v/>
      </c>
      <c r="D41" s="226">
        <f>IF(A41&lt;=Inputs!$B$6-11,2.8,IF(A41&lt;=Inputs!$B$6-6,4.2,IF(A41&lt;=Inputs!$B$6-3,6,IF(A41&lt;=Inputs!$B$6,7.8,9.2))))</f>
        <v/>
      </c>
      <c r="E41" s="226">
        <f>SUMIF(Inputs!$D$41:$D$46,A41,Inputs!$E$41:$E$46)</f>
        <v/>
      </c>
      <c r="F41" s="226">
        <f>ROUND(INDEX('MRP Cash Bridge'!$J$4:$J$39,A41)/100000,2)</f>
        <v/>
      </c>
      <c r="G41" s="226">
        <f>ROUND('Monthly Materials'!D41*Inputs!$F$5+'Monthly Materials'!E41*Inputs!$F$6+'Monthly Materials'!F41*Inputs!$F$7,2)</f>
        <v/>
      </c>
      <c r="H41" s="226">
        <f>ROUND(G41*Inputs!$B$10,2)</f>
        <v/>
      </c>
      <c r="I41" s="226">
        <f>SUMIFS(Inputs!$C$15:$C$20,Inputs!$B$15:$B$20,A41,Inputs!$D$15:$D$20,"No")</f>
        <v/>
      </c>
      <c r="J41" s="226">
        <f>SUMIFS(Inputs!$C$15:$C$20,Inputs!$B$15:$B$20,A41,Inputs!$D$15:$D$20,"Yes")</f>
        <v/>
      </c>
      <c r="K41" s="226">
        <f>N40</f>
        <v/>
      </c>
      <c r="L41" s="226">
        <f>ROUND(K41+H41+I41+J41-D41-E41-F41,2)</f>
        <v/>
      </c>
      <c r="M41" s="226">
        <f>ROUND(MAX(0,Inputs!$B$12-L41),2)</f>
        <v/>
      </c>
      <c r="N41" s="226">
        <f>ROUND(L41+M41,2)</f>
        <v/>
      </c>
    </row>
    <row r="42" ht="19.95000076293945" customHeight="1" s="88">
      <c r="A42" s="46" t="inlineStr">
        <is>
          <t>36M TOTAL</t>
        </is>
      </c>
      <c r="B42" s="46" t="n"/>
      <c r="C42" s="227">
        <f>SUM(C6:C41)</f>
        <v/>
      </c>
      <c r="D42" s="228">
        <f>SUM(D6:D41)</f>
        <v/>
      </c>
      <c r="E42" s="228">
        <f>SUM(E6:E41)</f>
        <v/>
      </c>
      <c r="F42" s="228">
        <f>SUM(F6:F41)</f>
        <v/>
      </c>
      <c r="G42" s="228">
        <f>SUM(G6:G41)</f>
        <v/>
      </c>
      <c r="H42" s="228">
        <f>SUM(H6:H41)</f>
        <v/>
      </c>
      <c r="I42" s="228">
        <f>SUM(I6:I41)</f>
        <v/>
      </c>
      <c r="J42" s="228">
        <f>SUM(J6:J41)</f>
        <v/>
      </c>
      <c r="K42" s="228" t="n"/>
      <c r="L42" s="228" t="n"/>
      <c r="M42" s="228">
        <f>SUM(M6:M41)</f>
        <v/>
      </c>
      <c r="N42" s="228">
        <f>N41</f>
        <v/>
      </c>
    </row>
  </sheetData>
  <mergeCells count="2">
    <mergeCell ref="A2:N2"/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selection activeCell="A1" sqref="A1"/>
    </sheetView>
  </sheetViews>
  <sheetFormatPr baseColWidth="8" defaultRowHeight="13.80000019073486"/>
  <cols>
    <col width="9" customWidth="1" style="88" min="1" max="1"/>
    <col width="13" customWidth="1" style="88" min="2" max="2"/>
    <col width="12" customWidth="1" style="88" min="3" max="6"/>
    <col width="18" customWidth="1" style="88" min="7" max="18"/>
    <col width="16" customWidth="1" style="88" min="19" max="20"/>
  </cols>
  <sheetData>
    <row r="1" ht="14.39999961853027" customHeight="1" s="88">
      <c r="A1" s="181" t="inlineStr">
        <is>
          <t>Monthly Raw Materials &amp; Components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</row>
    <row r="2" ht="14.39999961853027" customHeight="1" s="88">
      <c r="A2" s="183" t="inlineStr">
        <is>
          <t>Gross requirement including editable material buffer · opening inventory assumed zero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</row>
    <row r="3" ht="14.39999961853027" customHeight="1" s="88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4.39999961853027" customHeight="1" s="88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9.95000076293945" customHeight="1" s="88">
      <c r="A5" s="3" t="inlineStr">
        <is>
          <t>Month</t>
        </is>
      </c>
      <c r="B5" s="5" t="inlineStr">
        <is>
          <t>Date</t>
        </is>
      </c>
      <c r="C5" s="5" t="inlineStr">
        <is>
          <t>Total units</t>
        </is>
      </c>
      <c r="D5" s="5" t="inlineStr">
        <is>
          <t>Longitude</t>
        </is>
      </c>
      <c r="E5" s="5" t="inlineStr">
        <is>
          <t>Latitude</t>
        </is>
      </c>
      <c r="F5" s="5" t="inlineStr">
        <is>
          <t>Altitude</t>
        </is>
      </c>
      <c r="G5" s="5" t="inlineStr">
        <is>
          <t>Aluminium/OEM frameset (set)</t>
        </is>
      </c>
      <c r="H5" s="5" t="inlineStr">
        <is>
          <t>T700 prepreg (kg)</t>
        </is>
      </c>
      <c r="I5" s="5" t="inlineStr">
        <is>
          <t>T800 prepreg (kg)</t>
        </is>
      </c>
      <c r="J5" s="5" t="inlineStr">
        <is>
          <t>Resin &amp; bonding system (kg)</t>
        </is>
      </c>
      <c r="K5" s="5" t="inlineStr">
        <is>
          <t>Paint &amp; clear coat (L)</t>
        </is>
      </c>
      <c r="L5" s="5" t="inlineStr">
        <is>
          <t>Groupset (set)</t>
        </is>
      </c>
      <c r="M5" s="5" t="inlineStr">
        <is>
          <t>Wheelset (set)</t>
        </is>
      </c>
      <c r="N5" s="5" t="inlineStr">
        <is>
          <t>Tyres (ea)</t>
        </is>
      </c>
      <c r="O5" s="5" t="inlineStr">
        <is>
          <t>Cockpit (set)</t>
        </is>
      </c>
      <c r="P5" s="5" t="inlineStr">
        <is>
          <t>Saddle (ea)</t>
        </is>
      </c>
      <c r="Q5" s="5" t="inlineStr">
        <is>
          <t>Brake system (set)</t>
        </is>
      </c>
      <c r="R5" s="5" t="inlineStr">
        <is>
          <t>Packaging kit (kit)</t>
        </is>
      </c>
      <c r="S5" s="5" t="inlineStr">
        <is>
          <t>Material cost ₹</t>
        </is>
      </c>
      <c r="T5" s="4" t="inlineStr">
        <is>
          <t>Material cost ₹L</t>
        </is>
      </c>
    </row>
    <row r="6" ht="19.95000076293945" customHeight="1" s="88">
      <c r="A6" s="42" t="n">
        <v>1</v>
      </c>
      <c r="B6" s="43" t="n">
        <v>46266</v>
      </c>
      <c r="C6" s="229">
        <f>IF(A6&lt;Inputs!$B$6,0,INDEX(Inputs!$B$41:$B$64,MIN(A6-Inputs!$B$6+1,24))*Inputs!$B$8)</f>
        <v/>
      </c>
      <c r="D6" s="229">
        <f>IF(C6=0,0,IF(A6&lt;Inputs!$G$7,ROUND(C6*25%,0),ROUND(C6*Inputs!$E$5,0)))</f>
        <v/>
      </c>
      <c r="E6" s="229">
        <f>IF(C6=0,0,IF(A6&lt;Inputs!$G$7,C6-D6,ROUND(C6*Inputs!$E$6,0)))</f>
        <v/>
      </c>
      <c r="F6" s="229">
        <f>C6-D6-E6</f>
        <v/>
      </c>
      <c r="G6" s="229">
        <f>ROUND((D6*Inputs!$C$25+E6*Inputs!$D$25+F6*Inputs!$E$25)*(1+Inputs!$B$9),2)</f>
        <v/>
      </c>
      <c r="H6" s="229">
        <f>ROUND((D6*Inputs!$C$26+E6*Inputs!$D$26+F6*Inputs!$E$26)*(1+Inputs!$B$9),2)</f>
        <v/>
      </c>
      <c r="I6" s="229">
        <f>ROUND((D6*Inputs!$C$27+E6*Inputs!$D$27+F6*Inputs!$E$27)*(1+Inputs!$B$9),2)</f>
        <v/>
      </c>
      <c r="J6" s="229">
        <f>ROUND((D6*Inputs!$C$28+E6*Inputs!$D$28+F6*Inputs!$E$28)*(1+Inputs!$B$9),2)</f>
        <v/>
      </c>
      <c r="K6" s="229">
        <f>ROUND((D6*Inputs!$C$29+E6*Inputs!$D$29+F6*Inputs!$E$29)*(1+Inputs!$B$9),2)</f>
        <v/>
      </c>
      <c r="L6" s="229">
        <f>ROUND((D6*Inputs!$C$30+E6*Inputs!$D$30+F6*Inputs!$E$30)*(1+Inputs!$B$9),2)</f>
        <v/>
      </c>
      <c r="M6" s="229">
        <f>ROUND((D6*Inputs!$C$31+E6*Inputs!$D$31+F6*Inputs!$E$31)*(1+Inputs!$B$9),2)</f>
        <v/>
      </c>
      <c r="N6" s="229">
        <f>ROUND((D6*Inputs!$C$32+E6*Inputs!$D$32+F6*Inputs!$E$32)*(1+Inputs!$B$9),2)</f>
        <v/>
      </c>
      <c r="O6" s="229">
        <f>ROUND((D6*Inputs!$C$33+E6*Inputs!$D$33+F6*Inputs!$E$33)*(1+Inputs!$B$9),2)</f>
        <v/>
      </c>
      <c r="P6" s="229">
        <f>ROUND((D6*Inputs!$C$34+E6*Inputs!$D$34+F6*Inputs!$E$34)*(1+Inputs!$B$9),2)</f>
        <v/>
      </c>
      <c r="Q6" s="229">
        <f>ROUND((D6*Inputs!$C$35+E6*Inputs!$D$35+F6*Inputs!$E$35)*(1+Inputs!$B$9),2)</f>
        <v/>
      </c>
      <c r="R6" s="229">
        <f>ROUND((D6*Inputs!$C$36+E6*Inputs!$D$36+F6*Inputs!$E$36)*(1+Inputs!$B$9),2)</f>
        <v/>
      </c>
      <c r="S6" s="50">
        <f>ROUND(G6*Inputs!$F$25+H6*Inputs!$F$26+I6*Inputs!$F$27+J6*Inputs!$F$28+K6*Inputs!$F$29+L6*Inputs!$F$30+M6*Inputs!$F$31+N6*Inputs!$F$32+O6*Inputs!$F$33+P6*Inputs!$F$34+Q6*Inputs!$F$35+R6*Inputs!$F$36,2)</f>
        <v/>
      </c>
      <c r="T6" s="226">
        <f>ROUND(S6/100000,2)</f>
        <v/>
      </c>
    </row>
    <row r="7" ht="19.95000076293945" customHeight="1" s="88">
      <c r="A7" s="42" t="n">
        <v>2</v>
      </c>
      <c r="B7" s="43" t="n">
        <v>46296</v>
      </c>
      <c r="C7" s="229">
        <f>IF(A7&lt;Inputs!$B$6,0,INDEX(Inputs!$B$41:$B$64,MIN(A7-Inputs!$B$6+1,24))*Inputs!$B$8)</f>
        <v/>
      </c>
      <c r="D7" s="229">
        <f>IF(C7=0,0,IF(A7&lt;Inputs!$G$7,ROUND(C7*25%,0),ROUND(C7*Inputs!$E$5,0)))</f>
        <v/>
      </c>
      <c r="E7" s="229">
        <f>IF(C7=0,0,IF(A7&lt;Inputs!$G$7,C7-D7,ROUND(C7*Inputs!$E$6,0)))</f>
        <v/>
      </c>
      <c r="F7" s="229">
        <f>C7-D7-E7</f>
        <v/>
      </c>
      <c r="G7" s="229">
        <f>ROUND((D7*Inputs!$C$25+E7*Inputs!$D$25+F7*Inputs!$E$25)*(1+Inputs!$B$9),2)</f>
        <v/>
      </c>
      <c r="H7" s="229">
        <f>ROUND((D7*Inputs!$C$26+E7*Inputs!$D$26+F7*Inputs!$E$26)*(1+Inputs!$B$9),2)</f>
        <v/>
      </c>
      <c r="I7" s="229">
        <f>ROUND((D7*Inputs!$C$27+E7*Inputs!$D$27+F7*Inputs!$E$27)*(1+Inputs!$B$9),2)</f>
        <v/>
      </c>
      <c r="J7" s="229">
        <f>ROUND((D7*Inputs!$C$28+E7*Inputs!$D$28+F7*Inputs!$E$28)*(1+Inputs!$B$9),2)</f>
        <v/>
      </c>
      <c r="K7" s="229">
        <f>ROUND((D7*Inputs!$C$29+E7*Inputs!$D$29+F7*Inputs!$E$29)*(1+Inputs!$B$9),2)</f>
        <v/>
      </c>
      <c r="L7" s="229">
        <f>ROUND((D7*Inputs!$C$30+E7*Inputs!$D$30+F7*Inputs!$E$30)*(1+Inputs!$B$9),2)</f>
        <v/>
      </c>
      <c r="M7" s="229">
        <f>ROUND((D7*Inputs!$C$31+E7*Inputs!$D$31+F7*Inputs!$E$31)*(1+Inputs!$B$9),2)</f>
        <v/>
      </c>
      <c r="N7" s="229">
        <f>ROUND((D7*Inputs!$C$32+E7*Inputs!$D$32+F7*Inputs!$E$32)*(1+Inputs!$B$9),2)</f>
        <v/>
      </c>
      <c r="O7" s="229">
        <f>ROUND((D7*Inputs!$C$33+E7*Inputs!$D$33+F7*Inputs!$E$33)*(1+Inputs!$B$9),2)</f>
        <v/>
      </c>
      <c r="P7" s="229">
        <f>ROUND((D7*Inputs!$C$34+E7*Inputs!$D$34+F7*Inputs!$E$34)*(1+Inputs!$B$9),2)</f>
        <v/>
      </c>
      <c r="Q7" s="229">
        <f>ROUND((D7*Inputs!$C$35+E7*Inputs!$D$35+F7*Inputs!$E$35)*(1+Inputs!$B$9),2)</f>
        <v/>
      </c>
      <c r="R7" s="229">
        <f>ROUND((D7*Inputs!$C$36+E7*Inputs!$D$36+F7*Inputs!$E$36)*(1+Inputs!$B$9),2)</f>
        <v/>
      </c>
      <c r="S7" s="50">
        <f>ROUND(G7*Inputs!$F$25+H7*Inputs!$F$26+I7*Inputs!$F$27+J7*Inputs!$F$28+K7*Inputs!$F$29+L7*Inputs!$F$30+M7*Inputs!$F$31+N7*Inputs!$F$32+O7*Inputs!$F$33+P7*Inputs!$F$34+Q7*Inputs!$F$35+R7*Inputs!$F$36,2)</f>
        <v/>
      </c>
      <c r="T7" s="226">
        <f>ROUND(S7/100000,2)</f>
        <v/>
      </c>
    </row>
    <row r="8" ht="19.95000076293945" customHeight="1" s="88">
      <c r="A8" s="42" t="n">
        <v>3</v>
      </c>
      <c r="B8" s="43" t="n">
        <v>46327</v>
      </c>
      <c r="C8" s="229">
        <f>IF(A8&lt;Inputs!$B$6,0,INDEX(Inputs!$B$41:$B$64,MIN(A8-Inputs!$B$6+1,24))*Inputs!$B$8)</f>
        <v/>
      </c>
      <c r="D8" s="229">
        <f>IF(C8=0,0,IF(A8&lt;Inputs!$G$7,ROUND(C8*25%,0),ROUND(C8*Inputs!$E$5,0)))</f>
        <v/>
      </c>
      <c r="E8" s="229">
        <f>IF(C8=0,0,IF(A8&lt;Inputs!$G$7,C8-D8,ROUND(C8*Inputs!$E$6,0)))</f>
        <v/>
      </c>
      <c r="F8" s="229">
        <f>C8-D8-E8</f>
        <v/>
      </c>
      <c r="G8" s="229">
        <f>ROUND((D8*Inputs!$C$25+E8*Inputs!$D$25+F8*Inputs!$E$25)*(1+Inputs!$B$9),2)</f>
        <v/>
      </c>
      <c r="H8" s="229">
        <f>ROUND((D8*Inputs!$C$26+E8*Inputs!$D$26+F8*Inputs!$E$26)*(1+Inputs!$B$9),2)</f>
        <v/>
      </c>
      <c r="I8" s="229">
        <f>ROUND((D8*Inputs!$C$27+E8*Inputs!$D$27+F8*Inputs!$E$27)*(1+Inputs!$B$9),2)</f>
        <v/>
      </c>
      <c r="J8" s="229">
        <f>ROUND((D8*Inputs!$C$28+E8*Inputs!$D$28+F8*Inputs!$E$28)*(1+Inputs!$B$9),2)</f>
        <v/>
      </c>
      <c r="K8" s="229">
        <f>ROUND((D8*Inputs!$C$29+E8*Inputs!$D$29+F8*Inputs!$E$29)*(1+Inputs!$B$9),2)</f>
        <v/>
      </c>
      <c r="L8" s="229">
        <f>ROUND((D8*Inputs!$C$30+E8*Inputs!$D$30+F8*Inputs!$E$30)*(1+Inputs!$B$9),2)</f>
        <v/>
      </c>
      <c r="M8" s="229">
        <f>ROUND((D8*Inputs!$C$31+E8*Inputs!$D$31+F8*Inputs!$E$31)*(1+Inputs!$B$9),2)</f>
        <v/>
      </c>
      <c r="N8" s="229">
        <f>ROUND((D8*Inputs!$C$32+E8*Inputs!$D$32+F8*Inputs!$E$32)*(1+Inputs!$B$9),2)</f>
        <v/>
      </c>
      <c r="O8" s="229">
        <f>ROUND((D8*Inputs!$C$33+E8*Inputs!$D$33+F8*Inputs!$E$33)*(1+Inputs!$B$9),2)</f>
        <v/>
      </c>
      <c r="P8" s="229">
        <f>ROUND((D8*Inputs!$C$34+E8*Inputs!$D$34+F8*Inputs!$E$34)*(1+Inputs!$B$9),2)</f>
        <v/>
      </c>
      <c r="Q8" s="229">
        <f>ROUND((D8*Inputs!$C$35+E8*Inputs!$D$35+F8*Inputs!$E$35)*(1+Inputs!$B$9),2)</f>
        <v/>
      </c>
      <c r="R8" s="229">
        <f>ROUND((D8*Inputs!$C$36+E8*Inputs!$D$36+F8*Inputs!$E$36)*(1+Inputs!$B$9),2)</f>
        <v/>
      </c>
      <c r="S8" s="50">
        <f>ROUND(G8*Inputs!$F$25+H8*Inputs!$F$26+I8*Inputs!$F$27+J8*Inputs!$F$28+K8*Inputs!$F$29+L8*Inputs!$F$30+M8*Inputs!$F$31+N8*Inputs!$F$32+O8*Inputs!$F$33+P8*Inputs!$F$34+Q8*Inputs!$F$35+R8*Inputs!$F$36,2)</f>
        <v/>
      </c>
      <c r="T8" s="226">
        <f>ROUND(S8/100000,2)</f>
        <v/>
      </c>
    </row>
    <row r="9" ht="19.95000076293945" customHeight="1" s="88">
      <c r="A9" s="42" t="n">
        <v>4</v>
      </c>
      <c r="B9" s="43" t="n">
        <v>46357</v>
      </c>
      <c r="C9" s="229">
        <f>IF(A9&lt;Inputs!$B$6,0,INDEX(Inputs!$B$41:$B$64,MIN(A9-Inputs!$B$6+1,24))*Inputs!$B$8)</f>
        <v/>
      </c>
      <c r="D9" s="229">
        <f>IF(C9=0,0,IF(A9&lt;Inputs!$G$7,ROUND(C9*25%,0),ROUND(C9*Inputs!$E$5,0)))</f>
        <v/>
      </c>
      <c r="E9" s="229">
        <f>IF(C9=0,0,IF(A9&lt;Inputs!$G$7,C9-D9,ROUND(C9*Inputs!$E$6,0)))</f>
        <v/>
      </c>
      <c r="F9" s="229">
        <f>C9-D9-E9</f>
        <v/>
      </c>
      <c r="G9" s="229">
        <f>ROUND((D9*Inputs!$C$25+E9*Inputs!$D$25+F9*Inputs!$E$25)*(1+Inputs!$B$9),2)</f>
        <v/>
      </c>
      <c r="H9" s="229">
        <f>ROUND((D9*Inputs!$C$26+E9*Inputs!$D$26+F9*Inputs!$E$26)*(1+Inputs!$B$9),2)</f>
        <v/>
      </c>
      <c r="I9" s="229">
        <f>ROUND((D9*Inputs!$C$27+E9*Inputs!$D$27+F9*Inputs!$E$27)*(1+Inputs!$B$9),2)</f>
        <v/>
      </c>
      <c r="J9" s="229">
        <f>ROUND((D9*Inputs!$C$28+E9*Inputs!$D$28+F9*Inputs!$E$28)*(1+Inputs!$B$9),2)</f>
        <v/>
      </c>
      <c r="K9" s="229">
        <f>ROUND((D9*Inputs!$C$29+E9*Inputs!$D$29+F9*Inputs!$E$29)*(1+Inputs!$B$9),2)</f>
        <v/>
      </c>
      <c r="L9" s="229">
        <f>ROUND((D9*Inputs!$C$30+E9*Inputs!$D$30+F9*Inputs!$E$30)*(1+Inputs!$B$9),2)</f>
        <v/>
      </c>
      <c r="M9" s="229">
        <f>ROUND((D9*Inputs!$C$31+E9*Inputs!$D$31+F9*Inputs!$E$31)*(1+Inputs!$B$9),2)</f>
        <v/>
      </c>
      <c r="N9" s="229">
        <f>ROUND((D9*Inputs!$C$32+E9*Inputs!$D$32+F9*Inputs!$E$32)*(1+Inputs!$B$9),2)</f>
        <v/>
      </c>
      <c r="O9" s="229">
        <f>ROUND((D9*Inputs!$C$33+E9*Inputs!$D$33+F9*Inputs!$E$33)*(1+Inputs!$B$9),2)</f>
        <v/>
      </c>
      <c r="P9" s="229">
        <f>ROUND((D9*Inputs!$C$34+E9*Inputs!$D$34+F9*Inputs!$E$34)*(1+Inputs!$B$9),2)</f>
        <v/>
      </c>
      <c r="Q9" s="229">
        <f>ROUND((D9*Inputs!$C$35+E9*Inputs!$D$35+F9*Inputs!$E$35)*(1+Inputs!$B$9),2)</f>
        <v/>
      </c>
      <c r="R9" s="229">
        <f>ROUND((D9*Inputs!$C$36+E9*Inputs!$D$36+F9*Inputs!$E$36)*(1+Inputs!$B$9),2)</f>
        <v/>
      </c>
      <c r="S9" s="50">
        <f>ROUND(G9*Inputs!$F$25+H9*Inputs!$F$26+I9*Inputs!$F$27+J9*Inputs!$F$28+K9*Inputs!$F$29+L9*Inputs!$F$30+M9*Inputs!$F$31+N9*Inputs!$F$32+O9*Inputs!$F$33+P9*Inputs!$F$34+Q9*Inputs!$F$35+R9*Inputs!$F$36,2)</f>
        <v/>
      </c>
      <c r="T9" s="226">
        <f>ROUND(S9/100000,2)</f>
        <v/>
      </c>
    </row>
    <row r="10" ht="19.95000076293945" customHeight="1" s="88">
      <c r="A10" s="42" t="n">
        <v>5</v>
      </c>
      <c r="B10" s="43" t="n">
        <v>46388</v>
      </c>
      <c r="C10" s="229">
        <f>IF(A10&lt;Inputs!$B$6,0,INDEX(Inputs!$B$41:$B$64,MIN(A10-Inputs!$B$6+1,24))*Inputs!$B$8)</f>
        <v/>
      </c>
      <c r="D10" s="229">
        <f>IF(C10=0,0,IF(A10&lt;Inputs!$G$7,ROUND(C10*25%,0),ROUND(C10*Inputs!$E$5,0)))</f>
        <v/>
      </c>
      <c r="E10" s="229">
        <f>IF(C10=0,0,IF(A10&lt;Inputs!$G$7,C10-D10,ROUND(C10*Inputs!$E$6,0)))</f>
        <v/>
      </c>
      <c r="F10" s="229">
        <f>C10-D10-E10</f>
        <v/>
      </c>
      <c r="G10" s="229">
        <f>ROUND((D10*Inputs!$C$25+E10*Inputs!$D$25+F10*Inputs!$E$25)*(1+Inputs!$B$9),2)</f>
        <v/>
      </c>
      <c r="H10" s="229">
        <f>ROUND((D10*Inputs!$C$26+E10*Inputs!$D$26+F10*Inputs!$E$26)*(1+Inputs!$B$9),2)</f>
        <v/>
      </c>
      <c r="I10" s="229">
        <f>ROUND((D10*Inputs!$C$27+E10*Inputs!$D$27+F10*Inputs!$E$27)*(1+Inputs!$B$9),2)</f>
        <v/>
      </c>
      <c r="J10" s="229">
        <f>ROUND((D10*Inputs!$C$28+E10*Inputs!$D$28+F10*Inputs!$E$28)*(1+Inputs!$B$9),2)</f>
        <v/>
      </c>
      <c r="K10" s="229">
        <f>ROUND((D10*Inputs!$C$29+E10*Inputs!$D$29+F10*Inputs!$E$29)*(1+Inputs!$B$9),2)</f>
        <v/>
      </c>
      <c r="L10" s="229">
        <f>ROUND((D10*Inputs!$C$30+E10*Inputs!$D$30+F10*Inputs!$E$30)*(1+Inputs!$B$9),2)</f>
        <v/>
      </c>
      <c r="M10" s="229">
        <f>ROUND((D10*Inputs!$C$31+E10*Inputs!$D$31+F10*Inputs!$E$31)*(1+Inputs!$B$9),2)</f>
        <v/>
      </c>
      <c r="N10" s="229">
        <f>ROUND((D10*Inputs!$C$32+E10*Inputs!$D$32+F10*Inputs!$E$32)*(1+Inputs!$B$9),2)</f>
        <v/>
      </c>
      <c r="O10" s="229">
        <f>ROUND((D10*Inputs!$C$33+E10*Inputs!$D$33+F10*Inputs!$E$33)*(1+Inputs!$B$9),2)</f>
        <v/>
      </c>
      <c r="P10" s="229">
        <f>ROUND((D10*Inputs!$C$34+E10*Inputs!$D$34+F10*Inputs!$E$34)*(1+Inputs!$B$9),2)</f>
        <v/>
      </c>
      <c r="Q10" s="229">
        <f>ROUND((D10*Inputs!$C$35+E10*Inputs!$D$35+F10*Inputs!$E$35)*(1+Inputs!$B$9),2)</f>
        <v/>
      </c>
      <c r="R10" s="229">
        <f>ROUND((D10*Inputs!$C$36+E10*Inputs!$D$36+F10*Inputs!$E$36)*(1+Inputs!$B$9),2)</f>
        <v/>
      </c>
      <c r="S10" s="50">
        <f>ROUND(G10*Inputs!$F$25+H10*Inputs!$F$26+I10*Inputs!$F$27+J10*Inputs!$F$28+K10*Inputs!$F$29+L10*Inputs!$F$30+M10*Inputs!$F$31+N10*Inputs!$F$32+O10*Inputs!$F$33+P10*Inputs!$F$34+Q10*Inputs!$F$35+R10*Inputs!$F$36,2)</f>
        <v/>
      </c>
      <c r="T10" s="226">
        <f>ROUND(S10/100000,2)</f>
        <v/>
      </c>
    </row>
    <row r="11" ht="19.95000076293945" customHeight="1" s="88">
      <c r="A11" s="42" t="n">
        <v>6</v>
      </c>
      <c r="B11" s="43" t="n">
        <v>46419</v>
      </c>
      <c r="C11" s="229">
        <f>IF(A11&lt;Inputs!$B$6,0,INDEX(Inputs!$B$41:$B$64,MIN(A11-Inputs!$B$6+1,24))*Inputs!$B$8)</f>
        <v/>
      </c>
      <c r="D11" s="229">
        <f>IF(C11=0,0,IF(A11&lt;Inputs!$G$7,ROUND(C11*25%,0),ROUND(C11*Inputs!$E$5,0)))</f>
        <v/>
      </c>
      <c r="E11" s="229">
        <f>IF(C11=0,0,IF(A11&lt;Inputs!$G$7,C11-D11,ROUND(C11*Inputs!$E$6,0)))</f>
        <v/>
      </c>
      <c r="F11" s="229">
        <f>C11-D11-E11</f>
        <v/>
      </c>
      <c r="G11" s="229">
        <f>ROUND((D11*Inputs!$C$25+E11*Inputs!$D$25+F11*Inputs!$E$25)*(1+Inputs!$B$9),2)</f>
        <v/>
      </c>
      <c r="H11" s="229">
        <f>ROUND((D11*Inputs!$C$26+E11*Inputs!$D$26+F11*Inputs!$E$26)*(1+Inputs!$B$9),2)</f>
        <v/>
      </c>
      <c r="I11" s="229">
        <f>ROUND((D11*Inputs!$C$27+E11*Inputs!$D$27+F11*Inputs!$E$27)*(1+Inputs!$B$9),2)</f>
        <v/>
      </c>
      <c r="J11" s="229">
        <f>ROUND((D11*Inputs!$C$28+E11*Inputs!$D$28+F11*Inputs!$E$28)*(1+Inputs!$B$9),2)</f>
        <v/>
      </c>
      <c r="K11" s="229">
        <f>ROUND((D11*Inputs!$C$29+E11*Inputs!$D$29+F11*Inputs!$E$29)*(1+Inputs!$B$9),2)</f>
        <v/>
      </c>
      <c r="L11" s="229">
        <f>ROUND((D11*Inputs!$C$30+E11*Inputs!$D$30+F11*Inputs!$E$30)*(1+Inputs!$B$9),2)</f>
        <v/>
      </c>
      <c r="M11" s="229">
        <f>ROUND((D11*Inputs!$C$31+E11*Inputs!$D$31+F11*Inputs!$E$31)*(1+Inputs!$B$9),2)</f>
        <v/>
      </c>
      <c r="N11" s="229">
        <f>ROUND((D11*Inputs!$C$32+E11*Inputs!$D$32+F11*Inputs!$E$32)*(1+Inputs!$B$9),2)</f>
        <v/>
      </c>
      <c r="O11" s="229">
        <f>ROUND((D11*Inputs!$C$33+E11*Inputs!$D$33+F11*Inputs!$E$33)*(1+Inputs!$B$9),2)</f>
        <v/>
      </c>
      <c r="P11" s="229">
        <f>ROUND((D11*Inputs!$C$34+E11*Inputs!$D$34+F11*Inputs!$E$34)*(1+Inputs!$B$9),2)</f>
        <v/>
      </c>
      <c r="Q11" s="229">
        <f>ROUND((D11*Inputs!$C$35+E11*Inputs!$D$35+F11*Inputs!$E$35)*(1+Inputs!$B$9),2)</f>
        <v/>
      </c>
      <c r="R11" s="229">
        <f>ROUND((D11*Inputs!$C$36+E11*Inputs!$D$36+F11*Inputs!$E$36)*(1+Inputs!$B$9),2)</f>
        <v/>
      </c>
      <c r="S11" s="50">
        <f>ROUND(G11*Inputs!$F$25+H11*Inputs!$F$26+I11*Inputs!$F$27+J11*Inputs!$F$28+K11*Inputs!$F$29+L11*Inputs!$F$30+M11*Inputs!$F$31+N11*Inputs!$F$32+O11*Inputs!$F$33+P11*Inputs!$F$34+Q11*Inputs!$F$35+R11*Inputs!$F$36,2)</f>
        <v/>
      </c>
      <c r="T11" s="226">
        <f>ROUND(S11/100000,2)</f>
        <v/>
      </c>
    </row>
    <row r="12" ht="19.95000076293945" customHeight="1" s="88">
      <c r="A12" s="42" t="n">
        <v>7</v>
      </c>
      <c r="B12" s="43" t="n">
        <v>46447</v>
      </c>
      <c r="C12" s="229">
        <f>IF(A12&lt;Inputs!$B$6,0,INDEX(Inputs!$B$41:$B$64,MIN(A12-Inputs!$B$6+1,24))*Inputs!$B$8)</f>
        <v/>
      </c>
      <c r="D12" s="229">
        <f>IF(C12=0,0,IF(A12&lt;Inputs!$G$7,ROUND(C12*25%,0),ROUND(C12*Inputs!$E$5,0)))</f>
        <v/>
      </c>
      <c r="E12" s="229">
        <f>IF(C12=0,0,IF(A12&lt;Inputs!$G$7,C12-D12,ROUND(C12*Inputs!$E$6,0)))</f>
        <v/>
      </c>
      <c r="F12" s="229">
        <f>C12-D12-E12</f>
        <v/>
      </c>
      <c r="G12" s="229">
        <f>ROUND((D12*Inputs!$C$25+E12*Inputs!$D$25+F12*Inputs!$E$25)*(1+Inputs!$B$9),2)</f>
        <v/>
      </c>
      <c r="H12" s="229">
        <f>ROUND((D12*Inputs!$C$26+E12*Inputs!$D$26+F12*Inputs!$E$26)*(1+Inputs!$B$9),2)</f>
        <v/>
      </c>
      <c r="I12" s="229">
        <f>ROUND((D12*Inputs!$C$27+E12*Inputs!$D$27+F12*Inputs!$E$27)*(1+Inputs!$B$9),2)</f>
        <v/>
      </c>
      <c r="J12" s="229">
        <f>ROUND((D12*Inputs!$C$28+E12*Inputs!$D$28+F12*Inputs!$E$28)*(1+Inputs!$B$9),2)</f>
        <v/>
      </c>
      <c r="K12" s="229">
        <f>ROUND((D12*Inputs!$C$29+E12*Inputs!$D$29+F12*Inputs!$E$29)*(1+Inputs!$B$9),2)</f>
        <v/>
      </c>
      <c r="L12" s="229">
        <f>ROUND((D12*Inputs!$C$30+E12*Inputs!$D$30+F12*Inputs!$E$30)*(1+Inputs!$B$9),2)</f>
        <v/>
      </c>
      <c r="M12" s="229">
        <f>ROUND((D12*Inputs!$C$31+E12*Inputs!$D$31+F12*Inputs!$E$31)*(1+Inputs!$B$9),2)</f>
        <v/>
      </c>
      <c r="N12" s="229">
        <f>ROUND((D12*Inputs!$C$32+E12*Inputs!$D$32+F12*Inputs!$E$32)*(1+Inputs!$B$9),2)</f>
        <v/>
      </c>
      <c r="O12" s="229">
        <f>ROUND((D12*Inputs!$C$33+E12*Inputs!$D$33+F12*Inputs!$E$33)*(1+Inputs!$B$9),2)</f>
        <v/>
      </c>
      <c r="P12" s="229">
        <f>ROUND((D12*Inputs!$C$34+E12*Inputs!$D$34+F12*Inputs!$E$34)*(1+Inputs!$B$9),2)</f>
        <v/>
      </c>
      <c r="Q12" s="229">
        <f>ROUND((D12*Inputs!$C$35+E12*Inputs!$D$35+F12*Inputs!$E$35)*(1+Inputs!$B$9),2)</f>
        <v/>
      </c>
      <c r="R12" s="229">
        <f>ROUND((D12*Inputs!$C$36+E12*Inputs!$D$36+F12*Inputs!$E$36)*(1+Inputs!$B$9),2)</f>
        <v/>
      </c>
      <c r="S12" s="50">
        <f>ROUND(G12*Inputs!$F$25+H12*Inputs!$F$26+I12*Inputs!$F$27+J12*Inputs!$F$28+K12*Inputs!$F$29+L12*Inputs!$F$30+M12*Inputs!$F$31+N12*Inputs!$F$32+O12*Inputs!$F$33+P12*Inputs!$F$34+Q12*Inputs!$F$35+R12*Inputs!$F$36,2)</f>
        <v/>
      </c>
      <c r="T12" s="226">
        <f>ROUND(S12/100000,2)</f>
        <v/>
      </c>
    </row>
    <row r="13" ht="19.95000076293945" customHeight="1" s="88">
      <c r="A13" s="42" t="n">
        <v>8</v>
      </c>
      <c r="B13" s="43" t="n">
        <v>46478</v>
      </c>
      <c r="C13" s="229">
        <f>IF(A13&lt;Inputs!$B$6,0,INDEX(Inputs!$B$41:$B$64,MIN(A13-Inputs!$B$6+1,24))*Inputs!$B$8)</f>
        <v/>
      </c>
      <c r="D13" s="229">
        <f>IF(C13=0,0,IF(A13&lt;Inputs!$G$7,ROUND(C13*25%,0),ROUND(C13*Inputs!$E$5,0)))</f>
        <v/>
      </c>
      <c r="E13" s="229">
        <f>IF(C13=0,0,IF(A13&lt;Inputs!$G$7,C13-D13,ROUND(C13*Inputs!$E$6,0)))</f>
        <v/>
      </c>
      <c r="F13" s="229">
        <f>C13-D13-E13</f>
        <v/>
      </c>
      <c r="G13" s="229">
        <f>ROUND((D13*Inputs!$C$25+E13*Inputs!$D$25+F13*Inputs!$E$25)*(1+Inputs!$B$9),2)</f>
        <v/>
      </c>
      <c r="H13" s="229">
        <f>ROUND((D13*Inputs!$C$26+E13*Inputs!$D$26+F13*Inputs!$E$26)*(1+Inputs!$B$9),2)</f>
        <v/>
      </c>
      <c r="I13" s="229">
        <f>ROUND((D13*Inputs!$C$27+E13*Inputs!$D$27+F13*Inputs!$E$27)*(1+Inputs!$B$9),2)</f>
        <v/>
      </c>
      <c r="J13" s="229">
        <f>ROUND((D13*Inputs!$C$28+E13*Inputs!$D$28+F13*Inputs!$E$28)*(1+Inputs!$B$9),2)</f>
        <v/>
      </c>
      <c r="K13" s="229">
        <f>ROUND((D13*Inputs!$C$29+E13*Inputs!$D$29+F13*Inputs!$E$29)*(1+Inputs!$B$9),2)</f>
        <v/>
      </c>
      <c r="L13" s="229">
        <f>ROUND((D13*Inputs!$C$30+E13*Inputs!$D$30+F13*Inputs!$E$30)*(1+Inputs!$B$9),2)</f>
        <v/>
      </c>
      <c r="M13" s="229">
        <f>ROUND((D13*Inputs!$C$31+E13*Inputs!$D$31+F13*Inputs!$E$31)*(1+Inputs!$B$9),2)</f>
        <v/>
      </c>
      <c r="N13" s="229">
        <f>ROUND((D13*Inputs!$C$32+E13*Inputs!$D$32+F13*Inputs!$E$32)*(1+Inputs!$B$9),2)</f>
        <v/>
      </c>
      <c r="O13" s="229">
        <f>ROUND((D13*Inputs!$C$33+E13*Inputs!$D$33+F13*Inputs!$E$33)*(1+Inputs!$B$9),2)</f>
        <v/>
      </c>
      <c r="P13" s="229">
        <f>ROUND((D13*Inputs!$C$34+E13*Inputs!$D$34+F13*Inputs!$E$34)*(1+Inputs!$B$9),2)</f>
        <v/>
      </c>
      <c r="Q13" s="229">
        <f>ROUND((D13*Inputs!$C$35+E13*Inputs!$D$35+F13*Inputs!$E$35)*(1+Inputs!$B$9),2)</f>
        <v/>
      </c>
      <c r="R13" s="229">
        <f>ROUND((D13*Inputs!$C$36+E13*Inputs!$D$36+F13*Inputs!$E$36)*(1+Inputs!$B$9),2)</f>
        <v/>
      </c>
      <c r="S13" s="50">
        <f>ROUND(G13*Inputs!$F$25+H13*Inputs!$F$26+I13*Inputs!$F$27+J13*Inputs!$F$28+K13*Inputs!$F$29+L13*Inputs!$F$30+M13*Inputs!$F$31+N13*Inputs!$F$32+O13*Inputs!$F$33+P13*Inputs!$F$34+Q13*Inputs!$F$35+R13*Inputs!$F$36,2)</f>
        <v/>
      </c>
      <c r="T13" s="226">
        <f>ROUND(S13/100000,2)</f>
        <v/>
      </c>
    </row>
    <row r="14" ht="19.95000076293945" customHeight="1" s="88">
      <c r="A14" s="42" t="n">
        <v>9</v>
      </c>
      <c r="B14" s="43" t="n">
        <v>46508</v>
      </c>
      <c r="C14" s="229">
        <f>IF(A14&lt;Inputs!$B$6,0,INDEX(Inputs!$B$41:$B$64,MIN(A14-Inputs!$B$6+1,24))*Inputs!$B$8)</f>
        <v/>
      </c>
      <c r="D14" s="229">
        <f>IF(C14=0,0,IF(A14&lt;Inputs!$G$7,ROUND(C14*25%,0),ROUND(C14*Inputs!$E$5,0)))</f>
        <v/>
      </c>
      <c r="E14" s="229">
        <f>IF(C14=0,0,IF(A14&lt;Inputs!$G$7,C14-D14,ROUND(C14*Inputs!$E$6,0)))</f>
        <v/>
      </c>
      <c r="F14" s="229">
        <f>C14-D14-E14</f>
        <v/>
      </c>
      <c r="G14" s="229">
        <f>ROUND((D14*Inputs!$C$25+E14*Inputs!$D$25+F14*Inputs!$E$25)*(1+Inputs!$B$9),2)</f>
        <v/>
      </c>
      <c r="H14" s="229">
        <f>ROUND((D14*Inputs!$C$26+E14*Inputs!$D$26+F14*Inputs!$E$26)*(1+Inputs!$B$9),2)</f>
        <v/>
      </c>
      <c r="I14" s="229">
        <f>ROUND((D14*Inputs!$C$27+E14*Inputs!$D$27+F14*Inputs!$E$27)*(1+Inputs!$B$9),2)</f>
        <v/>
      </c>
      <c r="J14" s="229">
        <f>ROUND((D14*Inputs!$C$28+E14*Inputs!$D$28+F14*Inputs!$E$28)*(1+Inputs!$B$9),2)</f>
        <v/>
      </c>
      <c r="K14" s="229">
        <f>ROUND((D14*Inputs!$C$29+E14*Inputs!$D$29+F14*Inputs!$E$29)*(1+Inputs!$B$9),2)</f>
        <v/>
      </c>
      <c r="L14" s="229">
        <f>ROUND((D14*Inputs!$C$30+E14*Inputs!$D$30+F14*Inputs!$E$30)*(1+Inputs!$B$9),2)</f>
        <v/>
      </c>
      <c r="M14" s="229">
        <f>ROUND((D14*Inputs!$C$31+E14*Inputs!$D$31+F14*Inputs!$E$31)*(1+Inputs!$B$9),2)</f>
        <v/>
      </c>
      <c r="N14" s="229">
        <f>ROUND((D14*Inputs!$C$32+E14*Inputs!$D$32+F14*Inputs!$E$32)*(1+Inputs!$B$9),2)</f>
        <v/>
      </c>
      <c r="O14" s="229">
        <f>ROUND((D14*Inputs!$C$33+E14*Inputs!$D$33+F14*Inputs!$E$33)*(1+Inputs!$B$9),2)</f>
        <v/>
      </c>
      <c r="P14" s="229">
        <f>ROUND((D14*Inputs!$C$34+E14*Inputs!$D$34+F14*Inputs!$E$34)*(1+Inputs!$B$9),2)</f>
        <v/>
      </c>
      <c r="Q14" s="229">
        <f>ROUND((D14*Inputs!$C$35+E14*Inputs!$D$35+F14*Inputs!$E$35)*(1+Inputs!$B$9),2)</f>
        <v/>
      </c>
      <c r="R14" s="229">
        <f>ROUND((D14*Inputs!$C$36+E14*Inputs!$D$36+F14*Inputs!$E$36)*(1+Inputs!$B$9),2)</f>
        <v/>
      </c>
      <c r="S14" s="50">
        <f>ROUND(G14*Inputs!$F$25+H14*Inputs!$F$26+I14*Inputs!$F$27+J14*Inputs!$F$28+K14*Inputs!$F$29+L14*Inputs!$F$30+M14*Inputs!$F$31+N14*Inputs!$F$32+O14*Inputs!$F$33+P14*Inputs!$F$34+Q14*Inputs!$F$35+R14*Inputs!$F$36,2)</f>
        <v/>
      </c>
      <c r="T14" s="226">
        <f>ROUND(S14/100000,2)</f>
        <v/>
      </c>
    </row>
    <row r="15" ht="19.95000076293945" customHeight="1" s="88">
      <c r="A15" s="42" t="n">
        <v>10</v>
      </c>
      <c r="B15" s="43" t="n">
        <v>46539</v>
      </c>
      <c r="C15" s="229">
        <f>IF(A15&lt;Inputs!$B$6,0,INDEX(Inputs!$B$41:$B$64,MIN(A15-Inputs!$B$6+1,24))*Inputs!$B$8)</f>
        <v/>
      </c>
      <c r="D15" s="229">
        <f>IF(C15=0,0,IF(A15&lt;Inputs!$G$7,ROUND(C15*25%,0),ROUND(C15*Inputs!$E$5,0)))</f>
        <v/>
      </c>
      <c r="E15" s="229">
        <f>IF(C15=0,0,IF(A15&lt;Inputs!$G$7,C15-D15,ROUND(C15*Inputs!$E$6,0)))</f>
        <v/>
      </c>
      <c r="F15" s="229">
        <f>C15-D15-E15</f>
        <v/>
      </c>
      <c r="G15" s="229">
        <f>ROUND((D15*Inputs!$C$25+E15*Inputs!$D$25+F15*Inputs!$E$25)*(1+Inputs!$B$9),2)</f>
        <v/>
      </c>
      <c r="H15" s="229">
        <f>ROUND((D15*Inputs!$C$26+E15*Inputs!$D$26+F15*Inputs!$E$26)*(1+Inputs!$B$9),2)</f>
        <v/>
      </c>
      <c r="I15" s="229">
        <f>ROUND((D15*Inputs!$C$27+E15*Inputs!$D$27+F15*Inputs!$E$27)*(1+Inputs!$B$9),2)</f>
        <v/>
      </c>
      <c r="J15" s="229">
        <f>ROUND((D15*Inputs!$C$28+E15*Inputs!$D$28+F15*Inputs!$E$28)*(1+Inputs!$B$9),2)</f>
        <v/>
      </c>
      <c r="K15" s="229">
        <f>ROUND((D15*Inputs!$C$29+E15*Inputs!$D$29+F15*Inputs!$E$29)*(1+Inputs!$B$9),2)</f>
        <v/>
      </c>
      <c r="L15" s="229">
        <f>ROUND((D15*Inputs!$C$30+E15*Inputs!$D$30+F15*Inputs!$E$30)*(1+Inputs!$B$9),2)</f>
        <v/>
      </c>
      <c r="M15" s="229">
        <f>ROUND((D15*Inputs!$C$31+E15*Inputs!$D$31+F15*Inputs!$E$31)*(1+Inputs!$B$9),2)</f>
        <v/>
      </c>
      <c r="N15" s="229">
        <f>ROUND((D15*Inputs!$C$32+E15*Inputs!$D$32+F15*Inputs!$E$32)*(1+Inputs!$B$9),2)</f>
        <v/>
      </c>
      <c r="O15" s="229">
        <f>ROUND((D15*Inputs!$C$33+E15*Inputs!$D$33+F15*Inputs!$E$33)*(1+Inputs!$B$9),2)</f>
        <v/>
      </c>
      <c r="P15" s="229">
        <f>ROUND((D15*Inputs!$C$34+E15*Inputs!$D$34+F15*Inputs!$E$34)*(1+Inputs!$B$9),2)</f>
        <v/>
      </c>
      <c r="Q15" s="229">
        <f>ROUND((D15*Inputs!$C$35+E15*Inputs!$D$35+F15*Inputs!$E$35)*(1+Inputs!$B$9),2)</f>
        <v/>
      </c>
      <c r="R15" s="229">
        <f>ROUND((D15*Inputs!$C$36+E15*Inputs!$D$36+F15*Inputs!$E$36)*(1+Inputs!$B$9),2)</f>
        <v/>
      </c>
      <c r="S15" s="50">
        <f>ROUND(G15*Inputs!$F$25+H15*Inputs!$F$26+I15*Inputs!$F$27+J15*Inputs!$F$28+K15*Inputs!$F$29+L15*Inputs!$F$30+M15*Inputs!$F$31+N15*Inputs!$F$32+O15*Inputs!$F$33+P15*Inputs!$F$34+Q15*Inputs!$F$35+R15*Inputs!$F$36,2)</f>
        <v/>
      </c>
      <c r="T15" s="226">
        <f>ROUND(S15/100000,2)</f>
        <v/>
      </c>
    </row>
    <row r="16" ht="19.95000076293945" customHeight="1" s="88">
      <c r="A16" s="42" t="n">
        <v>11</v>
      </c>
      <c r="B16" s="43" t="n">
        <v>46569</v>
      </c>
      <c r="C16" s="229">
        <f>IF(A16&lt;Inputs!$B$6,0,INDEX(Inputs!$B$41:$B$64,MIN(A16-Inputs!$B$6+1,24))*Inputs!$B$8)</f>
        <v/>
      </c>
      <c r="D16" s="229">
        <f>IF(C16=0,0,IF(A16&lt;Inputs!$G$7,ROUND(C16*25%,0),ROUND(C16*Inputs!$E$5,0)))</f>
        <v/>
      </c>
      <c r="E16" s="229">
        <f>IF(C16=0,0,IF(A16&lt;Inputs!$G$7,C16-D16,ROUND(C16*Inputs!$E$6,0)))</f>
        <v/>
      </c>
      <c r="F16" s="229">
        <f>C16-D16-E16</f>
        <v/>
      </c>
      <c r="G16" s="229">
        <f>ROUND((D16*Inputs!$C$25+E16*Inputs!$D$25+F16*Inputs!$E$25)*(1+Inputs!$B$9),2)</f>
        <v/>
      </c>
      <c r="H16" s="229">
        <f>ROUND((D16*Inputs!$C$26+E16*Inputs!$D$26+F16*Inputs!$E$26)*(1+Inputs!$B$9),2)</f>
        <v/>
      </c>
      <c r="I16" s="229">
        <f>ROUND((D16*Inputs!$C$27+E16*Inputs!$D$27+F16*Inputs!$E$27)*(1+Inputs!$B$9),2)</f>
        <v/>
      </c>
      <c r="J16" s="229">
        <f>ROUND((D16*Inputs!$C$28+E16*Inputs!$D$28+F16*Inputs!$E$28)*(1+Inputs!$B$9),2)</f>
        <v/>
      </c>
      <c r="K16" s="229">
        <f>ROUND((D16*Inputs!$C$29+E16*Inputs!$D$29+F16*Inputs!$E$29)*(1+Inputs!$B$9),2)</f>
        <v/>
      </c>
      <c r="L16" s="229">
        <f>ROUND((D16*Inputs!$C$30+E16*Inputs!$D$30+F16*Inputs!$E$30)*(1+Inputs!$B$9),2)</f>
        <v/>
      </c>
      <c r="M16" s="229">
        <f>ROUND((D16*Inputs!$C$31+E16*Inputs!$D$31+F16*Inputs!$E$31)*(1+Inputs!$B$9),2)</f>
        <v/>
      </c>
      <c r="N16" s="229">
        <f>ROUND((D16*Inputs!$C$32+E16*Inputs!$D$32+F16*Inputs!$E$32)*(1+Inputs!$B$9),2)</f>
        <v/>
      </c>
      <c r="O16" s="229">
        <f>ROUND((D16*Inputs!$C$33+E16*Inputs!$D$33+F16*Inputs!$E$33)*(1+Inputs!$B$9),2)</f>
        <v/>
      </c>
      <c r="P16" s="229">
        <f>ROUND((D16*Inputs!$C$34+E16*Inputs!$D$34+F16*Inputs!$E$34)*(1+Inputs!$B$9),2)</f>
        <v/>
      </c>
      <c r="Q16" s="229">
        <f>ROUND((D16*Inputs!$C$35+E16*Inputs!$D$35+F16*Inputs!$E$35)*(1+Inputs!$B$9),2)</f>
        <v/>
      </c>
      <c r="R16" s="229">
        <f>ROUND((D16*Inputs!$C$36+E16*Inputs!$D$36+F16*Inputs!$E$36)*(1+Inputs!$B$9),2)</f>
        <v/>
      </c>
      <c r="S16" s="50">
        <f>ROUND(G16*Inputs!$F$25+H16*Inputs!$F$26+I16*Inputs!$F$27+J16*Inputs!$F$28+K16*Inputs!$F$29+L16*Inputs!$F$30+M16*Inputs!$F$31+N16*Inputs!$F$32+O16*Inputs!$F$33+P16*Inputs!$F$34+Q16*Inputs!$F$35+R16*Inputs!$F$36,2)</f>
        <v/>
      </c>
      <c r="T16" s="226">
        <f>ROUND(S16/100000,2)</f>
        <v/>
      </c>
    </row>
    <row r="17" ht="19.95000076293945" customHeight="1" s="88">
      <c r="A17" s="42" t="n">
        <v>12</v>
      </c>
      <c r="B17" s="43" t="n">
        <v>46600</v>
      </c>
      <c r="C17" s="229">
        <f>IF(A17&lt;Inputs!$B$6,0,INDEX(Inputs!$B$41:$B$64,MIN(A17-Inputs!$B$6+1,24))*Inputs!$B$8)</f>
        <v/>
      </c>
      <c r="D17" s="229">
        <f>IF(C17=0,0,IF(A17&lt;Inputs!$G$7,ROUND(C17*25%,0),ROUND(C17*Inputs!$E$5,0)))</f>
        <v/>
      </c>
      <c r="E17" s="229">
        <f>IF(C17=0,0,IF(A17&lt;Inputs!$G$7,C17-D17,ROUND(C17*Inputs!$E$6,0)))</f>
        <v/>
      </c>
      <c r="F17" s="229">
        <f>C17-D17-E17</f>
        <v/>
      </c>
      <c r="G17" s="229">
        <f>ROUND((D17*Inputs!$C$25+E17*Inputs!$D$25+F17*Inputs!$E$25)*(1+Inputs!$B$9),2)</f>
        <v/>
      </c>
      <c r="H17" s="229">
        <f>ROUND((D17*Inputs!$C$26+E17*Inputs!$D$26+F17*Inputs!$E$26)*(1+Inputs!$B$9),2)</f>
        <v/>
      </c>
      <c r="I17" s="229">
        <f>ROUND((D17*Inputs!$C$27+E17*Inputs!$D$27+F17*Inputs!$E$27)*(1+Inputs!$B$9),2)</f>
        <v/>
      </c>
      <c r="J17" s="229">
        <f>ROUND((D17*Inputs!$C$28+E17*Inputs!$D$28+F17*Inputs!$E$28)*(1+Inputs!$B$9),2)</f>
        <v/>
      </c>
      <c r="K17" s="229">
        <f>ROUND((D17*Inputs!$C$29+E17*Inputs!$D$29+F17*Inputs!$E$29)*(1+Inputs!$B$9),2)</f>
        <v/>
      </c>
      <c r="L17" s="229">
        <f>ROUND((D17*Inputs!$C$30+E17*Inputs!$D$30+F17*Inputs!$E$30)*(1+Inputs!$B$9),2)</f>
        <v/>
      </c>
      <c r="M17" s="229">
        <f>ROUND((D17*Inputs!$C$31+E17*Inputs!$D$31+F17*Inputs!$E$31)*(1+Inputs!$B$9),2)</f>
        <v/>
      </c>
      <c r="N17" s="229">
        <f>ROUND((D17*Inputs!$C$32+E17*Inputs!$D$32+F17*Inputs!$E$32)*(1+Inputs!$B$9),2)</f>
        <v/>
      </c>
      <c r="O17" s="229">
        <f>ROUND((D17*Inputs!$C$33+E17*Inputs!$D$33+F17*Inputs!$E$33)*(1+Inputs!$B$9),2)</f>
        <v/>
      </c>
      <c r="P17" s="229">
        <f>ROUND((D17*Inputs!$C$34+E17*Inputs!$D$34+F17*Inputs!$E$34)*(1+Inputs!$B$9),2)</f>
        <v/>
      </c>
      <c r="Q17" s="229">
        <f>ROUND((D17*Inputs!$C$35+E17*Inputs!$D$35+F17*Inputs!$E$35)*(1+Inputs!$B$9),2)</f>
        <v/>
      </c>
      <c r="R17" s="229">
        <f>ROUND((D17*Inputs!$C$36+E17*Inputs!$D$36+F17*Inputs!$E$36)*(1+Inputs!$B$9),2)</f>
        <v/>
      </c>
      <c r="S17" s="50">
        <f>ROUND(G17*Inputs!$F$25+H17*Inputs!$F$26+I17*Inputs!$F$27+J17*Inputs!$F$28+K17*Inputs!$F$29+L17*Inputs!$F$30+M17*Inputs!$F$31+N17*Inputs!$F$32+O17*Inputs!$F$33+P17*Inputs!$F$34+Q17*Inputs!$F$35+R17*Inputs!$F$36,2)</f>
        <v/>
      </c>
      <c r="T17" s="226">
        <f>ROUND(S17/100000,2)</f>
        <v/>
      </c>
    </row>
    <row r="18" ht="19.95000076293945" customHeight="1" s="88">
      <c r="A18" s="42" t="n">
        <v>13</v>
      </c>
      <c r="B18" s="43" t="n">
        <v>46631</v>
      </c>
      <c r="C18" s="229">
        <f>IF(A18&lt;Inputs!$B$6,0,INDEX(Inputs!$B$41:$B$64,MIN(A18-Inputs!$B$6+1,24))*Inputs!$B$8)</f>
        <v/>
      </c>
      <c r="D18" s="229">
        <f>IF(C18=0,0,IF(A18&lt;Inputs!$G$7,ROUND(C18*25%,0),ROUND(C18*Inputs!$E$5,0)))</f>
        <v/>
      </c>
      <c r="E18" s="229">
        <f>IF(C18=0,0,IF(A18&lt;Inputs!$G$7,C18-D18,ROUND(C18*Inputs!$E$6,0)))</f>
        <v/>
      </c>
      <c r="F18" s="229">
        <f>C18-D18-E18</f>
        <v/>
      </c>
      <c r="G18" s="229">
        <f>ROUND((D18*Inputs!$C$25+E18*Inputs!$D$25+F18*Inputs!$E$25)*(1+Inputs!$B$9),2)</f>
        <v/>
      </c>
      <c r="H18" s="229">
        <f>ROUND((D18*Inputs!$C$26+E18*Inputs!$D$26+F18*Inputs!$E$26)*(1+Inputs!$B$9),2)</f>
        <v/>
      </c>
      <c r="I18" s="229">
        <f>ROUND((D18*Inputs!$C$27+E18*Inputs!$D$27+F18*Inputs!$E$27)*(1+Inputs!$B$9),2)</f>
        <v/>
      </c>
      <c r="J18" s="229">
        <f>ROUND((D18*Inputs!$C$28+E18*Inputs!$D$28+F18*Inputs!$E$28)*(1+Inputs!$B$9),2)</f>
        <v/>
      </c>
      <c r="K18" s="229">
        <f>ROUND((D18*Inputs!$C$29+E18*Inputs!$D$29+F18*Inputs!$E$29)*(1+Inputs!$B$9),2)</f>
        <v/>
      </c>
      <c r="L18" s="229">
        <f>ROUND((D18*Inputs!$C$30+E18*Inputs!$D$30+F18*Inputs!$E$30)*(1+Inputs!$B$9),2)</f>
        <v/>
      </c>
      <c r="M18" s="229">
        <f>ROUND((D18*Inputs!$C$31+E18*Inputs!$D$31+F18*Inputs!$E$31)*(1+Inputs!$B$9),2)</f>
        <v/>
      </c>
      <c r="N18" s="229">
        <f>ROUND((D18*Inputs!$C$32+E18*Inputs!$D$32+F18*Inputs!$E$32)*(1+Inputs!$B$9),2)</f>
        <v/>
      </c>
      <c r="O18" s="229">
        <f>ROUND((D18*Inputs!$C$33+E18*Inputs!$D$33+F18*Inputs!$E$33)*(1+Inputs!$B$9),2)</f>
        <v/>
      </c>
      <c r="P18" s="229">
        <f>ROUND((D18*Inputs!$C$34+E18*Inputs!$D$34+F18*Inputs!$E$34)*(1+Inputs!$B$9),2)</f>
        <v/>
      </c>
      <c r="Q18" s="229">
        <f>ROUND((D18*Inputs!$C$35+E18*Inputs!$D$35+F18*Inputs!$E$35)*(1+Inputs!$B$9),2)</f>
        <v/>
      </c>
      <c r="R18" s="229">
        <f>ROUND((D18*Inputs!$C$36+E18*Inputs!$D$36+F18*Inputs!$E$36)*(1+Inputs!$B$9),2)</f>
        <v/>
      </c>
      <c r="S18" s="50">
        <f>ROUND(G18*Inputs!$F$25+H18*Inputs!$F$26+I18*Inputs!$F$27+J18*Inputs!$F$28+K18*Inputs!$F$29+L18*Inputs!$F$30+M18*Inputs!$F$31+N18*Inputs!$F$32+O18*Inputs!$F$33+P18*Inputs!$F$34+Q18*Inputs!$F$35+R18*Inputs!$F$36,2)</f>
        <v/>
      </c>
      <c r="T18" s="226">
        <f>ROUND(S18/100000,2)</f>
        <v/>
      </c>
    </row>
    <row r="19" ht="19.95000076293945" customHeight="1" s="88">
      <c r="A19" s="42" t="n">
        <v>14</v>
      </c>
      <c r="B19" s="43" t="n">
        <v>46661</v>
      </c>
      <c r="C19" s="229">
        <f>IF(A19&lt;Inputs!$B$6,0,INDEX(Inputs!$B$41:$B$64,MIN(A19-Inputs!$B$6+1,24))*Inputs!$B$8)</f>
        <v/>
      </c>
      <c r="D19" s="229">
        <f>IF(C19=0,0,IF(A19&lt;Inputs!$G$7,ROUND(C19*25%,0),ROUND(C19*Inputs!$E$5,0)))</f>
        <v/>
      </c>
      <c r="E19" s="229">
        <f>IF(C19=0,0,IF(A19&lt;Inputs!$G$7,C19-D19,ROUND(C19*Inputs!$E$6,0)))</f>
        <v/>
      </c>
      <c r="F19" s="229">
        <f>C19-D19-E19</f>
        <v/>
      </c>
      <c r="G19" s="229">
        <f>ROUND((D19*Inputs!$C$25+E19*Inputs!$D$25+F19*Inputs!$E$25)*(1+Inputs!$B$9),2)</f>
        <v/>
      </c>
      <c r="H19" s="229">
        <f>ROUND((D19*Inputs!$C$26+E19*Inputs!$D$26+F19*Inputs!$E$26)*(1+Inputs!$B$9),2)</f>
        <v/>
      </c>
      <c r="I19" s="229">
        <f>ROUND((D19*Inputs!$C$27+E19*Inputs!$D$27+F19*Inputs!$E$27)*(1+Inputs!$B$9),2)</f>
        <v/>
      </c>
      <c r="J19" s="229">
        <f>ROUND((D19*Inputs!$C$28+E19*Inputs!$D$28+F19*Inputs!$E$28)*(1+Inputs!$B$9),2)</f>
        <v/>
      </c>
      <c r="K19" s="229">
        <f>ROUND((D19*Inputs!$C$29+E19*Inputs!$D$29+F19*Inputs!$E$29)*(1+Inputs!$B$9),2)</f>
        <v/>
      </c>
      <c r="L19" s="229">
        <f>ROUND((D19*Inputs!$C$30+E19*Inputs!$D$30+F19*Inputs!$E$30)*(1+Inputs!$B$9),2)</f>
        <v/>
      </c>
      <c r="M19" s="229">
        <f>ROUND((D19*Inputs!$C$31+E19*Inputs!$D$31+F19*Inputs!$E$31)*(1+Inputs!$B$9),2)</f>
        <v/>
      </c>
      <c r="N19" s="229">
        <f>ROUND((D19*Inputs!$C$32+E19*Inputs!$D$32+F19*Inputs!$E$32)*(1+Inputs!$B$9),2)</f>
        <v/>
      </c>
      <c r="O19" s="229">
        <f>ROUND((D19*Inputs!$C$33+E19*Inputs!$D$33+F19*Inputs!$E$33)*(1+Inputs!$B$9),2)</f>
        <v/>
      </c>
      <c r="P19" s="229">
        <f>ROUND((D19*Inputs!$C$34+E19*Inputs!$D$34+F19*Inputs!$E$34)*(1+Inputs!$B$9),2)</f>
        <v/>
      </c>
      <c r="Q19" s="229">
        <f>ROUND((D19*Inputs!$C$35+E19*Inputs!$D$35+F19*Inputs!$E$35)*(1+Inputs!$B$9),2)</f>
        <v/>
      </c>
      <c r="R19" s="229">
        <f>ROUND((D19*Inputs!$C$36+E19*Inputs!$D$36+F19*Inputs!$E$36)*(1+Inputs!$B$9),2)</f>
        <v/>
      </c>
      <c r="S19" s="50">
        <f>ROUND(G19*Inputs!$F$25+H19*Inputs!$F$26+I19*Inputs!$F$27+J19*Inputs!$F$28+K19*Inputs!$F$29+L19*Inputs!$F$30+M19*Inputs!$F$31+N19*Inputs!$F$32+O19*Inputs!$F$33+P19*Inputs!$F$34+Q19*Inputs!$F$35+R19*Inputs!$F$36,2)</f>
        <v/>
      </c>
      <c r="T19" s="226">
        <f>ROUND(S19/100000,2)</f>
        <v/>
      </c>
    </row>
    <row r="20" ht="19.95000076293945" customHeight="1" s="88">
      <c r="A20" s="42" t="n">
        <v>15</v>
      </c>
      <c r="B20" s="43" t="n">
        <v>46692</v>
      </c>
      <c r="C20" s="229">
        <f>IF(A20&lt;Inputs!$B$6,0,INDEX(Inputs!$B$41:$B$64,MIN(A20-Inputs!$B$6+1,24))*Inputs!$B$8)</f>
        <v/>
      </c>
      <c r="D20" s="229">
        <f>IF(C20=0,0,IF(A20&lt;Inputs!$G$7,ROUND(C20*25%,0),ROUND(C20*Inputs!$E$5,0)))</f>
        <v/>
      </c>
      <c r="E20" s="229">
        <f>IF(C20=0,0,IF(A20&lt;Inputs!$G$7,C20-D20,ROUND(C20*Inputs!$E$6,0)))</f>
        <v/>
      </c>
      <c r="F20" s="229">
        <f>C20-D20-E20</f>
        <v/>
      </c>
      <c r="G20" s="229">
        <f>ROUND((D20*Inputs!$C$25+E20*Inputs!$D$25+F20*Inputs!$E$25)*(1+Inputs!$B$9),2)</f>
        <v/>
      </c>
      <c r="H20" s="229">
        <f>ROUND((D20*Inputs!$C$26+E20*Inputs!$D$26+F20*Inputs!$E$26)*(1+Inputs!$B$9),2)</f>
        <v/>
      </c>
      <c r="I20" s="229">
        <f>ROUND((D20*Inputs!$C$27+E20*Inputs!$D$27+F20*Inputs!$E$27)*(1+Inputs!$B$9),2)</f>
        <v/>
      </c>
      <c r="J20" s="229">
        <f>ROUND((D20*Inputs!$C$28+E20*Inputs!$D$28+F20*Inputs!$E$28)*(1+Inputs!$B$9),2)</f>
        <v/>
      </c>
      <c r="K20" s="229">
        <f>ROUND((D20*Inputs!$C$29+E20*Inputs!$D$29+F20*Inputs!$E$29)*(1+Inputs!$B$9),2)</f>
        <v/>
      </c>
      <c r="L20" s="229">
        <f>ROUND((D20*Inputs!$C$30+E20*Inputs!$D$30+F20*Inputs!$E$30)*(1+Inputs!$B$9),2)</f>
        <v/>
      </c>
      <c r="M20" s="229">
        <f>ROUND((D20*Inputs!$C$31+E20*Inputs!$D$31+F20*Inputs!$E$31)*(1+Inputs!$B$9),2)</f>
        <v/>
      </c>
      <c r="N20" s="229">
        <f>ROUND((D20*Inputs!$C$32+E20*Inputs!$D$32+F20*Inputs!$E$32)*(1+Inputs!$B$9),2)</f>
        <v/>
      </c>
      <c r="O20" s="229">
        <f>ROUND((D20*Inputs!$C$33+E20*Inputs!$D$33+F20*Inputs!$E$33)*(1+Inputs!$B$9),2)</f>
        <v/>
      </c>
      <c r="P20" s="229">
        <f>ROUND((D20*Inputs!$C$34+E20*Inputs!$D$34+F20*Inputs!$E$34)*(1+Inputs!$B$9),2)</f>
        <v/>
      </c>
      <c r="Q20" s="229">
        <f>ROUND((D20*Inputs!$C$35+E20*Inputs!$D$35+F20*Inputs!$E$35)*(1+Inputs!$B$9),2)</f>
        <v/>
      </c>
      <c r="R20" s="229">
        <f>ROUND((D20*Inputs!$C$36+E20*Inputs!$D$36+F20*Inputs!$E$36)*(1+Inputs!$B$9),2)</f>
        <v/>
      </c>
      <c r="S20" s="50">
        <f>ROUND(G20*Inputs!$F$25+H20*Inputs!$F$26+I20*Inputs!$F$27+J20*Inputs!$F$28+K20*Inputs!$F$29+L20*Inputs!$F$30+M20*Inputs!$F$31+N20*Inputs!$F$32+O20*Inputs!$F$33+P20*Inputs!$F$34+Q20*Inputs!$F$35+R20*Inputs!$F$36,2)</f>
        <v/>
      </c>
      <c r="T20" s="226">
        <f>ROUND(S20/100000,2)</f>
        <v/>
      </c>
    </row>
    <row r="21" ht="19.95000076293945" customHeight="1" s="88">
      <c r="A21" s="42" t="n">
        <v>16</v>
      </c>
      <c r="B21" s="43" t="n">
        <v>46722</v>
      </c>
      <c r="C21" s="229">
        <f>IF(A21&lt;Inputs!$B$6,0,INDEX(Inputs!$B$41:$B$64,MIN(A21-Inputs!$B$6+1,24))*Inputs!$B$8)</f>
        <v/>
      </c>
      <c r="D21" s="229">
        <f>IF(C21=0,0,IF(A21&lt;Inputs!$G$7,ROUND(C21*25%,0),ROUND(C21*Inputs!$E$5,0)))</f>
        <v/>
      </c>
      <c r="E21" s="229">
        <f>IF(C21=0,0,IF(A21&lt;Inputs!$G$7,C21-D21,ROUND(C21*Inputs!$E$6,0)))</f>
        <v/>
      </c>
      <c r="F21" s="229">
        <f>C21-D21-E21</f>
        <v/>
      </c>
      <c r="G21" s="229">
        <f>ROUND((D21*Inputs!$C$25+E21*Inputs!$D$25+F21*Inputs!$E$25)*(1+Inputs!$B$9),2)</f>
        <v/>
      </c>
      <c r="H21" s="229">
        <f>ROUND((D21*Inputs!$C$26+E21*Inputs!$D$26+F21*Inputs!$E$26)*(1+Inputs!$B$9),2)</f>
        <v/>
      </c>
      <c r="I21" s="229">
        <f>ROUND((D21*Inputs!$C$27+E21*Inputs!$D$27+F21*Inputs!$E$27)*(1+Inputs!$B$9),2)</f>
        <v/>
      </c>
      <c r="J21" s="229">
        <f>ROUND((D21*Inputs!$C$28+E21*Inputs!$D$28+F21*Inputs!$E$28)*(1+Inputs!$B$9),2)</f>
        <v/>
      </c>
      <c r="K21" s="229">
        <f>ROUND((D21*Inputs!$C$29+E21*Inputs!$D$29+F21*Inputs!$E$29)*(1+Inputs!$B$9),2)</f>
        <v/>
      </c>
      <c r="L21" s="229">
        <f>ROUND((D21*Inputs!$C$30+E21*Inputs!$D$30+F21*Inputs!$E$30)*(1+Inputs!$B$9),2)</f>
        <v/>
      </c>
      <c r="M21" s="229">
        <f>ROUND((D21*Inputs!$C$31+E21*Inputs!$D$31+F21*Inputs!$E$31)*(1+Inputs!$B$9),2)</f>
        <v/>
      </c>
      <c r="N21" s="229">
        <f>ROUND((D21*Inputs!$C$32+E21*Inputs!$D$32+F21*Inputs!$E$32)*(1+Inputs!$B$9),2)</f>
        <v/>
      </c>
      <c r="O21" s="229">
        <f>ROUND((D21*Inputs!$C$33+E21*Inputs!$D$33+F21*Inputs!$E$33)*(1+Inputs!$B$9),2)</f>
        <v/>
      </c>
      <c r="P21" s="229">
        <f>ROUND((D21*Inputs!$C$34+E21*Inputs!$D$34+F21*Inputs!$E$34)*(1+Inputs!$B$9),2)</f>
        <v/>
      </c>
      <c r="Q21" s="229">
        <f>ROUND((D21*Inputs!$C$35+E21*Inputs!$D$35+F21*Inputs!$E$35)*(1+Inputs!$B$9),2)</f>
        <v/>
      </c>
      <c r="R21" s="229">
        <f>ROUND((D21*Inputs!$C$36+E21*Inputs!$D$36+F21*Inputs!$E$36)*(1+Inputs!$B$9),2)</f>
        <v/>
      </c>
      <c r="S21" s="50">
        <f>ROUND(G21*Inputs!$F$25+H21*Inputs!$F$26+I21*Inputs!$F$27+J21*Inputs!$F$28+K21*Inputs!$F$29+L21*Inputs!$F$30+M21*Inputs!$F$31+N21*Inputs!$F$32+O21*Inputs!$F$33+P21*Inputs!$F$34+Q21*Inputs!$F$35+R21*Inputs!$F$36,2)</f>
        <v/>
      </c>
      <c r="T21" s="226">
        <f>ROUND(S21/100000,2)</f>
        <v/>
      </c>
    </row>
    <row r="22" ht="19.95000076293945" customHeight="1" s="88">
      <c r="A22" s="42" t="n">
        <v>17</v>
      </c>
      <c r="B22" s="43" t="n">
        <v>46753</v>
      </c>
      <c r="C22" s="229">
        <f>IF(A22&lt;Inputs!$B$6,0,INDEX(Inputs!$B$41:$B$64,MIN(A22-Inputs!$B$6+1,24))*Inputs!$B$8)</f>
        <v/>
      </c>
      <c r="D22" s="229">
        <f>IF(C22=0,0,IF(A22&lt;Inputs!$G$7,ROUND(C22*25%,0),ROUND(C22*Inputs!$E$5,0)))</f>
        <v/>
      </c>
      <c r="E22" s="229">
        <f>IF(C22=0,0,IF(A22&lt;Inputs!$G$7,C22-D22,ROUND(C22*Inputs!$E$6,0)))</f>
        <v/>
      </c>
      <c r="F22" s="229">
        <f>C22-D22-E22</f>
        <v/>
      </c>
      <c r="G22" s="229">
        <f>ROUND((D22*Inputs!$C$25+E22*Inputs!$D$25+F22*Inputs!$E$25)*(1+Inputs!$B$9),2)</f>
        <v/>
      </c>
      <c r="H22" s="229">
        <f>ROUND((D22*Inputs!$C$26+E22*Inputs!$D$26+F22*Inputs!$E$26)*(1+Inputs!$B$9),2)</f>
        <v/>
      </c>
      <c r="I22" s="229">
        <f>ROUND((D22*Inputs!$C$27+E22*Inputs!$D$27+F22*Inputs!$E$27)*(1+Inputs!$B$9),2)</f>
        <v/>
      </c>
      <c r="J22" s="229">
        <f>ROUND((D22*Inputs!$C$28+E22*Inputs!$D$28+F22*Inputs!$E$28)*(1+Inputs!$B$9),2)</f>
        <v/>
      </c>
      <c r="K22" s="229">
        <f>ROUND((D22*Inputs!$C$29+E22*Inputs!$D$29+F22*Inputs!$E$29)*(1+Inputs!$B$9),2)</f>
        <v/>
      </c>
      <c r="L22" s="229">
        <f>ROUND((D22*Inputs!$C$30+E22*Inputs!$D$30+F22*Inputs!$E$30)*(1+Inputs!$B$9),2)</f>
        <v/>
      </c>
      <c r="M22" s="229">
        <f>ROUND((D22*Inputs!$C$31+E22*Inputs!$D$31+F22*Inputs!$E$31)*(1+Inputs!$B$9),2)</f>
        <v/>
      </c>
      <c r="N22" s="229">
        <f>ROUND((D22*Inputs!$C$32+E22*Inputs!$D$32+F22*Inputs!$E$32)*(1+Inputs!$B$9),2)</f>
        <v/>
      </c>
      <c r="O22" s="229">
        <f>ROUND((D22*Inputs!$C$33+E22*Inputs!$D$33+F22*Inputs!$E$33)*(1+Inputs!$B$9),2)</f>
        <v/>
      </c>
      <c r="P22" s="229">
        <f>ROUND((D22*Inputs!$C$34+E22*Inputs!$D$34+F22*Inputs!$E$34)*(1+Inputs!$B$9),2)</f>
        <v/>
      </c>
      <c r="Q22" s="229">
        <f>ROUND((D22*Inputs!$C$35+E22*Inputs!$D$35+F22*Inputs!$E$35)*(1+Inputs!$B$9),2)</f>
        <v/>
      </c>
      <c r="R22" s="229">
        <f>ROUND((D22*Inputs!$C$36+E22*Inputs!$D$36+F22*Inputs!$E$36)*(1+Inputs!$B$9),2)</f>
        <v/>
      </c>
      <c r="S22" s="50">
        <f>ROUND(G22*Inputs!$F$25+H22*Inputs!$F$26+I22*Inputs!$F$27+J22*Inputs!$F$28+K22*Inputs!$F$29+L22*Inputs!$F$30+M22*Inputs!$F$31+N22*Inputs!$F$32+O22*Inputs!$F$33+P22*Inputs!$F$34+Q22*Inputs!$F$35+R22*Inputs!$F$36,2)</f>
        <v/>
      </c>
      <c r="T22" s="226">
        <f>ROUND(S22/100000,2)</f>
        <v/>
      </c>
    </row>
    <row r="23" ht="19.95000076293945" customHeight="1" s="88">
      <c r="A23" s="42" t="n">
        <v>18</v>
      </c>
      <c r="B23" s="43" t="n">
        <v>46784</v>
      </c>
      <c r="C23" s="229">
        <f>IF(A23&lt;Inputs!$B$6,0,INDEX(Inputs!$B$41:$B$64,MIN(A23-Inputs!$B$6+1,24))*Inputs!$B$8)</f>
        <v/>
      </c>
      <c r="D23" s="229">
        <f>IF(C23=0,0,IF(A23&lt;Inputs!$G$7,ROUND(C23*25%,0),ROUND(C23*Inputs!$E$5,0)))</f>
        <v/>
      </c>
      <c r="E23" s="229">
        <f>IF(C23=0,0,IF(A23&lt;Inputs!$G$7,C23-D23,ROUND(C23*Inputs!$E$6,0)))</f>
        <v/>
      </c>
      <c r="F23" s="229">
        <f>C23-D23-E23</f>
        <v/>
      </c>
      <c r="G23" s="229">
        <f>ROUND((D23*Inputs!$C$25+E23*Inputs!$D$25+F23*Inputs!$E$25)*(1+Inputs!$B$9),2)</f>
        <v/>
      </c>
      <c r="H23" s="229">
        <f>ROUND((D23*Inputs!$C$26+E23*Inputs!$D$26+F23*Inputs!$E$26)*(1+Inputs!$B$9),2)</f>
        <v/>
      </c>
      <c r="I23" s="229">
        <f>ROUND((D23*Inputs!$C$27+E23*Inputs!$D$27+F23*Inputs!$E$27)*(1+Inputs!$B$9),2)</f>
        <v/>
      </c>
      <c r="J23" s="229">
        <f>ROUND((D23*Inputs!$C$28+E23*Inputs!$D$28+F23*Inputs!$E$28)*(1+Inputs!$B$9),2)</f>
        <v/>
      </c>
      <c r="K23" s="229">
        <f>ROUND((D23*Inputs!$C$29+E23*Inputs!$D$29+F23*Inputs!$E$29)*(1+Inputs!$B$9),2)</f>
        <v/>
      </c>
      <c r="L23" s="229">
        <f>ROUND((D23*Inputs!$C$30+E23*Inputs!$D$30+F23*Inputs!$E$30)*(1+Inputs!$B$9),2)</f>
        <v/>
      </c>
      <c r="M23" s="229">
        <f>ROUND((D23*Inputs!$C$31+E23*Inputs!$D$31+F23*Inputs!$E$31)*(1+Inputs!$B$9),2)</f>
        <v/>
      </c>
      <c r="N23" s="229">
        <f>ROUND((D23*Inputs!$C$32+E23*Inputs!$D$32+F23*Inputs!$E$32)*(1+Inputs!$B$9),2)</f>
        <v/>
      </c>
      <c r="O23" s="229">
        <f>ROUND((D23*Inputs!$C$33+E23*Inputs!$D$33+F23*Inputs!$E$33)*(1+Inputs!$B$9),2)</f>
        <v/>
      </c>
      <c r="P23" s="229">
        <f>ROUND((D23*Inputs!$C$34+E23*Inputs!$D$34+F23*Inputs!$E$34)*(1+Inputs!$B$9),2)</f>
        <v/>
      </c>
      <c r="Q23" s="229">
        <f>ROUND((D23*Inputs!$C$35+E23*Inputs!$D$35+F23*Inputs!$E$35)*(1+Inputs!$B$9),2)</f>
        <v/>
      </c>
      <c r="R23" s="229">
        <f>ROUND((D23*Inputs!$C$36+E23*Inputs!$D$36+F23*Inputs!$E$36)*(1+Inputs!$B$9),2)</f>
        <v/>
      </c>
      <c r="S23" s="50">
        <f>ROUND(G23*Inputs!$F$25+H23*Inputs!$F$26+I23*Inputs!$F$27+J23*Inputs!$F$28+K23*Inputs!$F$29+L23*Inputs!$F$30+M23*Inputs!$F$31+N23*Inputs!$F$32+O23*Inputs!$F$33+P23*Inputs!$F$34+Q23*Inputs!$F$35+R23*Inputs!$F$36,2)</f>
        <v/>
      </c>
      <c r="T23" s="226">
        <f>ROUND(S23/100000,2)</f>
        <v/>
      </c>
    </row>
    <row r="24" ht="19.95000076293945" customHeight="1" s="88">
      <c r="A24" s="42" t="n">
        <v>19</v>
      </c>
      <c r="B24" s="43" t="n">
        <v>46813</v>
      </c>
      <c r="C24" s="229">
        <f>IF(A24&lt;Inputs!$B$6,0,INDEX(Inputs!$B$41:$B$64,MIN(A24-Inputs!$B$6+1,24))*Inputs!$B$8)</f>
        <v/>
      </c>
      <c r="D24" s="229">
        <f>IF(C24=0,0,IF(A24&lt;Inputs!$G$7,ROUND(C24*25%,0),ROUND(C24*Inputs!$E$5,0)))</f>
        <v/>
      </c>
      <c r="E24" s="229">
        <f>IF(C24=0,0,IF(A24&lt;Inputs!$G$7,C24-D24,ROUND(C24*Inputs!$E$6,0)))</f>
        <v/>
      </c>
      <c r="F24" s="229">
        <f>C24-D24-E24</f>
        <v/>
      </c>
      <c r="G24" s="229">
        <f>ROUND((D24*Inputs!$C$25+E24*Inputs!$D$25+F24*Inputs!$E$25)*(1+Inputs!$B$9),2)</f>
        <v/>
      </c>
      <c r="H24" s="229">
        <f>ROUND((D24*Inputs!$C$26+E24*Inputs!$D$26+F24*Inputs!$E$26)*(1+Inputs!$B$9),2)</f>
        <v/>
      </c>
      <c r="I24" s="229">
        <f>ROUND((D24*Inputs!$C$27+E24*Inputs!$D$27+F24*Inputs!$E$27)*(1+Inputs!$B$9),2)</f>
        <v/>
      </c>
      <c r="J24" s="229">
        <f>ROUND((D24*Inputs!$C$28+E24*Inputs!$D$28+F24*Inputs!$E$28)*(1+Inputs!$B$9),2)</f>
        <v/>
      </c>
      <c r="K24" s="229">
        <f>ROUND((D24*Inputs!$C$29+E24*Inputs!$D$29+F24*Inputs!$E$29)*(1+Inputs!$B$9),2)</f>
        <v/>
      </c>
      <c r="L24" s="229">
        <f>ROUND((D24*Inputs!$C$30+E24*Inputs!$D$30+F24*Inputs!$E$30)*(1+Inputs!$B$9),2)</f>
        <v/>
      </c>
      <c r="M24" s="229">
        <f>ROUND((D24*Inputs!$C$31+E24*Inputs!$D$31+F24*Inputs!$E$31)*(1+Inputs!$B$9),2)</f>
        <v/>
      </c>
      <c r="N24" s="229">
        <f>ROUND((D24*Inputs!$C$32+E24*Inputs!$D$32+F24*Inputs!$E$32)*(1+Inputs!$B$9),2)</f>
        <v/>
      </c>
      <c r="O24" s="229">
        <f>ROUND((D24*Inputs!$C$33+E24*Inputs!$D$33+F24*Inputs!$E$33)*(1+Inputs!$B$9),2)</f>
        <v/>
      </c>
      <c r="P24" s="229">
        <f>ROUND((D24*Inputs!$C$34+E24*Inputs!$D$34+F24*Inputs!$E$34)*(1+Inputs!$B$9),2)</f>
        <v/>
      </c>
      <c r="Q24" s="229">
        <f>ROUND((D24*Inputs!$C$35+E24*Inputs!$D$35+F24*Inputs!$E$35)*(1+Inputs!$B$9),2)</f>
        <v/>
      </c>
      <c r="R24" s="229">
        <f>ROUND((D24*Inputs!$C$36+E24*Inputs!$D$36+F24*Inputs!$E$36)*(1+Inputs!$B$9),2)</f>
        <v/>
      </c>
      <c r="S24" s="50">
        <f>ROUND(G24*Inputs!$F$25+H24*Inputs!$F$26+I24*Inputs!$F$27+J24*Inputs!$F$28+K24*Inputs!$F$29+L24*Inputs!$F$30+M24*Inputs!$F$31+N24*Inputs!$F$32+O24*Inputs!$F$33+P24*Inputs!$F$34+Q24*Inputs!$F$35+R24*Inputs!$F$36,2)</f>
        <v/>
      </c>
      <c r="T24" s="226">
        <f>ROUND(S24/100000,2)</f>
        <v/>
      </c>
    </row>
    <row r="25" ht="19.95000076293945" customHeight="1" s="88">
      <c r="A25" s="42" t="n">
        <v>20</v>
      </c>
      <c r="B25" s="43" t="n">
        <v>46844</v>
      </c>
      <c r="C25" s="229">
        <f>IF(A25&lt;Inputs!$B$6,0,INDEX(Inputs!$B$41:$B$64,MIN(A25-Inputs!$B$6+1,24))*Inputs!$B$8)</f>
        <v/>
      </c>
      <c r="D25" s="229">
        <f>IF(C25=0,0,IF(A25&lt;Inputs!$G$7,ROUND(C25*25%,0),ROUND(C25*Inputs!$E$5,0)))</f>
        <v/>
      </c>
      <c r="E25" s="229">
        <f>IF(C25=0,0,IF(A25&lt;Inputs!$G$7,C25-D25,ROUND(C25*Inputs!$E$6,0)))</f>
        <v/>
      </c>
      <c r="F25" s="229">
        <f>C25-D25-E25</f>
        <v/>
      </c>
      <c r="G25" s="229">
        <f>ROUND((D25*Inputs!$C$25+E25*Inputs!$D$25+F25*Inputs!$E$25)*(1+Inputs!$B$9),2)</f>
        <v/>
      </c>
      <c r="H25" s="229">
        <f>ROUND((D25*Inputs!$C$26+E25*Inputs!$D$26+F25*Inputs!$E$26)*(1+Inputs!$B$9),2)</f>
        <v/>
      </c>
      <c r="I25" s="229">
        <f>ROUND((D25*Inputs!$C$27+E25*Inputs!$D$27+F25*Inputs!$E$27)*(1+Inputs!$B$9),2)</f>
        <v/>
      </c>
      <c r="J25" s="229">
        <f>ROUND((D25*Inputs!$C$28+E25*Inputs!$D$28+F25*Inputs!$E$28)*(1+Inputs!$B$9),2)</f>
        <v/>
      </c>
      <c r="K25" s="229">
        <f>ROUND((D25*Inputs!$C$29+E25*Inputs!$D$29+F25*Inputs!$E$29)*(1+Inputs!$B$9),2)</f>
        <v/>
      </c>
      <c r="L25" s="229">
        <f>ROUND((D25*Inputs!$C$30+E25*Inputs!$D$30+F25*Inputs!$E$30)*(1+Inputs!$B$9),2)</f>
        <v/>
      </c>
      <c r="M25" s="229">
        <f>ROUND((D25*Inputs!$C$31+E25*Inputs!$D$31+F25*Inputs!$E$31)*(1+Inputs!$B$9),2)</f>
        <v/>
      </c>
      <c r="N25" s="229">
        <f>ROUND((D25*Inputs!$C$32+E25*Inputs!$D$32+F25*Inputs!$E$32)*(1+Inputs!$B$9),2)</f>
        <v/>
      </c>
      <c r="O25" s="229">
        <f>ROUND((D25*Inputs!$C$33+E25*Inputs!$D$33+F25*Inputs!$E$33)*(1+Inputs!$B$9),2)</f>
        <v/>
      </c>
      <c r="P25" s="229">
        <f>ROUND((D25*Inputs!$C$34+E25*Inputs!$D$34+F25*Inputs!$E$34)*(1+Inputs!$B$9),2)</f>
        <v/>
      </c>
      <c r="Q25" s="229">
        <f>ROUND((D25*Inputs!$C$35+E25*Inputs!$D$35+F25*Inputs!$E$35)*(1+Inputs!$B$9),2)</f>
        <v/>
      </c>
      <c r="R25" s="229">
        <f>ROUND((D25*Inputs!$C$36+E25*Inputs!$D$36+F25*Inputs!$E$36)*(1+Inputs!$B$9),2)</f>
        <v/>
      </c>
      <c r="S25" s="50">
        <f>ROUND(G25*Inputs!$F$25+H25*Inputs!$F$26+I25*Inputs!$F$27+J25*Inputs!$F$28+K25*Inputs!$F$29+L25*Inputs!$F$30+M25*Inputs!$F$31+N25*Inputs!$F$32+O25*Inputs!$F$33+P25*Inputs!$F$34+Q25*Inputs!$F$35+R25*Inputs!$F$36,2)</f>
        <v/>
      </c>
      <c r="T25" s="226">
        <f>ROUND(S25/100000,2)</f>
        <v/>
      </c>
    </row>
    <row r="26" ht="19.95000076293945" customHeight="1" s="88">
      <c r="A26" s="42" t="n">
        <v>21</v>
      </c>
      <c r="B26" s="43" t="n">
        <v>46874</v>
      </c>
      <c r="C26" s="229">
        <f>IF(A26&lt;Inputs!$B$6,0,INDEX(Inputs!$B$41:$B$64,MIN(A26-Inputs!$B$6+1,24))*Inputs!$B$8)</f>
        <v/>
      </c>
      <c r="D26" s="229">
        <f>IF(C26=0,0,IF(A26&lt;Inputs!$G$7,ROUND(C26*25%,0),ROUND(C26*Inputs!$E$5,0)))</f>
        <v/>
      </c>
      <c r="E26" s="229">
        <f>IF(C26=0,0,IF(A26&lt;Inputs!$G$7,C26-D26,ROUND(C26*Inputs!$E$6,0)))</f>
        <v/>
      </c>
      <c r="F26" s="229">
        <f>C26-D26-E26</f>
        <v/>
      </c>
      <c r="G26" s="229">
        <f>ROUND((D26*Inputs!$C$25+E26*Inputs!$D$25+F26*Inputs!$E$25)*(1+Inputs!$B$9),2)</f>
        <v/>
      </c>
      <c r="H26" s="229">
        <f>ROUND((D26*Inputs!$C$26+E26*Inputs!$D$26+F26*Inputs!$E$26)*(1+Inputs!$B$9),2)</f>
        <v/>
      </c>
      <c r="I26" s="229">
        <f>ROUND((D26*Inputs!$C$27+E26*Inputs!$D$27+F26*Inputs!$E$27)*(1+Inputs!$B$9),2)</f>
        <v/>
      </c>
      <c r="J26" s="229">
        <f>ROUND((D26*Inputs!$C$28+E26*Inputs!$D$28+F26*Inputs!$E$28)*(1+Inputs!$B$9),2)</f>
        <v/>
      </c>
      <c r="K26" s="229">
        <f>ROUND((D26*Inputs!$C$29+E26*Inputs!$D$29+F26*Inputs!$E$29)*(1+Inputs!$B$9),2)</f>
        <v/>
      </c>
      <c r="L26" s="229">
        <f>ROUND((D26*Inputs!$C$30+E26*Inputs!$D$30+F26*Inputs!$E$30)*(1+Inputs!$B$9),2)</f>
        <v/>
      </c>
      <c r="M26" s="229">
        <f>ROUND((D26*Inputs!$C$31+E26*Inputs!$D$31+F26*Inputs!$E$31)*(1+Inputs!$B$9),2)</f>
        <v/>
      </c>
      <c r="N26" s="229">
        <f>ROUND((D26*Inputs!$C$32+E26*Inputs!$D$32+F26*Inputs!$E$32)*(1+Inputs!$B$9),2)</f>
        <v/>
      </c>
      <c r="O26" s="229">
        <f>ROUND((D26*Inputs!$C$33+E26*Inputs!$D$33+F26*Inputs!$E$33)*(1+Inputs!$B$9),2)</f>
        <v/>
      </c>
      <c r="P26" s="229">
        <f>ROUND((D26*Inputs!$C$34+E26*Inputs!$D$34+F26*Inputs!$E$34)*(1+Inputs!$B$9),2)</f>
        <v/>
      </c>
      <c r="Q26" s="229">
        <f>ROUND((D26*Inputs!$C$35+E26*Inputs!$D$35+F26*Inputs!$E$35)*(1+Inputs!$B$9),2)</f>
        <v/>
      </c>
      <c r="R26" s="229">
        <f>ROUND((D26*Inputs!$C$36+E26*Inputs!$D$36+F26*Inputs!$E$36)*(1+Inputs!$B$9),2)</f>
        <v/>
      </c>
      <c r="S26" s="50">
        <f>ROUND(G26*Inputs!$F$25+H26*Inputs!$F$26+I26*Inputs!$F$27+J26*Inputs!$F$28+K26*Inputs!$F$29+L26*Inputs!$F$30+M26*Inputs!$F$31+N26*Inputs!$F$32+O26*Inputs!$F$33+P26*Inputs!$F$34+Q26*Inputs!$F$35+R26*Inputs!$F$36,2)</f>
        <v/>
      </c>
      <c r="T26" s="226">
        <f>ROUND(S26/100000,2)</f>
        <v/>
      </c>
    </row>
    <row r="27" ht="19.95000076293945" customHeight="1" s="88">
      <c r="A27" s="42" t="n">
        <v>22</v>
      </c>
      <c r="B27" s="43" t="n">
        <v>46905</v>
      </c>
      <c r="C27" s="229">
        <f>IF(A27&lt;Inputs!$B$6,0,INDEX(Inputs!$B$41:$B$64,MIN(A27-Inputs!$B$6+1,24))*Inputs!$B$8)</f>
        <v/>
      </c>
      <c r="D27" s="229">
        <f>IF(C27=0,0,IF(A27&lt;Inputs!$G$7,ROUND(C27*25%,0),ROUND(C27*Inputs!$E$5,0)))</f>
        <v/>
      </c>
      <c r="E27" s="229">
        <f>IF(C27=0,0,IF(A27&lt;Inputs!$G$7,C27-D27,ROUND(C27*Inputs!$E$6,0)))</f>
        <v/>
      </c>
      <c r="F27" s="229">
        <f>C27-D27-E27</f>
        <v/>
      </c>
      <c r="G27" s="229">
        <f>ROUND((D27*Inputs!$C$25+E27*Inputs!$D$25+F27*Inputs!$E$25)*(1+Inputs!$B$9),2)</f>
        <v/>
      </c>
      <c r="H27" s="229">
        <f>ROUND((D27*Inputs!$C$26+E27*Inputs!$D$26+F27*Inputs!$E$26)*(1+Inputs!$B$9),2)</f>
        <v/>
      </c>
      <c r="I27" s="229">
        <f>ROUND((D27*Inputs!$C$27+E27*Inputs!$D$27+F27*Inputs!$E$27)*(1+Inputs!$B$9),2)</f>
        <v/>
      </c>
      <c r="J27" s="229">
        <f>ROUND((D27*Inputs!$C$28+E27*Inputs!$D$28+F27*Inputs!$E$28)*(1+Inputs!$B$9),2)</f>
        <v/>
      </c>
      <c r="K27" s="229">
        <f>ROUND((D27*Inputs!$C$29+E27*Inputs!$D$29+F27*Inputs!$E$29)*(1+Inputs!$B$9),2)</f>
        <v/>
      </c>
      <c r="L27" s="229">
        <f>ROUND((D27*Inputs!$C$30+E27*Inputs!$D$30+F27*Inputs!$E$30)*(1+Inputs!$B$9),2)</f>
        <v/>
      </c>
      <c r="M27" s="229">
        <f>ROUND((D27*Inputs!$C$31+E27*Inputs!$D$31+F27*Inputs!$E$31)*(1+Inputs!$B$9),2)</f>
        <v/>
      </c>
      <c r="N27" s="229">
        <f>ROUND((D27*Inputs!$C$32+E27*Inputs!$D$32+F27*Inputs!$E$32)*(1+Inputs!$B$9),2)</f>
        <v/>
      </c>
      <c r="O27" s="229">
        <f>ROUND((D27*Inputs!$C$33+E27*Inputs!$D$33+F27*Inputs!$E$33)*(1+Inputs!$B$9),2)</f>
        <v/>
      </c>
      <c r="P27" s="229">
        <f>ROUND((D27*Inputs!$C$34+E27*Inputs!$D$34+F27*Inputs!$E$34)*(1+Inputs!$B$9),2)</f>
        <v/>
      </c>
      <c r="Q27" s="229">
        <f>ROUND((D27*Inputs!$C$35+E27*Inputs!$D$35+F27*Inputs!$E$35)*(1+Inputs!$B$9),2)</f>
        <v/>
      </c>
      <c r="R27" s="229">
        <f>ROUND((D27*Inputs!$C$36+E27*Inputs!$D$36+F27*Inputs!$E$36)*(1+Inputs!$B$9),2)</f>
        <v/>
      </c>
      <c r="S27" s="50">
        <f>ROUND(G27*Inputs!$F$25+H27*Inputs!$F$26+I27*Inputs!$F$27+J27*Inputs!$F$28+K27*Inputs!$F$29+L27*Inputs!$F$30+M27*Inputs!$F$31+N27*Inputs!$F$32+O27*Inputs!$F$33+P27*Inputs!$F$34+Q27*Inputs!$F$35+R27*Inputs!$F$36,2)</f>
        <v/>
      </c>
      <c r="T27" s="226">
        <f>ROUND(S27/100000,2)</f>
        <v/>
      </c>
    </row>
    <row r="28" ht="19.95000076293945" customHeight="1" s="88">
      <c r="A28" s="42" t="n">
        <v>23</v>
      </c>
      <c r="B28" s="43" t="n">
        <v>46935</v>
      </c>
      <c r="C28" s="229">
        <f>IF(A28&lt;Inputs!$B$6,0,INDEX(Inputs!$B$41:$B$64,MIN(A28-Inputs!$B$6+1,24))*Inputs!$B$8)</f>
        <v/>
      </c>
      <c r="D28" s="229">
        <f>IF(C28=0,0,IF(A28&lt;Inputs!$G$7,ROUND(C28*25%,0),ROUND(C28*Inputs!$E$5,0)))</f>
        <v/>
      </c>
      <c r="E28" s="229">
        <f>IF(C28=0,0,IF(A28&lt;Inputs!$G$7,C28-D28,ROUND(C28*Inputs!$E$6,0)))</f>
        <v/>
      </c>
      <c r="F28" s="229">
        <f>C28-D28-E28</f>
        <v/>
      </c>
      <c r="G28" s="229">
        <f>ROUND((D28*Inputs!$C$25+E28*Inputs!$D$25+F28*Inputs!$E$25)*(1+Inputs!$B$9),2)</f>
        <v/>
      </c>
      <c r="H28" s="229">
        <f>ROUND((D28*Inputs!$C$26+E28*Inputs!$D$26+F28*Inputs!$E$26)*(1+Inputs!$B$9),2)</f>
        <v/>
      </c>
      <c r="I28" s="229">
        <f>ROUND((D28*Inputs!$C$27+E28*Inputs!$D$27+F28*Inputs!$E$27)*(1+Inputs!$B$9),2)</f>
        <v/>
      </c>
      <c r="J28" s="229">
        <f>ROUND((D28*Inputs!$C$28+E28*Inputs!$D$28+F28*Inputs!$E$28)*(1+Inputs!$B$9),2)</f>
        <v/>
      </c>
      <c r="K28" s="229">
        <f>ROUND((D28*Inputs!$C$29+E28*Inputs!$D$29+F28*Inputs!$E$29)*(1+Inputs!$B$9),2)</f>
        <v/>
      </c>
      <c r="L28" s="229">
        <f>ROUND((D28*Inputs!$C$30+E28*Inputs!$D$30+F28*Inputs!$E$30)*(1+Inputs!$B$9),2)</f>
        <v/>
      </c>
      <c r="M28" s="229">
        <f>ROUND((D28*Inputs!$C$31+E28*Inputs!$D$31+F28*Inputs!$E$31)*(1+Inputs!$B$9),2)</f>
        <v/>
      </c>
      <c r="N28" s="229">
        <f>ROUND((D28*Inputs!$C$32+E28*Inputs!$D$32+F28*Inputs!$E$32)*(1+Inputs!$B$9),2)</f>
        <v/>
      </c>
      <c r="O28" s="229">
        <f>ROUND((D28*Inputs!$C$33+E28*Inputs!$D$33+F28*Inputs!$E$33)*(1+Inputs!$B$9),2)</f>
        <v/>
      </c>
      <c r="P28" s="229">
        <f>ROUND((D28*Inputs!$C$34+E28*Inputs!$D$34+F28*Inputs!$E$34)*(1+Inputs!$B$9),2)</f>
        <v/>
      </c>
      <c r="Q28" s="229">
        <f>ROUND((D28*Inputs!$C$35+E28*Inputs!$D$35+F28*Inputs!$E$35)*(1+Inputs!$B$9),2)</f>
        <v/>
      </c>
      <c r="R28" s="229">
        <f>ROUND((D28*Inputs!$C$36+E28*Inputs!$D$36+F28*Inputs!$E$36)*(1+Inputs!$B$9),2)</f>
        <v/>
      </c>
      <c r="S28" s="50">
        <f>ROUND(G28*Inputs!$F$25+H28*Inputs!$F$26+I28*Inputs!$F$27+J28*Inputs!$F$28+K28*Inputs!$F$29+L28*Inputs!$F$30+M28*Inputs!$F$31+N28*Inputs!$F$32+O28*Inputs!$F$33+P28*Inputs!$F$34+Q28*Inputs!$F$35+R28*Inputs!$F$36,2)</f>
        <v/>
      </c>
      <c r="T28" s="226">
        <f>ROUND(S28/100000,2)</f>
        <v/>
      </c>
    </row>
    <row r="29" ht="19.95000076293945" customHeight="1" s="88">
      <c r="A29" s="42" t="n">
        <v>24</v>
      </c>
      <c r="B29" s="43" t="n">
        <v>46966</v>
      </c>
      <c r="C29" s="229">
        <f>IF(A29&lt;Inputs!$B$6,0,INDEX(Inputs!$B$41:$B$64,MIN(A29-Inputs!$B$6+1,24))*Inputs!$B$8)</f>
        <v/>
      </c>
      <c r="D29" s="229">
        <f>IF(C29=0,0,IF(A29&lt;Inputs!$G$7,ROUND(C29*25%,0),ROUND(C29*Inputs!$E$5,0)))</f>
        <v/>
      </c>
      <c r="E29" s="229">
        <f>IF(C29=0,0,IF(A29&lt;Inputs!$G$7,C29-D29,ROUND(C29*Inputs!$E$6,0)))</f>
        <v/>
      </c>
      <c r="F29" s="229">
        <f>C29-D29-E29</f>
        <v/>
      </c>
      <c r="G29" s="229">
        <f>ROUND((D29*Inputs!$C$25+E29*Inputs!$D$25+F29*Inputs!$E$25)*(1+Inputs!$B$9),2)</f>
        <v/>
      </c>
      <c r="H29" s="229">
        <f>ROUND((D29*Inputs!$C$26+E29*Inputs!$D$26+F29*Inputs!$E$26)*(1+Inputs!$B$9),2)</f>
        <v/>
      </c>
      <c r="I29" s="229">
        <f>ROUND((D29*Inputs!$C$27+E29*Inputs!$D$27+F29*Inputs!$E$27)*(1+Inputs!$B$9),2)</f>
        <v/>
      </c>
      <c r="J29" s="229">
        <f>ROUND((D29*Inputs!$C$28+E29*Inputs!$D$28+F29*Inputs!$E$28)*(1+Inputs!$B$9),2)</f>
        <v/>
      </c>
      <c r="K29" s="229">
        <f>ROUND((D29*Inputs!$C$29+E29*Inputs!$D$29+F29*Inputs!$E$29)*(1+Inputs!$B$9),2)</f>
        <v/>
      </c>
      <c r="L29" s="229">
        <f>ROUND((D29*Inputs!$C$30+E29*Inputs!$D$30+F29*Inputs!$E$30)*(1+Inputs!$B$9),2)</f>
        <v/>
      </c>
      <c r="M29" s="229">
        <f>ROUND((D29*Inputs!$C$31+E29*Inputs!$D$31+F29*Inputs!$E$31)*(1+Inputs!$B$9),2)</f>
        <v/>
      </c>
      <c r="N29" s="229">
        <f>ROUND((D29*Inputs!$C$32+E29*Inputs!$D$32+F29*Inputs!$E$32)*(1+Inputs!$B$9),2)</f>
        <v/>
      </c>
      <c r="O29" s="229">
        <f>ROUND((D29*Inputs!$C$33+E29*Inputs!$D$33+F29*Inputs!$E$33)*(1+Inputs!$B$9),2)</f>
        <v/>
      </c>
      <c r="P29" s="229">
        <f>ROUND((D29*Inputs!$C$34+E29*Inputs!$D$34+F29*Inputs!$E$34)*(1+Inputs!$B$9),2)</f>
        <v/>
      </c>
      <c r="Q29" s="229">
        <f>ROUND((D29*Inputs!$C$35+E29*Inputs!$D$35+F29*Inputs!$E$35)*(1+Inputs!$B$9),2)</f>
        <v/>
      </c>
      <c r="R29" s="229">
        <f>ROUND((D29*Inputs!$C$36+E29*Inputs!$D$36+F29*Inputs!$E$36)*(1+Inputs!$B$9),2)</f>
        <v/>
      </c>
      <c r="S29" s="50">
        <f>ROUND(G29*Inputs!$F$25+H29*Inputs!$F$26+I29*Inputs!$F$27+J29*Inputs!$F$28+K29*Inputs!$F$29+L29*Inputs!$F$30+M29*Inputs!$F$31+N29*Inputs!$F$32+O29*Inputs!$F$33+P29*Inputs!$F$34+Q29*Inputs!$F$35+R29*Inputs!$F$36,2)</f>
        <v/>
      </c>
      <c r="T29" s="226">
        <f>ROUND(S29/100000,2)</f>
        <v/>
      </c>
    </row>
    <row r="30" ht="19.95000076293945" customHeight="1" s="88">
      <c r="A30" s="42" t="n">
        <v>25</v>
      </c>
      <c r="B30" s="43" t="n">
        <v>46997</v>
      </c>
      <c r="C30" s="229">
        <f>IF(A30&lt;Inputs!$B$6,0,INDEX(Inputs!$B$41:$B$64,MIN(A30-Inputs!$B$6+1,24))*Inputs!$B$8)</f>
        <v/>
      </c>
      <c r="D30" s="229">
        <f>IF(C30=0,0,IF(A30&lt;Inputs!$G$7,ROUND(C30*25%,0),ROUND(C30*Inputs!$E$5,0)))</f>
        <v/>
      </c>
      <c r="E30" s="229">
        <f>IF(C30=0,0,IF(A30&lt;Inputs!$G$7,C30-D30,ROUND(C30*Inputs!$E$6,0)))</f>
        <v/>
      </c>
      <c r="F30" s="229">
        <f>C30-D30-E30</f>
        <v/>
      </c>
      <c r="G30" s="229">
        <f>ROUND((D30*Inputs!$C$25+E30*Inputs!$D$25+F30*Inputs!$E$25)*(1+Inputs!$B$9),2)</f>
        <v/>
      </c>
      <c r="H30" s="229">
        <f>ROUND((D30*Inputs!$C$26+E30*Inputs!$D$26+F30*Inputs!$E$26)*(1+Inputs!$B$9),2)</f>
        <v/>
      </c>
      <c r="I30" s="229">
        <f>ROUND((D30*Inputs!$C$27+E30*Inputs!$D$27+F30*Inputs!$E$27)*(1+Inputs!$B$9),2)</f>
        <v/>
      </c>
      <c r="J30" s="229">
        <f>ROUND((D30*Inputs!$C$28+E30*Inputs!$D$28+F30*Inputs!$E$28)*(1+Inputs!$B$9),2)</f>
        <v/>
      </c>
      <c r="K30" s="229">
        <f>ROUND((D30*Inputs!$C$29+E30*Inputs!$D$29+F30*Inputs!$E$29)*(1+Inputs!$B$9),2)</f>
        <v/>
      </c>
      <c r="L30" s="229">
        <f>ROUND((D30*Inputs!$C$30+E30*Inputs!$D$30+F30*Inputs!$E$30)*(1+Inputs!$B$9),2)</f>
        <v/>
      </c>
      <c r="M30" s="229">
        <f>ROUND((D30*Inputs!$C$31+E30*Inputs!$D$31+F30*Inputs!$E$31)*(1+Inputs!$B$9),2)</f>
        <v/>
      </c>
      <c r="N30" s="229">
        <f>ROUND((D30*Inputs!$C$32+E30*Inputs!$D$32+F30*Inputs!$E$32)*(1+Inputs!$B$9),2)</f>
        <v/>
      </c>
      <c r="O30" s="229">
        <f>ROUND((D30*Inputs!$C$33+E30*Inputs!$D$33+F30*Inputs!$E$33)*(1+Inputs!$B$9),2)</f>
        <v/>
      </c>
      <c r="P30" s="229">
        <f>ROUND((D30*Inputs!$C$34+E30*Inputs!$D$34+F30*Inputs!$E$34)*(1+Inputs!$B$9),2)</f>
        <v/>
      </c>
      <c r="Q30" s="229">
        <f>ROUND((D30*Inputs!$C$35+E30*Inputs!$D$35+F30*Inputs!$E$35)*(1+Inputs!$B$9),2)</f>
        <v/>
      </c>
      <c r="R30" s="229">
        <f>ROUND((D30*Inputs!$C$36+E30*Inputs!$D$36+F30*Inputs!$E$36)*(1+Inputs!$B$9),2)</f>
        <v/>
      </c>
      <c r="S30" s="50">
        <f>ROUND(G30*Inputs!$F$25+H30*Inputs!$F$26+I30*Inputs!$F$27+J30*Inputs!$F$28+K30*Inputs!$F$29+L30*Inputs!$F$30+M30*Inputs!$F$31+N30*Inputs!$F$32+O30*Inputs!$F$33+P30*Inputs!$F$34+Q30*Inputs!$F$35+R30*Inputs!$F$36,2)</f>
        <v/>
      </c>
      <c r="T30" s="226">
        <f>ROUND(S30/100000,2)</f>
        <v/>
      </c>
    </row>
    <row r="31" ht="19.95000076293945" customHeight="1" s="88">
      <c r="A31" s="42" t="n">
        <v>26</v>
      </c>
      <c r="B31" s="43" t="n">
        <v>47027</v>
      </c>
      <c r="C31" s="229">
        <f>IF(A31&lt;Inputs!$B$6,0,INDEX(Inputs!$B$41:$B$64,MIN(A31-Inputs!$B$6+1,24))*Inputs!$B$8)</f>
        <v/>
      </c>
      <c r="D31" s="229">
        <f>IF(C31=0,0,IF(A31&lt;Inputs!$G$7,ROUND(C31*25%,0),ROUND(C31*Inputs!$E$5,0)))</f>
        <v/>
      </c>
      <c r="E31" s="229">
        <f>IF(C31=0,0,IF(A31&lt;Inputs!$G$7,C31-D31,ROUND(C31*Inputs!$E$6,0)))</f>
        <v/>
      </c>
      <c r="F31" s="229">
        <f>C31-D31-E31</f>
        <v/>
      </c>
      <c r="G31" s="229">
        <f>ROUND((D31*Inputs!$C$25+E31*Inputs!$D$25+F31*Inputs!$E$25)*(1+Inputs!$B$9),2)</f>
        <v/>
      </c>
      <c r="H31" s="229">
        <f>ROUND((D31*Inputs!$C$26+E31*Inputs!$D$26+F31*Inputs!$E$26)*(1+Inputs!$B$9),2)</f>
        <v/>
      </c>
      <c r="I31" s="229">
        <f>ROUND((D31*Inputs!$C$27+E31*Inputs!$D$27+F31*Inputs!$E$27)*(1+Inputs!$B$9),2)</f>
        <v/>
      </c>
      <c r="J31" s="229">
        <f>ROUND((D31*Inputs!$C$28+E31*Inputs!$D$28+F31*Inputs!$E$28)*(1+Inputs!$B$9),2)</f>
        <v/>
      </c>
      <c r="K31" s="229">
        <f>ROUND((D31*Inputs!$C$29+E31*Inputs!$D$29+F31*Inputs!$E$29)*(1+Inputs!$B$9),2)</f>
        <v/>
      </c>
      <c r="L31" s="229">
        <f>ROUND((D31*Inputs!$C$30+E31*Inputs!$D$30+F31*Inputs!$E$30)*(1+Inputs!$B$9),2)</f>
        <v/>
      </c>
      <c r="M31" s="229">
        <f>ROUND((D31*Inputs!$C$31+E31*Inputs!$D$31+F31*Inputs!$E$31)*(1+Inputs!$B$9),2)</f>
        <v/>
      </c>
      <c r="N31" s="229">
        <f>ROUND((D31*Inputs!$C$32+E31*Inputs!$D$32+F31*Inputs!$E$32)*(1+Inputs!$B$9),2)</f>
        <v/>
      </c>
      <c r="O31" s="229">
        <f>ROUND((D31*Inputs!$C$33+E31*Inputs!$D$33+F31*Inputs!$E$33)*(1+Inputs!$B$9),2)</f>
        <v/>
      </c>
      <c r="P31" s="229">
        <f>ROUND((D31*Inputs!$C$34+E31*Inputs!$D$34+F31*Inputs!$E$34)*(1+Inputs!$B$9),2)</f>
        <v/>
      </c>
      <c r="Q31" s="229">
        <f>ROUND((D31*Inputs!$C$35+E31*Inputs!$D$35+F31*Inputs!$E$35)*(1+Inputs!$B$9),2)</f>
        <v/>
      </c>
      <c r="R31" s="229">
        <f>ROUND((D31*Inputs!$C$36+E31*Inputs!$D$36+F31*Inputs!$E$36)*(1+Inputs!$B$9),2)</f>
        <v/>
      </c>
      <c r="S31" s="50">
        <f>ROUND(G31*Inputs!$F$25+H31*Inputs!$F$26+I31*Inputs!$F$27+J31*Inputs!$F$28+K31*Inputs!$F$29+L31*Inputs!$F$30+M31*Inputs!$F$31+N31*Inputs!$F$32+O31*Inputs!$F$33+P31*Inputs!$F$34+Q31*Inputs!$F$35+R31*Inputs!$F$36,2)</f>
        <v/>
      </c>
      <c r="T31" s="226">
        <f>ROUND(S31/100000,2)</f>
        <v/>
      </c>
    </row>
    <row r="32" ht="19.95000076293945" customHeight="1" s="88">
      <c r="A32" s="42" t="n">
        <v>27</v>
      </c>
      <c r="B32" s="43" t="n">
        <v>47058</v>
      </c>
      <c r="C32" s="229">
        <f>IF(A32&lt;Inputs!$B$6,0,INDEX(Inputs!$B$41:$B$64,MIN(A32-Inputs!$B$6+1,24))*Inputs!$B$8)</f>
        <v/>
      </c>
      <c r="D32" s="229">
        <f>IF(C32=0,0,IF(A32&lt;Inputs!$G$7,ROUND(C32*25%,0),ROUND(C32*Inputs!$E$5,0)))</f>
        <v/>
      </c>
      <c r="E32" s="229">
        <f>IF(C32=0,0,IF(A32&lt;Inputs!$G$7,C32-D32,ROUND(C32*Inputs!$E$6,0)))</f>
        <v/>
      </c>
      <c r="F32" s="229">
        <f>C32-D32-E32</f>
        <v/>
      </c>
      <c r="G32" s="229">
        <f>ROUND((D32*Inputs!$C$25+E32*Inputs!$D$25+F32*Inputs!$E$25)*(1+Inputs!$B$9),2)</f>
        <v/>
      </c>
      <c r="H32" s="229">
        <f>ROUND((D32*Inputs!$C$26+E32*Inputs!$D$26+F32*Inputs!$E$26)*(1+Inputs!$B$9),2)</f>
        <v/>
      </c>
      <c r="I32" s="229">
        <f>ROUND((D32*Inputs!$C$27+E32*Inputs!$D$27+F32*Inputs!$E$27)*(1+Inputs!$B$9),2)</f>
        <v/>
      </c>
      <c r="J32" s="229">
        <f>ROUND((D32*Inputs!$C$28+E32*Inputs!$D$28+F32*Inputs!$E$28)*(1+Inputs!$B$9),2)</f>
        <v/>
      </c>
      <c r="K32" s="229">
        <f>ROUND((D32*Inputs!$C$29+E32*Inputs!$D$29+F32*Inputs!$E$29)*(1+Inputs!$B$9),2)</f>
        <v/>
      </c>
      <c r="L32" s="229">
        <f>ROUND((D32*Inputs!$C$30+E32*Inputs!$D$30+F32*Inputs!$E$30)*(1+Inputs!$B$9),2)</f>
        <v/>
      </c>
      <c r="M32" s="229">
        <f>ROUND((D32*Inputs!$C$31+E32*Inputs!$D$31+F32*Inputs!$E$31)*(1+Inputs!$B$9),2)</f>
        <v/>
      </c>
      <c r="N32" s="229">
        <f>ROUND((D32*Inputs!$C$32+E32*Inputs!$D$32+F32*Inputs!$E$32)*(1+Inputs!$B$9),2)</f>
        <v/>
      </c>
      <c r="O32" s="229">
        <f>ROUND((D32*Inputs!$C$33+E32*Inputs!$D$33+F32*Inputs!$E$33)*(1+Inputs!$B$9),2)</f>
        <v/>
      </c>
      <c r="P32" s="229">
        <f>ROUND((D32*Inputs!$C$34+E32*Inputs!$D$34+F32*Inputs!$E$34)*(1+Inputs!$B$9),2)</f>
        <v/>
      </c>
      <c r="Q32" s="229">
        <f>ROUND((D32*Inputs!$C$35+E32*Inputs!$D$35+F32*Inputs!$E$35)*(1+Inputs!$B$9),2)</f>
        <v/>
      </c>
      <c r="R32" s="229">
        <f>ROUND((D32*Inputs!$C$36+E32*Inputs!$D$36+F32*Inputs!$E$36)*(1+Inputs!$B$9),2)</f>
        <v/>
      </c>
      <c r="S32" s="50">
        <f>ROUND(G32*Inputs!$F$25+H32*Inputs!$F$26+I32*Inputs!$F$27+J32*Inputs!$F$28+K32*Inputs!$F$29+L32*Inputs!$F$30+M32*Inputs!$F$31+N32*Inputs!$F$32+O32*Inputs!$F$33+P32*Inputs!$F$34+Q32*Inputs!$F$35+R32*Inputs!$F$36,2)</f>
        <v/>
      </c>
      <c r="T32" s="226">
        <f>ROUND(S32/100000,2)</f>
        <v/>
      </c>
    </row>
    <row r="33" ht="19.95000076293945" customHeight="1" s="88">
      <c r="A33" s="42" t="n">
        <v>28</v>
      </c>
      <c r="B33" s="43" t="n">
        <v>47088</v>
      </c>
      <c r="C33" s="229">
        <f>IF(A33&lt;Inputs!$B$6,0,INDEX(Inputs!$B$41:$B$64,MIN(A33-Inputs!$B$6+1,24))*Inputs!$B$8)</f>
        <v/>
      </c>
      <c r="D33" s="229">
        <f>IF(C33=0,0,IF(A33&lt;Inputs!$G$7,ROUND(C33*25%,0),ROUND(C33*Inputs!$E$5,0)))</f>
        <v/>
      </c>
      <c r="E33" s="229">
        <f>IF(C33=0,0,IF(A33&lt;Inputs!$G$7,C33-D33,ROUND(C33*Inputs!$E$6,0)))</f>
        <v/>
      </c>
      <c r="F33" s="229">
        <f>C33-D33-E33</f>
        <v/>
      </c>
      <c r="G33" s="229">
        <f>ROUND((D33*Inputs!$C$25+E33*Inputs!$D$25+F33*Inputs!$E$25)*(1+Inputs!$B$9),2)</f>
        <v/>
      </c>
      <c r="H33" s="229">
        <f>ROUND((D33*Inputs!$C$26+E33*Inputs!$D$26+F33*Inputs!$E$26)*(1+Inputs!$B$9),2)</f>
        <v/>
      </c>
      <c r="I33" s="229">
        <f>ROUND((D33*Inputs!$C$27+E33*Inputs!$D$27+F33*Inputs!$E$27)*(1+Inputs!$B$9),2)</f>
        <v/>
      </c>
      <c r="J33" s="229">
        <f>ROUND((D33*Inputs!$C$28+E33*Inputs!$D$28+F33*Inputs!$E$28)*(1+Inputs!$B$9),2)</f>
        <v/>
      </c>
      <c r="K33" s="229">
        <f>ROUND((D33*Inputs!$C$29+E33*Inputs!$D$29+F33*Inputs!$E$29)*(1+Inputs!$B$9),2)</f>
        <v/>
      </c>
      <c r="L33" s="229">
        <f>ROUND((D33*Inputs!$C$30+E33*Inputs!$D$30+F33*Inputs!$E$30)*(1+Inputs!$B$9),2)</f>
        <v/>
      </c>
      <c r="M33" s="229">
        <f>ROUND((D33*Inputs!$C$31+E33*Inputs!$D$31+F33*Inputs!$E$31)*(1+Inputs!$B$9),2)</f>
        <v/>
      </c>
      <c r="N33" s="229">
        <f>ROUND((D33*Inputs!$C$32+E33*Inputs!$D$32+F33*Inputs!$E$32)*(1+Inputs!$B$9),2)</f>
        <v/>
      </c>
      <c r="O33" s="229">
        <f>ROUND((D33*Inputs!$C$33+E33*Inputs!$D$33+F33*Inputs!$E$33)*(1+Inputs!$B$9),2)</f>
        <v/>
      </c>
      <c r="P33" s="229">
        <f>ROUND((D33*Inputs!$C$34+E33*Inputs!$D$34+F33*Inputs!$E$34)*(1+Inputs!$B$9),2)</f>
        <v/>
      </c>
      <c r="Q33" s="229">
        <f>ROUND((D33*Inputs!$C$35+E33*Inputs!$D$35+F33*Inputs!$E$35)*(1+Inputs!$B$9),2)</f>
        <v/>
      </c>
      <c r="R33" s="229">
        <f>ROUND((D33*Inputs!$C$36+E33*Inputs!$D$36+F33*Inputs!$E$36)*(1+Inputs!$B$9),2)</f>
        <v/>
      </c>
      <c r="S33" s="50">
        <f>ROUND(G33*Inputs!$F$25+H33*Inputs!$F$26+I33*Inputs!$F$27+J33*Inputs!$F$28+K33*Inputs!$F$29+L33*Inputs!$F$30+M33*Inputs!$F$31+N33*Inputs!$F$32+O33*Inputs!$F$33+P33*Inputs!$F$34+Q33*Inputs!$F$35+R33*Inputs!$F$36,2)</f>
        <v/>
      </c>
      <c r="T33" s="226">
        <f>ROUND(S33/100000,2)</f>
        <v/>
      </c>
    </row>
    <row r="34" ht="19.95000076293945" customHeight="1" s="88">
      <c r="A34" s="42" t="n">
        <v>29</v>
      </c>
      <c r="B34" s="43" t="n">
        <v>47119</v>
      </c>
      <c r="C34" s="229">
        <f>IF(A34&lt;Inputs!$B$6,0,INDEX(Inputs!$B$41:$B$64,MIN(A34-Inputs!$B$6+1,24))*Inputs!$B$8)</f>
        <v/>
      </c>
      <c r="D34" s="229">
        <f>IF(C34=0,0,IF(A34&lt;Inputs!$G$7,ROUND(C34*25%,0),ROUND(C34*Inputs!$E$5,0)))</f>
        <v/>
      </c>
      <c r="E34" s="229">
        <f>IF(C34=0,0,IF(A34&lt;Inputs!$G$7,C34-D34,ROUND(C34*Inputs!$E$6,0)))</f>
        <v/>
      </c>
      <c r="F34" s="229">
        <f>C34-D34-E34</f>
        <v/>
      </c>
      <c r="G34" s="229">
        <f>ROUND((D34*Inputs!$C$25+E34*Inputs!$D$25+F34*Inputs!$E$25)*(1+Inputs!$B$9),2)</f>
        <v/>
      </c>
      <c r="H34" s="229">
        <f>ROUND((D34*Inputs!$C$26+E34*Inputs!$D$26+F34*Inputs!$E$26)*(1+Inputs!$B$9),2)</f>
        <v/>
      </c>
      <c r="I34" s="229">
        <f>ROUND((D34*Inputs!$C$27+E34*Inputs!$D$27+F34*Inputs!$E$27)*(1+Inputs!$B$9),2)</f>
        <v/>
      </c>
      <c r="J34" s="229">
        <f>ROUND((D34*Inputs!$C$28+E34*Inputs!$D$28+F34*Inputs!$E$28)*(1+Inputs!$B$9),2)</f>
        <v/>
      </c>
      <c r="K34" s="229">
        <f>ROUND((D34*Inputs!$C$29+E34*Inputs!$D$29+F34*Inputs!$E$29)*(1+Inputs!$B$9),2)</f>
        <v/>
      </c>
      <c r="L34" s="229">
        <f>ROUND((D34*Inputs!$C$30+E34*Inputs!$D$30+F34*Inputs!$E$30)*(1+Inputs!$B$9),2)</f>
        <v/>
      </c>
      <c r="M34" s="229">
        <f>ROUND((D34*Inputs!$C$31+E34*Inputs!$D$31+F34*Inputs!$E$31)*(1+Inputs!$B$9),2)</f>
        <v/>
      </c>
      <c r="N34" s="229">
        <f>ROUND((D34*Inputs!$C$32+E34*Inputs!$D$32+F34*Inputs!$E$32)*(1+Inputs!$B$9),2)</f>
        <v/>
      </c>
      <c r="O34" s="229">
        <f>ROUND((D34*Inputs!$C$33+E34*Inputs!$D$33+F34*Inputs!$E$33)*(1+Inputs!$B$9),2)</f>
        <v/>
      </c>
      <c r="P34" s="229">
        <f>ROUND((D34*Inputs!$C$34+E34*Inputs!$D$34+F34*Inputs!$E$34)*(1+Inputs!$B$9),2)</f>
        <v/>
      </c>
      <c r="Q34" s="229">
        <f>ROUND((D34*Inputs!$C$35+E34*Inputs!$D$35+F34*Inputs!$E$35)*(1+Inputs!$B$9),2)</f>
        <v/>
      </c>
      <c r="R34" s="229">
        <f>ROUND((D34*Inputs!$C$36+E34*Inputs!$D$36+F34*Inputs!$E$36)*(1+Inputs!$B$9),2)</f>
        <v/>
      </c>
      <c r="S34" s="50">
        <f>ROUND(G34*Inputs!$F$25+H34*Inputs!$F$26+I34*Inputs!$F$27+J34*Inputs!$F$28+K34*Inputs!$F$29+L34*Inputs!$F$30+M34*Inputs!$F$31+N34*Inputs!$F$32+O34*Inputs!$F$33+P34*Inputs!$F$34+Q34*Inputs!$F$35+R34*Inputs!$F$36,2)</f>
        <v/>
      </c>
      <c r="T34" s="226">
        <f>ROUND(S34/100000,2)</f>
        <v/>
      </c>
    </row>
    <row r="35" ht="19.95000076293945" customHeight="1" s="88">
      <c r="A35" s="42" t="n">
        <v>30</v>
      </c>
      <c r="B35" s="43" t="n">
        <v>47150</v>
      </c>
      <c r="C35" s="229">
        <f>IF(A35&lt;Inputs!$B$6,0,INDEX(Inputs!$B$41:$B$64,MIN(A35-Inputs!$B$6+1,24))*Inputs!$B$8)</f>
        <v/>
      </c>
      <c r="D35" s="229">
        <f>IF(C35=0,0,IF(A35&lt;Inputs!$G$7,ROUND(C35*25%,0),ROUND(C35*Inputs!$E$5,0)))</f>
        <v/>
      </c>
      <c r="E35" s="229">
        <f>IF(C35=0,0,IF(A35&lt;Inputs!$G$7,C35-D35,ROUND(C35*Inputs!$E$6,0)))</f>
        <v/>
      </c>
      <c r="F35" s="229">
        <f>C35-D35-E35</f>
        <v/>
      </c>
      <c r="G35" s="229">
        <f>ROUND((D35*Inputs!$C$25+E35*Inputs!$D$25+F35*Inputs!$E$25)*(1+Inputs!$B$9),2)</f>
        <v/>
      </c>
      <c r="H35" s="229">
        <f>ROUND((D35*Inputs!$C$26+E35*Inputs!$D$26+F35*Inputs!$E$26)*(1+Inputs!$B$9),2)</f>
        <v/>
      </c>
      <c r="I35" s="229">
        <f>ROUND((D35*Inputs!$C$27+E35*Inputs!$D$27+F35*Inputs!$E$27)*(1+Inputs!$B$9),2)</f>
        <v/>
      </c>
      <c r="J35" s="229">
        <f>ROUND((D35*Inputs!$C$28+E35*Inputs!$D$28+F35*Inputs!$E$28)*(1+Inputs!$B$9),2)</f>
        <v/>
      </c>
      <c r="K35" s="229">
        <f>ROUND((D35*Inputs!$C$29+E35*Inputs!$D$29+F35*Inputs!$E$29)*(1+Inputs!$B$9),2)</f>
        <v/>
      </c>
      <c r="L35" s="229">
        <f>ROUND((D35*Inputs!$C$30+E35*Inputs!$D$30+F35*Inputs!$E$30)*(1+Inputs!$B$9),2)</f>
        <v/>
      </c>
      <c r="M35" s="229">
        <f>ROUND((D35*Inputs!$C$31+E35*Inputs!$D$31+F35*Inputs!$E$31)*(1+Inputs!$B$9),2)</f>
        <v/>
      </c>
      <c r="N35" s="229">
        <f>ROUND((D35*Inputs!$C$32+E35*Inputs!$D$32+F35*Inputs!$E$32)*(1+Inputs!$B$9),2)</f>
        <v/>
      </c>
      <c r="O35" s="229">
        <f>ROUND((D35*Inputs!$C$33+E35*Inputs!$D$33+F35*Inputs!$E$33)*(1+Inputs!$B$9),2)</f>
        <v/>
      </c>
      <c r="P35" s="229">
        <f>ROUND((D35*Inputs!$C$34+E35*Inputs!$D$34+F35*Inputs!$E$34)*(1+Inputs!$B$9),2)</f>
        <v/>
      </c>
      <c r="Q35" s="229">
        <f>ROUND((D35*Inputs!$C$35+E35*Inputs!$D$35+F35*Inputs!$E$35)*(1+Inputs!$B$9),2)</f>
        <v/>
      </c>
      <c r="R35" s="229">
        <f>ROUND((D35*Inputs!$C$36+E35*Inputs!$D$36+F35*Inputs!$E$36)*(1+Inputs!$B$9),2)</f>
        <v/>
      </c>
      <c r="S35" s="50">
        <f>ROUND(G35*Inputs!$F$25+H35*Inputs!$F$26+I35*Inputs!$F$27+J35*Inputs!$F$28+K35*Inputs!$F$29+L35*Inputs!$F$30+M35*Inputs!$F$31+N35*Inputs!$F$32+O35*Inputs!$F$33+P35*Inputs!$F$34+Q35*Inputs!$F$35+R35*Inputs!$F$36,2)</f>
        <v/>
      </c>
      <c r="T35" s="226">
        <f>ROUND(S35/100000,2)</f>
        <v/>
      </c>
    </row>
    <row r="36" ht="19.95000076293945" customHeight="1" s="88">
      <c r="A36" s="42" t="n">
        <v>31</v>
      </c>
      <c r="B36" s="43" t="n">
        <v>47178</v>
      </c>
      <c r="C36" s="229">
        <f>IF(A36&lt;Inputs!$B$6,0,INDEX(Inputs!$B$41:$B$64,MIN(A36-Inputs!$B$6+1,24))*Inputs!$B$8)</f>
        <v/>
      </c>
      <c r="D36" s="229">
        <f>IF(C36=0,0,IF(A36&lt;Inputs!$G$7,ROUND(C36*25%,0),ROUND(C36*Inputs!$E$5,0)))</f>
        <v/>
      </c>
      <c r="E36" s="229">
        <f>IF(C36=0,0,IF(A36&lt;Inputs!$G$7,C36-D36,ROUND(C36*Inputs!$E$6,0)))</f>
        <v/>
      </c>
      <c r="F36" s="229">
        <f>C36-D36-E36</f>
        <v/>
      </c>
      <c r="G36" s="229">
        <f>ROUND((D36*Inputs!$C$25+E36*Inputs!$D$25+F36*Inputs!$E$25)*(1+Inputs!$B$9),2)</f>
        <v/>
      </c>
      <c r="H36" s="229">
        <f>ROUND((D36*Inputs!$C$26+E36*Inputs!$D$26+F36*Inputs!$E$26)*(1+Inputs!$B$9),2)</f>
        <v/>
      </c>
      <c r="I36" s="229">
        <f>ROUND((D36*Inputs!$C$27+E36*Inputs!$D$27+F36*Inputs!$E$27)*(1+Inputs!$B$9),2)</f>
        <v/>
      </c>
      <c r="J36" s="229">
        <f>ROUND((D36*Inputs!$C$28+E36*Inputs!$D$28+F36*Inputs!$E$28)*(1+Inputs!$B$9),2)</f>
        <v/>
      </c>
      <c r="K36" s="229">
        <f>ROUND((D36*Inputs!$C$29+E36*Inputs!$D$29+F36*Inputs!$E$29)*(1+Inputs!$B$9),2)</f>
        <v/>
      </c>
      <c r="L36" s="229">
        <f>ROUND((D36*Inputs!$C$30+E36*Inputs!$D$30+F36*Inputs!$E$30)*(1+Inputs!$B$9),2)</f>
        <v/>
      </c>
      <c r="M36" s="229">
        <f>ROUND((D36*Inputs!$C$31+E36*Inputs!$D$31+F36*Inputs!$E$31)*(1+Inputs!$B$9),2)</f>
        <v/>
      </c>
      <c r="N36" s="229">
        <f>ROUND((D36*Inputs!$C$32+E36*Inputs!$D$32+F36*Inputs!$E$32)*(1+Inputs!$B$9),2)</f>
        <v/>
      </c>
      <c r="O36" s="229">
        <f>ROUND((D36*Inputs!$C$33+E36*Inputs!$D$33+F36*Inputs!$E$33)*(1+Inputs!$B$9),2)</f>
        <v/>
      </c>
      <c r="P36" s="229">
        <f>ROUND((D36*Inputs!$C$34+E36*Inputs!$D$34+F36*Inputs!$E$34)*(1+Inputs!$B$9),2)</f>
        <v/>
      </c>
      <c r="Q36" s="229">
        <f>ROUND((D36*Inputs!$C$35+E36*Inputs!$D$35+F36*Inputs!$E$35)*(1+Inputs!$B$9),2)</f>
        <v/>
      </c>
      <c r="R36" s="229">
        <f>ROUND((D36*Inputs!$C$36+E36*Inputs!$D$36+F36*Inputs!$E$36)*(1+Inputs!$B$9),2)</f>
        <v/>
      </c>
      <c r="S36" s="50">
        <f>ROUND(G36*Inputs!$F$25+H36*Inputs!$F$26+I36*Inputs!$F$27+J36*Inputs!$F$28+K36*Inputs!$F$29+L36*Inputs!$F$30+M36*Inputs!$F$31+N36*Inputs!$F$32+O36*Inputs!$F$33+P36*Inputs!$F$34+Q36*Inputs!$F$35+R36*Inputs!$F$36,2)</f>
        <v/>
      </c>
      <c r="T36" s="226">
        <f>ROUND(S36/100000,2)</f>
        <v/>
      </c>
    </row>
    <row r="37" ht="19.95000076293945" customHeight="1" s="88">
      <c r="A37" s="42" t="n">
        <v>32</v>
      </c>
      <c r="B37" s="43" t="n">
        <v>47209</v>
      </c>
      <c r="C37" s="229">
        <f>IF(A37&lt;Inputs!$B$6,0,INDEX(Inputs!$B$41:$B$64,MIN(A37-Inputs!$B$6+1,24))*Inputs!$B$8)</f>
        <v/>
      </c>
      <c r="D37" s="229">
        <f>IF(C37=0,0,IF(A37&lt;Inputs!$G$7,ROUND(C37*25%,0),ROUND(C37*Inputs!$E$5,0)))</f>
        <v/>
      </c>
      <c r="E37" s="229">
        <f>IF(C37=0,0,IF(A37&lt;Inputs!$G$7,C37-D37,ROUND(C37*Inputs!$E$6,0)))</f>
        <v/>
      </c>
      <c r="F37" s="229">
        <f>C37-D37-E37</f>
        <v/>
      </c>
      <c r="G37" s="229">
        <f>ROUND((D37*Inputs!$C$25+E37*Inputs!$D$25+F37*Inputs!$E$25)*(1+Inputs!$B$9),2)</f>
        <v/>
      </c>
      <c r="H37" s="229">
        <f>ROUND((D37*Inputs!$C$26+E37*Inputs!$D$26+F37*Inputs!$E$26)*(1+Inputs!$B$9),2)</f>
        <v/>
      </c>
      <c r="I37" s="229">
        <f>ROUND((D37*Inputs!$C$27+E37*Inputs!$D$27+F37*Inputs!$E$27)*(1+Inputs!$B$9),2)</f>
        <v/>
      </c>
      <c r="J37" s="229">
        <f>ROUND((D37*Inputs!$C$28+E37*Inputs!$D$28+F37*Inputs!$E$28)*(1+Inputs!$B$9),2)</f>
        <v/>
      </c>
      <c r="K37" s="229">
        <f>ROUND((D37*Inputs!$C$29+E37*Inputs!$D$29+F37*Inputs!$E$29)*(1+Inputs!$B$9),2)</f>
        <v/>
      </c>
      <c r="L37" s="229">
        <f>ROUND((D37*Inputs!$C$30+E37*Inputs!$D$30+F37*Inputs!$E$30)*(1+Inputs!$B$9),2)</f>
        <v/>
      </c>
      <c r="M37" s="229">
        <f>ROUND((D37*Inputs!$C$31+E37*Inputs!$D$31+F37*Inputs!$E$31)*(1+Inputs!$B$9),2)</f>
        <v/>
      </c>
      <c r="N37" s="229">
        <f>ROUND((D37*Inputs!$C$32+E37*Inputs!$D$32+F37*Inputs!$E$32)*(1+Inputs!$B$9),2)</f>
        <v/>
      </c>
      <c r="O37" s="229">
        <f>ROUND((D37*Inputs!$C$33+E37*Inputs!$D$33+F37*Inputs!$E$33)*(1+Inputs!$B$9),2)</f>
        <v/>
      </c>
      <c r="P37" s="229">
        <f>ROUND((D37*Inputs!$C$34+E37*Inputs!$D$34+F37*Inputs!$E$34)*(1+Inputs!$B$9),2)</f>
        <v/>
      </c>
      <c r="Q37" s="229">
        <f>ROUND((D37*Inputs!$C$35+E37*Inputs!$D$35+F37*Inputs!$E$35)*(1+Inputs!$B$9),2)</f>
        <v/>
      </c>
      <c r="R37" s="229">
        <f>ROUND((D37*Inputs!$C$36+E37*Inputs!$D$36+F37*Inputs!$E$36)*(1+Inputs!$B$9),2)</f>
        <v/>
      </c>
      <c r="S37" s="50">
        <f>ROUND(G37*Inputs!$F$25+H37*Inputs!$F$26+I37*Inputs!$F$27+J37*Inputs!$F$28+K37*Inputs!$F$29+L37*Inputs!$F$30+M37*Inputs!$F$31+N37*Inputs!$F$32+O37*Inputs!$F$33+P37*Inputs!$F$34+Q37*Inputs!$F$35+R37*Inputs!$F$36,2)</f>
        <v/>
      </c>
      <c r="T37" s="226">
        <f>ROUND(S37/100000,2)</f>
        <v/>
      </c>
    </row>
    <row r="38" ht="19.95000076293945" customHeight="1" s="88">
      <c r="A38" s="42" t="n">
        <v>33</v>
      </c>
      <c r="B38" s="43" t="n">
        <v>47239</v>
      </c>
      <c r="C38" s="229">
        <f>IF(A38&lt;Inputs!$B$6,0,INDEX(Inputs!$B$41:$B$64,MIN(A38-Inputs!$B$6+1,24))*Inputs!$B$8)</f>
        <v/>
      </c>
      <c r="D38" s="229">
        <f>IF(C38=0,0,IF(A38&lt;Inputs!$G$7,ROUND(C38*25%,0),ROUND(C38*Inputs!$E$5,0)))</f>
        <v/>
      </c>
      <c r="E38" s="229">
        <f>IF(C38=0,0,IF(A38&lt;Inputs!$G$7,C38-D38,ROUND(C38*Inputs!$E$6,0)))</f>
        <v/>
      </c>
      <c r="F38" s="229">
        <f>C38-D38-E38</f>
        <v/>
      </c>
      <c r="G38" s="229">
        <f>ROUND((D38*Inputs!$C$25+E38*Inputs!$D$25+F38*Inputs!$E$25)*(1+Inputs!$B$9),2)</f>
        <v/>
      </c>
      <c r="H38" s="229">
        <f>ROUND((D38*Inputs!$C$26+E38*Inputs!$D$26+F38*Inputs!$E$26)*(1+Inputs!$B$9),2)</f>
        <v/>
      </c>
      <c r="I38" s="229">
        <f>ROUND((D38*Inputs!$C$27+E38*Inputs!$D$27+F38*Inputs!$E$27)*(1+Inputs!$B$9),2)</f>
        <v/>
      </c>
      <c r="J38" s="229">
        <f>ROUND((D38*Inputs!$C$28+E38*Inputs!$D$28+F38*Inputs!$E$28)*(1+Inputs!$B$9),2)</f>
        <v/>
      </c>
      <c r="K38" s="229">
        <f>ROUND((D38*Inputs!$C$29+E38*Inputs!$D$29+F38*Inputs!$E$29)*(1+Inputs!$B$9),2)</f>
        <v/>
      </c>
      <c r="L38" s="229">
        <f>ROUND((D38*Inputs!$C$30+E38*Inputs!$D$30+F38*Inputs!$E$30)*(1+Inputs!$B$9),2)</f>
        <v/>
      </c>
      <c r="M38" s="229">
        <f>ROUND((D38*Inputs!$C$31+E38*Inputs!$D$31+F38*Inputs!$E$31)*(1+Inputs!$B$9),2)</f>
        <v/>
      </c>
      <c r="N38" s="229">
        <f>ROUND((D38*Inputs!$C$32+E38*Inputs!$D$32+F38*Inputs!$E$32)*(1+Inputs!$B$9),2)</f>
        <v/>
      </c>
      <c r="O38" s="229">
        <f>ROUND((D38*Inputs!$C$33+E38*Inputs!$D$33+F38*Inputs!$E$33)*(1+Inputs!$B$9),2)</f>
        <v/>
      </c>
      <c r="P38" s="229">
        <f>ROUND((D38*Inputs!$C$34+E38*Inputs!$D$34+F38*Inputs!$E$34)*(1+Inputs!$B$9),2)</f>
        <v/>
      </c>
      <c r="Q38" s="229">
        <f>ROUND((D38*Inputs!$C$35+E38*Inputs!$D$35+F38*Inputs!$E$35)*(1+Inputs!$B$9),2)</f>
        <v/>
      </c>
      <c r="R38" s="229">
        <f>ROUND((D38*Inputs!$C$36+E38*Inputs!$D$36+F38*Inputs!$E$36)*(1+Inputs!$B$9),2)</f>
        <v/>
      </c>
      <c r="S38" s="50">
        <f>ROUND(G38*Inputs!$F$25+H38*Inputs!$F$26+I38*Inputs!$F$27+J38*Inputs!$F$28+K38*Inputs!$F$29+L38*Inputs!$F$30+M38*Inputs!$F$31+N38*Inputs!$F$32+O38*Inputs!$F$33+P38*Inputs!$F$34+Q38*Inputs!$F$35+R38*Inputs!$F$36,2)</f>
        <v/>
      </c>
      <c r="T38" s="226">
        <f>ROUND(S38/100000,2)</f>
        <v/>
      </c>
    </row>
    <row r="39" ht="19.95000076293945" customHeight="1" s="88">
      <c r="A39" s="42" t="n">
        <v>34</v>
      </c>
      <c r="B39" s="43" t="n">
        <v>47270</v>
      </c>
      <c r="C39" s="229">
        <f>IF(A39&lt;Inputs!$B$6,0,INDEX(Inputs!$B$41:$B$64,MIN(A39-Inputs!$B$6+1,24))*Inputs!$B$8)</f>
        <v/>
      </c>
      <c r="D39" s="229">
        <f>IF(C39=0,0,IF(A39&lt;Inputs!$G$7,ROUND(C39*25%,0),ROUND(C39*Inputs!$E$5,0)))</f>
        <v/>
      </c>
      <c r="E39" s="229">
        <f>IF(C39=0,0,IF(A39&lt;Inputs!$G$7,C39-D39,ROUND(C39*Inputs!$E$6,0)))</f>
        <v/>
      </c>
      <c r="F39" s="229">
        <f>C39-D39-E39</f>
        <v/>
      </c>
      <c r="G39" s="229">
        <f>ROUND((D39*Inputs!$C$25+E39*Inputs!$D$25+F39*Inputs!$E$25)*(1+Inputs!$B$9),2)</f>
        <v/>
      </c>
      <c r="H39" s="229">
        <f>ROUND((D39*Inputs!$C$26+E39*Inputs!$D$26+F39*Inputs!$E$26)*(1+Inputs!$B$9),2)</f>
        <v/>
      </c>
      <c r="I39" s="229">
        <f>ROUND((D39*Inputs!$C$27+E39*Inputs!$D$27+F39*Inputs!$E$27)*(1+Inputs!$B$9),2)</f>
        <v/>
      </c>
      <c r="J39" s="229">
        <f>ROUND((D39*Inputs!$C$28+E39*Inputs!$D$28+F39*Inputs!$E$28)*(1+Inputs!$B$9),2)</f>
        <v/>
      </c>
      <c r="K39" s="229">
        <f>ROUND((D39*Inputs!$C$29+E39*Inputs!$D$29+F39*Inputs!$E$29)*(1+Inputs!$B$9),2)</f>
        <v/>
      </c>
      <c r="L39" s="229">
        <f>ROUND((D39*Inputs!$C$30+E39*Inputs!$D$30+F39*Inputs!$E$30)*(1+Inputs!$B$9),2)</f>
        <v/>
      </c>
      <c r="M39" s="229">
        <f>ROUND((D39*Inputs!$C$31+E39*Inputs!$D$31+F39*Inputs!$E$31)*(1+Inputs!$B$9),2)</f>
        <v/>
      </c>
      <c r="N39" s="229">
        <f>ROUND((D39*Inputs!$C$32+E39*Inputs!$D$32+F39*Inputs!$E$32)*(1+Inputs!$B$9),2)</f>
        <v/>
      </c>
      <c r="O39" s="229">
        <f>ROUND((D39*Inputs!$C$33+E39*Inputs!$D$33+F39*Inputs!$E$33)*(1+Inputs!$B$9),2)</f>
        <v/>
      </c>
      <c r="P39" s="229">
        <f>ROUND((D39*Inputs!$C$34+E39*Inputs!$D$34+F39*Inputs!$E$34)*(1+Inputs!$B$9),2)</f>
        <v/>
      </c>
      <c r="Q39" s="229">
        <f>ROUND((D39*Inputs!$C$35+E39*Inputs!$D$35+F39*Inputs!$E$35)*(1+Inputs!$B$9),2)</f>
        <v/>
      </c>
      <c r="R39" s="229">
        <f>ROUND((D39*Inputs!$C$36+E39*Inputs!$D$36+F39*Inputs!$E$36)*(1+Inputs!$B$9),2)</f>
        <v/>
      </c>
      <c r="S39" s="50">
        <f>ROUND(G39*Inputs!$F$25+H39*Inputs!$F$26+I39*Inputs!$F$27+J39*Inputs!$F$28+K39*Inputs!$F$29+L39*Inputs!$F$30+M39*Inputs!$F$31+N39*Inputs!$F$32+O39*Inputs!$F$33+P39*Inputs!$F$34+Q39*Inputs!$F$35+R39*Inputs!$F$36,2)</f>
        <v/>
      </c>
      <c r="T39" s="226">
        <f>ROUND(S39/100000,2)</f>
        <v/>
      </c>
    </row>
    <row r="40" ht="19.95000076293945" customHeight="1" s="88">
      <c r="A40" s="42" t="n">
        <v>35</v>
      </c>
      <c r="B40" s="43" t="n">
        <v>47300</v>
      </c>
      <c r="C40" s="229">
        <f>IF(A40&lt;Inputs!$B$6,0,INDEX(Inputs!$B$41:$B$64,MIN(A40-Inputs!$B$6+1,24))*Inputs!$B$8)</f>
        <v/>
      </c>
      <c r="D40" s="229">
        <f>IF(C40=0,0,IF(A40&lt;Inputs!$G$7,ROUND(C40*25%,0),ROUND(C40*Inputs!$E$5,0)))</f>
        <v/>
      </c>
      <c r="E40" s="229">
        <f>IF(C40=0,0,IF(A40&lt;Inputs!$G$7,C40-D40,ROUND(C40*Inputs!$E$6,0)))</f>
        <v/>
      </c>
      <c r="F40" s="229">
        <f>C40-D40-E40</f>
        <v/>
      </c>
      <c r="G40" s="229">
        <f>ROUND((D40*Inputs!$C$25+E40*Inputs!$D$25+F40*Inputs!$E$25)*(1+Inputs!$B$9),2)</f>
        <v/>
      </c>
      <c r="H40" s="229">
        <f>ROUND((D40*Inputs!$C$26+E40*Inputs!$D$26+F40*Inputs!$E$26)*(1+Inputs!$B$9),2)</f>
        <v/>
      </c>
      <c r="I40" s="229">
        <f>ROUND((D40*Inputs!$C$27+E40*Inputs!$D$27+F40*Inputs!$E$27)*(1+Inputs!$B$9),2)</f>
        <v/>
      </c>
      <c r="J40" s="229">
        <f>ROUND((D40*Inputs!$C$28+E40*Inputs!$D$28+F40*Inputs!$E$28)*(1+Inputs!$B$9),2)</f>
        <v/>
      </c>
      <c r="K40" s="229">
        <f>ROUND((D40*Inputs!$C$29+E40*Inputs!$D$29+F40*Inputs!$E$29)*(1+Inputs!$B$9),2)</f>
        <v/>
      </c>
      <c r="L40" s="229">
        <f>ROUND((D40*Inputs!$C$30+E40*Inputs!$D$30+F40*Inputs!$E$30)*(1+Inputs!$B$9),2)</f>
        <v/>
      </c>
      <c r="M40" s="229">
        <f>ROUND((D40*Inputs!$C$31+E40*Inputs!$D$31+F40*Inputs!$E$31)*(1+Inputs!$B$9),2)</f>
        <v/>
      </c>
      <c r="N40" s="229">
        <f>ROUND((D40*Inputs!$C$32+E40*Inputs!$D$32+F40*Inputs!$E$32)*(1+Inputs!$B$9),2)</f>
        <v/>
      </c>
      <c r="O40" s="229">
        <f>ROUND((D40*Inputs!$C$33+E40*Inputs!$D$33+F40*Inputs!$E$33)*(1+Inputs!$B$9),2)</f>
        <v/>
      </c>
      <c r="P40" s="229">
        <f>ROUND((D40*Inputs!$C$34+E40*Inputs!$D$34+F40*Inputs!$E$34)*(1+Inputs!$B$9),2)</f>
        <v/>
      </c>
      <c r="Q40" s="229">
        <f>ROUND((D40*Inputs!$C$35+E40*Inputs!$D$35+F40*Inputs!$E$35)*(1+Inputs!$B$9),2)</f>
        <v/>
      </c>
      <c r="R40" s="229">
        <f>ROUND((D40*Inputs!$C$36+E40*Inputs!$D$36+F40*Inputs!$E$36)*(1+Inputs!$B$9),2)</f>
        <v/>
      </c>
      <c r="S40" s="50">
        <f>ROUND(G40*Inputs!$F$25+H40*Inputs!$F$26+I40*Inputs!$F$27+J40*Inputs!$F$28+K40*Inputs!$F$29+L40*Inputs!$F$30+M40*Inputs!$F$31+N40*Inputs!$F$32+O40*Inputs!$F$33+P40*Inputs!$F$34+Q40*Inputs!$F$35+R40*Inputs!$F$36,2)</f>
        <v/>
      </c>
      <c r="T40" s="226">
        <f>ROUND(S40/100000,2)</f>
        <v/>
      </c>
    </row>
    <row r="41" ht="19.95000076293945" customHeight="1" s="88">
      <c r="A41" s="42" t="n">
        <v>36</v>
      </c>
      <c r="B41" s="43" t="n">
        <v>47331</v>
      </c>
      <c r="C41" s="229">
        <f>IF(A41&lt;Inputs!$B$6,0,INDEX(Inputs!$B$41:$B$64,MIN(A41-Inputs!$B$6+1,24))*Inputs!$B$8)</f>
        <v/>
      </c>
      <c r="D41" s="229">
        <f>IF(C41=0,0,IF(A41&lt;Inputs!$G$7,ROUND(C41*25%,0),ROUND(C41*Inputs!$E$5,0)))</f>
        <v/>
      </c>
      <c r="E41" s="229">
        <f>IF(C41=0,0,IF(A41&lt;Inputs!$G$7,C41-D41,ROUND(C41*Inputs!$E$6,0)))</f>
        <v/>
      </c>
      <c r="F41" s="229">
        <f>C41-D41-E41</f>
        <v/>
      </c>
      <c r="G41" s="229">
        <f>ROUND((D41*Inputs!$C$25+E41*Inputs!$D$25+F41*Inputs!$E$25)*(1+Inputs!$B$9),2)</f>
        <v/>
      </c>
      <c r="H41" s="229">
        <f>ROUND((D41*Inputs!$C$26+E41*Inputs!$D$26+F41*Inputs!$E$26)*(1+Inputs!$B$9),2)</f>
        <v/>
      </c>
      <c r="I41" s="229">
        <f>ROUND((D41*Inputs!$C$27+E41*Inputs!$D$27+F41*Inputs!$E$27)*(1+Inputs!$B$9),2)</f>
        <v/>
      </c>
      <c r="J41" s="229">
        <f>ROUND((D41*Inputs!$C$28+E41*Inputs!$D$28+F41*Inputs!$E$28)*(1+Inputs!$B$9),2)</f>
        <v/>
      </c>
      <c r="K41" s="229">
        <f>ROUND((D41*Inputs!$C$29+E41*Inputs!$D$29+F41*Inputs!$E$29)*(1+Inputs!$B$9),2)</f>
        <v/>
      </c>
      <c r="L41" s="229">
        <f>ROUND((D41*Inputs!$C$30+E41*Inputs!$D$30+F41*Inputs!$E$30)*(1+Inputs!$B$9),2)</f>
        <v/>
      </c>
      <c r="M41" s="229">
        <f>ROUND((D41*Inputs!$C$31+E41*Inputs!$D$31+F41*Inputs!$E$31)*(1+Inputs!$B$9),2)</f>
        <v/>
      </c>
      <c r="N41" s="229">
        <f>ROUND((D41*Inputs!$C$32+E41*Inputs!$D$32+F41*Inputs!$E$32)*(1+Inputs!$B$9),2)</f>
        <v/>
      </c>
      <c r="O41" s="229">
        <f>ROUND((D41*Inputs!$C$33+E41*Inputs!$D$33+F41*Inputs!$E$33)*(1+Inputs!$B$9),2)</f>
        <v/>
      </c>
      <c r="P41" s="229">
        <f>ROUND((D41*Inputs!$C$34+E41*Inputs!$D$34+F41*Inputs!$E$34)*(1+Inputs!$B$9),2)</f>
        <v/>
      </c>
      <c r="Q41" s="229">
        <f>ROUND((D41*Inputs!$C$35+E41*Inputs!$D$35+F41*Inputs!$E$35)*(1+Inputs!$B$9),2)</f>
        <v/>
      </c>
      <c r="R41" s="229">
        <f>ROUND((D41*Inputs!$C$36+E41*Inputs!$D$36+F41*Inputs!$E$36)*(1+Inputs!$B$9),2)</f>
        <v/>
      </c>
      <c r="S41" s="50">
        <f>ROUND(G41*Inputs!$F$25+H41*Inputs!$F$26+I41*Inputs!$F$27+J41*Inputs!$F$28+K41*Inputs!$F$29+L41*Inputs!$F$30+M41*Inputs!$F$31+N41*Inputs!$F$32+O41*Inputs!$F$33+P41*Inputs!$F$34+Q41*Inputs!$F$35+R41*Inputs!$F$36,2)</f>
        <v/>
      </c>
      <c r="T41" s="226">
        <f>ROUND(S41/100000,2)</f>
        <v/>
      </c>
    </row>
    <row r="42" ht="19.95000076293945" customHeight="1" s="88">
      <c r="A42" s="46" t="inlineStr">
        <is>
          <t>36M TOTAL</t>
        </is>
      </c>
      <c r="B42" s="46" t="n"/>
      <c r="C42" s="230">
        <f>SUM(C6:C41)</f>
        <v/>
      </c>
      <c r="D42" s="230">
        <f>SUM(D6:D41)</f>
        <v/>
      </c>
      <c r="E42" s="230">
        <f>SUM(E6:E41)</f>
        <v/>
      </c>
      <c r="F42" s="230">
        <f>SUM(F6:F41)</f>
        <v/>
      </c>
      <c r="G42" s="230">
        <f>SUM(G6:G41)</f>
        <v/>
      </c>
      <c r="H42" s="230">
        <f>SUM(H6:H41)</f>
        <v/>
      </c>
      <c r="I42" s="230">
        <f>SUM(I6:I41)</f>
        <v/>
      </c>
      <c r="J42" s="230">
        <f>SUM(J6:J41)</f>
        <v/>
      </c>
      <c r="K42" s="230">
        <f>SUM(K6:K41)</f>
        <v/>
      </c>
      <c r="L42" s="230">
        <f>SUM(L6:L41)</f>
        <v/>
      </c>
      <c r="M42" s="230">
        <f>SUM(M6:M41)</f>
        <v/>
      </c>
      <c r="N42" s="230">
        <f>SUM(N6:N41)</f>
        <v/>
      </c>
      <c r="O42" s="230">
        <f>SUM(O6:O41)</f>
        <v/>
      </c>
      <c r="P42" s="230">
        <f>SUM(P6:P41)</f>
        <v/>
      </c>
      <c r="Q42" s="230">
        <f>SUM(Q6:Q41)</f>
        <v/>
      </c>
      <c r="R42" s="230">
        <f>SUM(R6:R41)</f>
        <v/>
      </c>
      <c r="S42" s="52">
        <f>SUM(S6:S41)</f>
        <v/>
      </c>
      <c r="T42" s="228">
        <f>SUM(T6:T41)</f>
        <v/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00"/>
  <sheetViews>
    <sheetView workbookViewId="0">
      <selection activeCell="A1" sqref="A1"/>
    </sheetView>
  </sheetViews>
  <sheetFormatPr baseColWidth="8" defaultRowHeight="13.80000019073486"/>
  <cols>
    <col width="20" customWidth="1" style="88" min="1" max="1"/>
    <col width="18" customWidth="1" style="88" min="2" max="2"/>
    <col width="22" customWidth="1" style="88" min="3" max="3"/>
    <col width="16" customWidth="1" style="88" min="4" max="4"/>
    <col width="24" customWidth="1" style="88" min="5" max="5"/>
    <col width="30" customWidth="1" style="88" min="6" max="6"/>
    <col width="22" customWidth="1" style="88" min="7" max="7"/>
    <col width="14" customWidth="1" style="88" min="8" max="8"/>
    <col width="13" customWidth="1" style="88" min="9" max="9"/>
    <col width="14" customWidth="1" style="88" min="10" max="10"/>
    <col width="11" customWidth="1" style="88" min="11" max="13"/>
    <col width="28" customWidth="1" style="88" min="14" max="14"/>
    <col width="36" customWidth="1" style="88" min="15" max="15"/>
  </cols>
  <sheetData>
    <row r="1" ht="21" customHeight="1" s="88">
      <c r="A1" s="184" t="inlineStr">
        <is>
          <t>VYNDI Component Catalogue · 66 controlled catalogue items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</row>
    <row r="2">
      <c r="A2" s="99" t="inlineStr">
        <is>
          <t>Catalogue/pricing only. Physical stock remains movement-ledger truth. Procurement parameters P:T are editable planning controls.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3" t="n"/>
      <c r="Q2" s="93" t="n"/>
      <c r="R2" s="93" t="n"/>
      <c r="S2" s="93" t="n"/>
      <c r="T2" s="93" t="n"/>
      <c r="U2" s="93" t="n"/>
      <c r="V2" s="93" t="n"/>
      <c r="W2" s="93" t="n"/>
      <c r="X2" s="93" t="n"/>
      <c r="Y2" s="93" t="n"/>
      <c r="Z2" s="93" t="n"/>
    </row>
    <row r="3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</row>
    <row r="4" ht="27.60000038146973" customHeight="1" s="88">
      <c r="A4" s="231" t="inlineStr">
        <is>
          <t>Item ID</t>
        </is>
      </c>
      <c r="B4" s="231" t="inlineStr">
        <is>
          <t>Category</t>
        </is>
      </c>
      <c r="C4" s="231" t="inlineStr">
        <is>
          <t>Subcategory</t>
        </is>
      </c>
      <c r="D4" s="231" t="inlineStr">
        <is>
          <t>Brand</t>
        </is>
      </c>
      <c r="E4" s="231" t="inlineStr">
        <is>
          <t>Model</t>
        </is>
      </c>
      <c r="F4" s="231" t="inlineStr">
        <is>
          <t>Detail</t>
        </is>
      </c>
      <c r="G4" s="231" t="inlineStr">
        <is>
          <t>SKU</t>
        </is>
      </c>
      <c r="H4" s="231" t="inlineStr">
        <is>
          <t>Unit Price ₹</t>
        </is>
      </c>
      <c r="I4" s="231" t="inlineStr">
        <is>
          <t>Opening Stock</t>
        </is>
      </c>
      <c r="J4" s="231" t="inlineStr">
        <is>
          <t>MSL / Reorder</t>
        </is>
      </c>
      <c r="K4" s="231" t="inlineStr">
        <is>
          <t>Longitude</t>
        </is>
      </c>
      <c r="L4" s="231" t="inlineStr">
        <is>
          <t>Latitude</t>
        </is>
      </c>
      <c r="M4" s="231" t="inlineStr">
        <is>
          <t>Altitude</t>
        </is>
      </c>
      <c r="N4" s="231" t="inlineStr">
        <is>
          <t>Source</t>
        </is>
      </c>
      <c r="O4" s="231" t="inlineStr">
        <is>
          <t>Control Note</t>
        </is>
      </c>
      <c r="P4" s="231" t="inlineStr">
        <is>
          <t>Lead Time (mo)</t>
        </is>
      </c>
      <c r="Q4" s="231" t="inlineStr">
        <is>
          <t>MOQ</t>
        </is>
      </c>
      <c r="R4" s="231" t="inlineStr">
        <is>
          <t>Order Multiple</t>
        </is>
      </c>
      <c r="S4" s="231" t="inlineStr">
        <is>
          <t>Payment Lag (mo)</t>
        </is>
      </c>
      <c r="T4" s="231" t="inlineStr">
        <is>
          <t>Preferred Supplier</t>
        </is>
      </c>
      <c r="U4" s="231" t="inlineStr">
        <is>
          <t>Safety Stock</t>
        </is>
      </c>
      <c r="V4" s="231" t="inlineStr">
        <is>
          <t>Supplier Part No.</t>
        </is>
      </c>
      <c r="W4" s="231" t="inlineStr">
        <is>
          <t>Currency</t>
        </is>
      </c>
      <c r="X4" s="231" t="inlineStr">
        <is>
          <t>GST Rate</t>
        </is>
      </c>
      <c r="Y4" s="231" t="inlineStr">
        <is>
          <t>Payment Terms</t>
        </is>
      </c>
      <c r="Z4" s="231" t="inlineStr">
        <is>
          <t>Quality Inspection Required?</t>
        </is>
      </c>
      <c r="AA4" s="231" t="inlineStr">
        <is>
          <t>Lot Controlled?</t>
        </is>
      </c>
      <c r="AB4" s="231" t="inlineStr">
        <is>
          <t>Serial Controlled?</t>
        </is>
      </c>
    </row>
    <row r="5" ht="27.60000038146973" customHeight="1" s="88">
      <c r="A5" s="93" t="inlineStr">
        <is>
          <t>gs-tiagra-4700</t>
        </is>
      </c>
      <c r="B5" s="93" t="inlineStr">
        <is>
          <t>groupset</t>
        </is>
      </c>
      <c r="C5" s="93" t="inlineStr">
        <is>
          <t>Mechanical</t>
        </is>
      </c>
      <c r="D5" s="93" t="inlineStr">
        <is>
          <t>Shimano</t>
        </is>
      </c>
      <c r="E5" s="93" t="inlineStr">
        <is>
          <t>Tiagra 4700</t>
        </is>
      </c>
      <c r="F5" s="93" t="inlineStr">
        <is>
          <t>2x10 mechanical</t>
        </is>
      </c>
      <c r="G5" s="93" t="inlineStr">
        <is>
          <t>SHI-TIA-4700</t>
        </is>
      </c>
      <c r="H5" s="232" t="n">
        <v>45000</v>
      </c>
      <c r="I5" s="188" t="n">
        <v>0</v>
      </c>
      <c r="J5" s="188" t="n">
        <v>2</v>
      </c>
      <c r="K5" s="93" t="inlineStr">
        <is>
          <t>Yes</t>
        </is>
      </c>
      <c r="L5" s="93" t="inlineStr">
        <is>
          <t>No</t>
        </is>
      </c>
      <c r="M5" s="93" t="inlineStr">
        <is>
          <t>No</t>
        </is>
      </c>
      <c r="N5" s="93" t="inlineStr">
        <is>
          <t>GitHub src/lib/data/inventory.ts</t>
        </is>
      </c>
      <c r="O5" s="93" t="inlineStr">
        <is>
          <t>Opening stock forced to 0; catalogue is not ledger truth</t>
        </is>
      </c>
      <c r="P5" s="188" t="n">
        <v>2</v>
      </c>
      <c r="Q5" s="188" t="n">
        <v>1</v>
      </c>
      <c r="R5" s="188" t="n">
        <v>1</v>
      </c>
      <c r="S5" s="188" t="n">
        <v>1</v>
      </c>
      <c r="T5" s="188" t="str"/>
      <c r="U5" s="93">
        <f>J5</f>
        <v/>
      </c>
      <c r="V5" s="93" t="n"/>
      <c r="W5" s="93" t="inlineStr">
        <is>
          <t>INR</t>
        </is>
      </c>
      <c r="X5" s="233" t="n"/>
      <c r="Y5" s="93" t="n"/>
      <c r="Z5" s="93" t="inlineStr">
        <is>
          <t>No</t>
        </is>
      </c>
      <c r="AA5" t="inlineStr">
        <is>
          <t>No</t>
        </is>
      </c>
      <c r="AB5" t="inlineStr">
        <is>
          <t>No</t>
        </is>
      </c>
    </row>
    <row r="6" ht="27.60000038146973" customHeight="1" s="88">
      <c r="A6" s="93" t="inlineStr">
        <is>
          <t>gs-105-r7000</t>
        </is>
      </c>
      <c r="B6" s="93" t="inlineStr">
        <is>
          <t>groupset</t>
        </is>
      </c>
      <c r="C6" s="93" t="inlineStr">
        <is>
          <t>Mechanical</t>
        </is>
      </c>
      <c r="D6" s="93" t="inlineStr">
        <is>
          <t>Shimano</t>
        </is>
      </c>
      <c r="E6" s="93" t="inlineStr">
        <is>
          <t>105 R7000</t>
        </is>
      </c>
      <c r="F6" s="93" t="inlineStr">
        <is>
          <t>2x11 mechanical</t>
        </is>
      </c>
      <c r="G6" s="93" t="inlineStr">
        <is>
          <t>SHI-105-R7000</t>
        </is>
      </c>
      <c r="H6" s="232" t="n">
        <v>70000</v>
      </c>
      <c r="I6" s="188" t="n">
        <v>0</v>
      </c>
      <c r="J6" s="188" t="n">
        <v>2</v>
      </c>
      <c r="K6" s="93" t="inlineStr">
        <is>
          <t>Yes</t>
        </is>
      </c>
      <c r="L6" s="93" t="inlineStr">
        <is>
          <t>Yes</t>
        </is>
      </c>
      <c r="M6" s="93" t="inlineStr">
        <is>
          <t>No</t>
        </is>
      </c>
      <c r="N6" s="93" t="inlineStr">
        <is>
          <t>GitHub src/lib/data/inventory.ts</t>
        </is>
      </c>
      <c r="O6" s="93" t="inlineStr">
        <is>
          <t>Opening stock forced to 0; catalogue is not ledger truth</t>
        </is>
      </c>
      <c r="P6" s="188" t="n">
        <v>2</v>
      </c>
      <c r="Q6" s="188" t="n">
        <v>1</v>
      </c>
      <c r="R6" s="188" t="n">
        <v>1</v>
      </c>
      <c r="S6" s="188" t="n">
        <v>1</v>
      </c>
      <c r="T6" s="188" t="str"/>
      <c r="U6" s="93">
        <f>J6</f>
        <v/>
      </c>
      <c r="V6" s="93" t="n"/>
      <c r="W6" s="93" t="inlineStr">
        <is>
          <t>INR</t>
        </is>
      </c>
      <c r="X6" s="233" t="n"/>
      <c r="Y6" s="93" t="n"/>
      <c r="Z6" s="93" t="inlineStr">
        <is>
          <t>No</t>
        </is>
      </c>
      <c r="AA6" t="inlineStr">
        <is>
          <t>No</t>
        </is>
      </c>
      <c r="AB6" t="inlineStr">
        <is>
          <t>No</t>
        </is>
      </c>
    </row>
    <row r="7" ht="27.60000038146973" customHeight="1" s="88">
      <c r="A7" s="93" t="inlineStr">
        <is>
          <t>gs-105-r7150</t>
        </is>
      </c>
      <c r="B7" s="93" t="inlineStr">
        <is>
          <t>groupset</t>
        </is>
      </c>
      <c r="C7" s="93" t="inlineStr">
        <is>
          <t>Electronic</t>
        </is>
      </c>
      <c r="D7" s="93" t="inlineStr">
        <is>
          <t>Shimano</t>
        </is>
      </c>
      <c r="E7" s="93" t="inlineStr">
        <is>
          <t>105 R7150 Di2</t>
        </is>
      </c>
      <c r="F7" s="93" t="inlineStr">
        <is>
          <t>2x12 electronic</t>
        </is>
      </c>
      <c r="G7" s="93" t="inlineStr">
        <is>
          <t>SHI-105-R7150</t>
        </is>
      </c>
      <c r="H7" s="232" t="n">
        <v>138000</v>
      </c>
      <c r="I7" s="188" t="n">
        <v>0</v>
      </c>
      <c r="J7" s="188" t="n">
        <v>1</v>
      </c>
      <c r="K7" s="93" t="inlineStr">
        <is>
          <t>No</t>
        </is>
      </c>
      <c r="L7" s="93" t="inlineStr">
        <is>
          <t>Yes</t>
        </is>
      </c>
      <c r="M7" s="93" t="inlineStr">
        <is>
          <t>No</t>
        </is>
      </c>
      <c r="N7" s="93" t="inlineStr">
        <is>
          <t>GitHub src/lib/data/inventory.ts</t>
        </is>
      </c>
      <c r="O7" s="93" t="inlineStr">
        <is>
          <t>Opening stock forced to 0; catalogue is not ledger truth</t>
        </is>
      </c>
      <c r="P7" s="188" t="n">
        <v>2</v>
      </c>
      <c r="Q7" s="188" t="n">
        <v>1</v>
      </c>
      <c r="R7" s="188" t="n">
        <v>1</v>
      </c>
      <c r="S7" s="188" t="n">
        <v>1</v>
      </c>
      <c r="T7" s="188" t="str"/>
      <c r="U7" s="93">
        <f>J7</f>
        <v/>
      </c>
      <c r="V7" s="93" t="n"/>
      <c r="W7" s="93" t="inlineStr">
        <is>
          <t>INR</t>
        </is>
      </c>
      <c r="X7" s="233" t="n"/>
      <c r="Y7" s="93" t="n"/>
      <c r="Z7" s="93" t="inlineStr">
        <is>
          <t>No</t>
        </is>
      </c>
      <c r="AA7" t="inlineStr">
        <is>
          <t>No</t>
        </is>
      </c>
      <c r="AB7" t="inlineStr">
        <is>
          <t>No</t>
        </is>
      </c>
    </row>
    <row r="8" ht="27.60000038146973" customHeight="1" s="88">
      <c r="A8" s="93" t="inlineStr">
        <is>
          <t>gs-ultegra-r8170</t>
        </is>
      </c>
      <c r="B8" s="93" t="inlineStr">
        <is>
          <t>groupset</t>
        </is>
      </c>
      <c r="C8" s="93" t="inlineStr">
        <is>
          <t>Electronic</t>
        </is>
      </c>
      <c r="D8" s="93" t="inlineStr">
        <is>
          <t>Shimano</t>
        </is>
      </c>
      <c r="E8" s="93" t="inlineStr">
        <is>
          <t>Ultegra R8170 Di2</t>
        </is>
      </c>
      <c r="F8" s="93" t="inlineStr">
        <is>
          <t>2x12 electronic</t>
        </is>
      </c>
      <c r="G8" s="93" t="inlineStr">
        <is>
          <t>SHI-ULT-R8170</t>
        </is>
      </c>
      <c r="H8" s="232" t="n">
        <v>210000</v>
      </c>
      <c r="I8" s="188" t="n">
        <v>0</v>
      </c>
      <c r="J8" s="188" t="n">
        <v>1</v>
      </c>
      <c r="K8" s="93" t="inlineStr">
        <is>
          <t>No</t>
        </is>
      </c>
      <c r="L8" s="93" t="inlineStr">
        <is>
          <t>Yes</t>
        </is>
      </c>
      <c r="M8" s="93" t="inlineStr">
        <is>
          <t>Yes</t>
        </is>
      </c>
      <c r="N8" s="93" t="inlineStr">
        <is>
          <t>GitHub src/lib/data/inventory.ts</t>
        </is>
      </c>
      <c r="O8" s="93" t="inlineStr">
        <is>
          <t>Opening stock forced to 0; catalogue is not ledger truth</t>
        </is>
      </c>
      <c r="P8" s="188" t="n">
        <v>2</v>
      </c>
      <c r="Q8" s="188" t="n">
        <v>1</v>
      </c>
      <c r="R8" s="188" t="n">
        <v>1</v>
      </c>
      <c r="S8" s="188" t="n">
        <v>1</v>
      </c>
      <c r="T8" s="188" t="str"/>
      <c r="U8" s="93">
        <f>J8</f>
        <v/>
      </c>
      <c r="V8" s="93" t="n"/>
      <c r="W8" s="93" t="inlineStr">
        <is>
          <t>INR</t>
        </is>
      </c>
      <c r="X8" s="233" t="n"/>
      <c r="Y8" s="93" t="n"/>
      <c r="Z8" s="93" t="inlineStr">
        <is>
          <t>No</t>
        </is>
      </c>
      <c r="AA8" t="inlineStr">
        <is>
          <t>No</t>
        </is>
      </c>
      <c r="AB8" t="inlineStr">
        <is>
          <t>No</t>
        </is>
      </c>
    </row>
    <row r="9" ht="27.60000038146973" customHeight="1" s="88">
      <c r="A9" s="93" t="inlineStr">
        <is>
          <t>gs-duraace-r9270</t>
        </is>
      </c>
      <c r="B9" s="93" t="inlineStr">
        <is>
          <t>groupset</t>
        </is>
      </c>
      <c r="C9" s="93" t="inlineStr">
        <is>
          <t>Electronic</t>
        </is>
      </c>
      <c r="D9" s="93" t="inlineStr">
        <is>
          <t>Shimano</t>
        </is>
      </c>
      <c r="E9" s="93" t="inlineStr">
        <is>
          <t>Dura-Ace R9270 Di2</t>
        </is>
      </c>
      <c r="F9" s="93" t="inlineStr">
        <is>
          <t>2x12 electronic flagship</t>
        </is>
      </c>
      <c r="G9" s="93" t="inlineStr">
        <is>
          <t>SHI-DA-R9270</t>
        </is>
      </c>
      <c r="H9" s="232" t="n">
        <v>353000</v>
      </c>
      <c r="I9" s="188" t="n">
        <v>0</v>
      </c>
      <c r="J9" s="188" t="n">
        <v>1</v>
      </c>
      <c r="K9" s="93" t="inlineStr">
        <is>
          <t>No</t>
        </is>
      </c>
      <c r="L9" s="93" t="inlineStr">
        <is>
          <t>No</t>
        </is>
      </c>
      <c r="M9" s="93" t="inlineStr">
        <is>
          <t>Yes</t>
        </is>
      </c>
      <c r="N9" s="93" t="inlineStr">
        <is>
          <t>GitHub src/lib/data/inventory.ts</t>
        </is>
      </c>
      <c r="O9" s="93" t="inlineStr">
        <is>
          <t>Opening stock forced to 0; catalogue is not ledger truth</t>
        </is>
      </c>
      <c r="P9" s="188" t="n">
        <v>2</v>
      </c>
      <c r="Q9" s="188" t="n">
        <v>1</v>
      </c>
      <c r="R9" s="188" t="n">
        <v>1</v>
      </c>
      <c r="S9" s="188" t="n">
        <v>1</v>
      </c>
      <c r="T9" s="188" t="str"/>
      <c r="U9" s="93">
        <f>J9</f>
        <v/>
      </c>
      <c r="V9" s="93" t="n"/>
      <c r="W9" s="93" t="inlineStr">
        <is>
          <t>INR</t>
        </is>
      </c>
      <c r="X9" s="233" t="n"/>
      <c r="Y9" s="93" t="n"/>
      <c r="Z9" s="93" t="inlineStr">
        <is>
          <t>No</t>
        </is>
      </c>
      <c r="AA9" t="inlineStr">
        <is>
          <t>No</t>
        </is>
      </c>
      <c r="AB9" t="inlineStr">
        <is>
          <t>No</t>
        </is>
      </c>
    </row>
    <row r="10" ht="27.60000038146973" customHeight="1" s="88">
      <c r="A10" s="93" t="inlineStr">
        <is>
          <t>gs-rival-axs</t>
        </is>
      </c>
      <c r="B10" s="93" t="inlineStr">
        <is>
          <t>groupset</t>
        </is>
      </c>
      <c r="C10" s="93" t="inlineStr">
        <is>
          <t>Electronic</t>
        </is>
      </c>
      <c r="D10" s="93" t="inlineStr">
        <is>
          <t>SRAM</t>
        </is>
      </c>
      <c r="E10" s="93" t="inlineStr">
        <is>
          <t>Rival AXS</t>
        </is>
      </c>
      <c r="F10" s="93" t="inlineStr">
        <is>
          <t>2x12 wireless electronic</t>
        </is>
      </c>
      <c r="G10" s="93" t="inlineStr">
        <is>
          <t>SRAM-RIV-AXS</t>
        </is>
      </c>
      <c r="H10" s="232" t="n">
        <v>175000</v>
      </c>
      <c r="I10" s="188" t="n">
        <v>0</v>
      </c>
      <c r="J10" s="188" t="n">
        <v>1</v>
      </c>
      <c r="K10" s="93" t="inlineStr">
        <is>
          <t>No</t>
        </is>
      </c>
      <c r="L10" s="93" t="inlineStr">
        <is>
          <t>Yes</t>
        </is>
      </c>
      <c r="M10" s="93" t="inlineStr">
        <is>
          <t>No</t>
        </is>
      </c>
      <c r="N10" s="93" t="inlineStr">
        <is>
          <t>GitHub src/lib/data/inventory.ts</t>
        </is>
      </c>
      <c r="O10" s="93" t="inlineStr">
        <is>
          <t>Opening stock forced to 0; catalogue is not ledger truth</t>
        </is>
      </c>
      <c r="P10" s="188" t="n">
        <v>2</v>
      </c>
      <c r="Q10" s="188" t="n">
        <v>1</v>
      </c>
      <c r="R10" s="188" t="n">
        <v>1</v>
      </c>
      <c r="S10" s="188" t="n">
        <v>1</v>
      </c>
      <c r="T10" s="188" t="str"/>
      <c r="U10" s="93">
        <f>J10</f>
        <v/>
      </c>
      <c r="V10" s="93" t="n"/>
      <c r="W10" s="93" t="inlineStr">
        <is>
          <t>INR</t>
        </is>
      </c>
      <c r="X10" s="233" t="n"/>
      <c r="Y10" s="93" t="n"/>
      <c r="Z10" s="93" t="inlineStr">
        <is>
          <t>No</t>
        </is>
      </c>
      <c r="AA10" t="inlineStr">
        <is>
          <t>No</t>
        </is>
      </c>
      <c r="AB10" t="inlineStr">
        <is>
          <t>No</t>
        </is>
      </c>
    </row>
    <row r="11" ht="27.60000038146973" customHeight="1" s="88">
      <c r="A11" s="93" t="inlineStr">
        <is>
          <t>gs-force-axs</t>
        </is>
      </c>
      <c r="B11" s="93" t="inlineStr">
        <is>
          <t>groupset</t>
        </is>
      </c>
      <c r="C11" s="93" t="inlineStr">
        <is>
          <t>Electronic</t>
        </is>
      </c>
      <c r="D11" s="93" t="inlineStr">
        <is>
          <t>SRAM</t>
        </is>
      </c>
      <c r="E11" s="93" t="inlineStr">
        <is>
          <t>Force AXS</t>
        </is>
      </c>
      <c r="F11" s="93" t="inlineStr">
        <is>
          <t>2x12 wireless electronic</t>
        </is>
      </c>
      <c r="G11" s="93" t="inlineStr">
        <is>
          <t>SRAM-FORCE-AXS</t>
        </is>
      </c>
      <c r="H11" s="232" t="n">
        <v>250000</v>
      </c>
      <c r="I11" s="188" t="n">
        <v>0</v>
      </c>
      <c r="J11" s="188" t="n">
        <v>1</v>
      </c>
      <c r="K11" s="93" t="inlineStr">
        <is>
          <t>No</t>
        </is>
      </c>
      <c r="L11" s="93" t="inlineStr">
        <is>
          <t>Yes</t>
        </is>
      </c>
      <c r="M11" s="93" t="inlineStr">
        <is>
          <t>Yes</t>
        </is>
      </c>
      <c r="N11" s="93" t="inlineStr">
        <is>
          <t>GitHub src/lib/data/inventory.ts</t>
        </is>
      </c>
      <c r="O11" s="93" t="inlineStr">
        <is>
          <t>Opening stock forced to 0; catalogue is not ledger truth</t>
        </is>
      </c>
      <c r="P11" s="188" t="n">
        <v>2</v>
      </c>
      <c r="Q11" s="188" t="n">
        <v>1</v>
      </c>
      <c r="R11" s="188" t="n">
        <v>1</v>
      </c>
      <c r="S11" s="188" t="n">
        <v>1</v>
      </c>
      <c r="T11" s="188" t="str"/>
      <c r="U11" s="93">
        <f>J11</f>
        <v/>
      </c>
      <c r="V11" s="93" t="n"/>
      <c r="W11" s="93" t="inlineStr">
        <is>
          <t>INR</t>
        </is>
      </c>
      <c r="X11" s="233" t="n"/>
      <c r="Y11" s="93" t="n"/>
      <c r="Z11" s="93" t="inlineStr">
        <is>
          <t>No</t>
        </is>
      </c>
      <c r="AA11" t="inlineStr">
        <is>
          <t>No</t>
        </is>
      </c>
      <c r="AB11" t="inlineStr">
        <is>
          <t>No</t>
        </is>
      </c>
    </row>
    <row r="12" ht="27.60000038146973" customHeight="1" s="88">
      <c r="A12" s="93" t="inlineStr">
        <is>
          <t>gs-red-axs</t>
        </is>
      </c>
      <c r="B12" s="93" t="inlineStr">
        <is>
          <t>groupset</t>
        </is>
      </c>
      <c r="C12" s="93" t="inlineStr">
        <is>
          <t>Electronic</t>
        </is>
      </c>
      <c r="D12" s="93" t="inlineStr">
        <is>
          <t>SRAM</t>
        </is>
      </c>
      <c r="E12" s="93" t="inlineStr">
        <is>
          <t>RED AXS</t>
        </is>
      </c>
      <c r="F12" s="93" t="inlineStr">
        <is>
          <t>2x12 wireless flagship</t>
        </is>
      </c>
      <c r="G12" s="93" t="inlineStr">
        <is>
          <t>SRAM-RED-AXS</t>
        </is>
      </c>
      <c r="H12" s="232" t="n">
        <v>380000</v>
      </c>
      <c r="I12" s="188" t="n">
        <v>0</v>
      </c>
      <c r="J12" s="188" t="n">
        <v>1</v>
      </c>
      <c r="K12" s="93" t="inlineStr">
        <is>
          <t>No</t>
        </is>
      </c>
      <c r="L12" s="93" t="inlineStr">
        <is>
          <t>No</t>
        </is>
      </c>
      <c r="M12" s="93" t="inlineStr">
        <is>
          <t>Yes</t>
        </is>
      </c>
      <c r="N12" s="93" t="inlineStr">
        <is>
          <t>GitHub src/lib/data/inventory.ts</t>
        </is>
      </c>
      <c r="O12" s="93" t="inlineStr">
        <is>
          <t>Opening stock forced to 0; catalogue is not ledger truth</t>
        </is>
      </c>
      <c r="P12" s="188" t="n">
        <v>2</v>
      </c>
      <c r="Q12" s="188" t="n">
        <v>1</v>
      </c>
      <c r="R12" s="188" t="n">
        <v>1</v>
      </c>
      <c r="S12" s="188" t="n">
        <v>1</v>
      </c>
      <c r="T12" s="188" t="str"/>
      <c r="U12" s="93">
        <f>J12</f>
        <v/>
      </c>
      <c r="V12" s="93" t="n"/>
      <c r="W12" s="93" t="inlineStr">
        <is>
          <t>INR</t>
        </is>
      </c>
      <c r="X12" s="233" t="n"/>
      <c r="Y12" s="93" t="n"/>
      <c r="Z12" s="93" t="inlineStr">
        <is>
          <t>No</t>
        </is>
      </c>
      <c r="AA12" t="inlineStr">
        <is>
          <t>No</t>
        </is>
      </c>
      <c r="AB12" t="inlineStr">
        <is>
          <t>No</t>
        </is>
      </c>
    </row>
    <row r="13" ht="27.60000038146973" customHeight="1" s="88">
      <c r="A13" s="93" t="inlineStr">
        <is>
          <t>ws-alloy</t>
        </is>
      </c>
      <c r="B13" s="93" t="inlineStr">
        <is>
          <t>wheelset</t>
        </is>
      </c>
      <c r="C13" s="93" t="inlineStr">
        <is>
          <t>Aluminium</t>
        </is>
      </c>
      <c r="D13" s="93" t="inlineStr">
        <is>
          <t>Performance</t>
        </is>
      </c>
      <c r="E13" s="93" t="inlineStr">
        <is>
          <t>Performance Alloy</t>
        </is>
      </c>
      <c r="F13" s="93" t="inlineStr">
        <is>
          <t>Training / everyday</t>
        </is>
      </c>
      <c r="G13" s="93" t="inlineStr">
        <is>
          <t>WH-ALLOY-01</t>
        </is>
      </c>
      <c r="H13" s="232" t="n">
        <v>30000</v>
      </c>
      <c r="I13" s="188" t="n">
        <v>0</v>
      </c>
      <c r="J13" s="188" t="n">
        <v>3</v>
      </c>
      <c r="K13" s="93" t="inlineStr">
        <is>
          <t>Yes</t>
        </is>
      </c>
      <c r="L13" s="93" t="inlineStr">
        <is>
          <t>No</t>
        </is>
      </c>
      <c r="M13" s="93" t="inlineStr">
        <is>
          <t>No</t>
        </is>
      </c>
      <c r="N13" s="93" t="inlineStr">
        <is>
          <t>GitHub src/lib/data/inventory.ts</t>
        </is>
      </c>
      <c r="O13" s="93" t="inlineStr">
        <is>
          <t>Opening stock forced to 0; catalogue is not ledger truth</t>
        </is>
      </c>
      <c r="P13" s="188" t="n">
        <v>2</v>
      </c>
      <c r="Q13" s="188" t="n">
        <v>1</v>
      </c>
      <c r="R13" s="188" t="n">
        <v>1</v>
      </c>
      <c r="S13" s="188" t="n">
        <v>1</v>
      </c>
      <c r="T13" s="188" t="str"/>
      <c r="U13" s="93">
        <f>J13</f>
        <v/>
      </c>
      <c r="V13" s="93" t="n"/>
      <c r="W13" s="93" t="inlineStr">
        <is>
          <t>INR</t>
        </is>
      </c>
      <c r="X13" s="233" t="n"/>
      <c r="Y13" s="93" t="n"/>
      <c r="Z13" s="93" t="inlineStr">
        <is>
          <t>No</t>
        </is>
      </c>
      <c r="AA13" t="inlineStr">
        <is>
          <t>No</t>
        </is>
      </c>
      <c r="AB13" t="inlineStr">
        <is>
          <t>No</t>
        </is>
      </c>
    </row>
    <row r="14" ht="27.60000038146973" customHeight="1" s="88">
      <c r="A14" s="93" t="inlineStr">
        <is>
          <t>ws-alloy-30</t>
        </is>
      </c>
      <c r="B14" s="93" t="inlineStr">
        <is>
          <t>wheelset</t>
        </is>
      </c>
      <c r="C14" s="93" t="inlineStr">
        <is>
          <t>Aluminium</t>
        </is>
      </c>
      <c r="D14" s="93" t="inlineStr">
        <is>
          <t>Light Alloy</t>
        </is>
      </c>
      <c r="E14" s="93" t="inlineStr">
        <is>
          <t>30 Tubeless</t>
        </is>
      </c>
      <c r="F14" s="93" t="inlineStr">
        <is>
          <t>30 mm tubeless-ready</t>
        </is>
      </c>
      <c r="G14" s="93" t="inlineStr">
        <is>
          <t>WH-ALLOY-30</t>
        </is>
      </c>
      <c r="H14" s="232" t="n">
        <v>45000</v>
      </c>
      <c r="I14" s="188" t="n">
        <v>0</v>
      </c>
      <c r="J14" s="188" t="n">
        <v>2</v>
      </c>
      <c r="K14" s="93" t="inlineStr">
        <is>
          <t>Yes</t>
        </is>
      </c>
      <c r="L14" s="93" t="inlineStr">
        <is>
          <t>Yes</t>
        </is>
      </c>
      <c r="M14" s="93" t="inlineStr">
        <is>
          <t>No</t>
        </is>
      </c>
      <c r="N14" s="93" t="inlineStr">
        <is>
          <t>GitHub src/lib/data/inventory.ts</t>
        </is>
      </c>
      <c r="O14" s="93" t="inlineStr">
        <is>
          <t>Opening stock forced to 0; catalogue is not ledger truth</t>
        </is>
      </c>
      <c r="P14" s="188" t="n">
        <v>2</v>
      </c>
      <c r="Q14" s="188" t="n">
        <v>1</v>
      </c>
      <c r="R14" s="188" t="n">
        <v>1</v>
      </c>
      <c r="S14" s="188" t="n">
        <v>1</v>
      </c>
      <c r="T14" s="188" t="str"/>
      <c r="U14" s="93">
        <f>J14</f>
        <v/>
      </c>
      <c r="V14" s="93" t="n"/>
      <c r="W14" s="93" t="inlineStr">
        <is>
          <t>INR</t>
        </is>
      </c>
      <c r="X14" s="233" t="n"/>
      <c r="Y14" s="93" t="n"/>
      <c r="Z14" s="93" t="inlineStr">
        <is>
          <t>No</t>
        </is>
      </c>
      <c r="AA14" t="inlineStr">
        <is>
          <t>No</t>
        </is>
      </c>
      <c r="AB14" t="inlineStr">
        <is>
          <t>No</t>
        </is>
      </c>
    </row>
    <row r="15" ht="27.60000038146973" customHeight="1" s="88">
      <c r="A15" s="93" t="inlineStr">
        <is>
          <t>ws-alloy-35</t>
        </is>
      </c>
      <c r="B15" s="93" t="inlineStr">
        <is>
          <t>wheelset</t>
        </is>
      </c>
      <c r="C15" s="93" t="inlineStr">
        <is>
          <t>Aluminium</t>
        </is>
      </c>
      <c r="D15" s="93" t="inlineStr">
        <is>
          <t>Vision</t>
        </is>
      </c>
      <c r="E15" s="93" t="inlineStr">
        <is>
          <t>Team 35</t>
        </is>
      </c>
      <c r="F15" s="93" t="inlineStr">
        <is>
          <t>35 mm alloy aero</t>
        </is>
      </c>
      <c r="G15" s="93" t="inlineStr">
        <is>
          <t>WH-VIS-TEAM35</t>
        </is>
      </c>
      <c r="H15" s="232" t="n">
        <v>55000</v>
      </c>
      <c r="I15" s="188" t="n">
        <v>0</v>
      </c>
      <c r="J15" s="188" t="n">
        <v>1</v>
      </c>
      <c r="K15" s="93" t="inlineStr">
        <is>
          <t>Yes</t>
        </is>
      </c>
      <c r="L15" s="93" t="inlineStr">
        <is>
          <t>Yes</t>
        </is>
      </c>
      <c r="M15" s="93" t="inlineStr">
        <is>
          <t>No</t>
        </is>
      </c>
      <c r="N15" s="93" t="inlineStr">
        <is>
          <t>GitHub src/lib/data/inventory.ts</t>
        </is>
      </c>
      <c r="O15" s="93" t="inlineStr">
        <is>
          <t>Opening stock forced to 0; catalogue is not ledger truth</t>
        </is>
      </c>
      <c r="P15" s="188" t="n">
        <v>2</v>
      </c>
      <c r="Q15" s="188" t="n">
        <v>1</v>
      </c>
      <c r="R15" s="188" t="n">
        <v>1</v>
      </c>
      <c r="S15" s="188" t="n">
        <v>1</v>
      </c>
      <c r="T15" s="188" t="str"/>
      <c r="U15" s="93">
        <f>J15</f>
        <v/>
      </c>
      <c r="V15" s="93" t="n"/>
      <c r="W15" s="93" t="inlineStr">
        <is>
          <t>INR</t>
        </is>
      </c>
      <c r="X15" s="233" t="n"/>
      <c r="Y15" s="93" t="n"/>
      <c r="Z15" s="93" t="inlineStr">
        <is>
          <t>No</t>
        </is>
      </c>
      <c r="AA15" t="inlineStr">
        <is>
          <t>No</t>
        </is>
      </c>
      <c r="AB15" t="inlineStr">
        <is>
          <t>No</t>
        </is>
      </c>
    </row>
    <row r="16" ht="27.60000038146973" customHeight="1" s="88">
      <c r="A16" s="93" t="inlineStr">
        <is>
          <t>ws-carbon-38</t>
        </is>
      </c>
      <c r="B16" s="93" t="inlineStr">
        <is>
          <t>wheelset</t>
        </is>
      </c>
      <c r="C16" s="93" t="inlineStr">
        <is>
          <t>Carbon Aero</t>
        </is>
      </c>
      <c r="D16" s="93" t="inlineStr">
        <is>
          <t>Zipp</t>
        </is>
      </c>
      <c r="E16" s="93" t="inlineStr">
        <is>
          <t>303 S</t>
        </is>
      </c>
      <c r="F16" s="93" t="inlineStr">
        <is>
          <t>40 mm carbon tubeless-ready</t>
        </is>
      </c>
      <c r="G16" s="93" t="inlineStr">
        <is>
          <t>WH-ZIP-303S</t>
        </is>
      </c>
      <c r="H16" s="232" t="n">
        <v>85000</v>
      </c>
      <c r="I16" s="188" t="n">
        <v>0</v>
      </c>
      <c r="J16" s="188" t="n">
        <v>1</v>
      </c>
      <c r="K16" s="93" t="inlineStr">
        <is>
          <t>No</t>
        </is>
      </c>
      <c r="L16" s="93" t="inlineStr">
        <is>
          <t>Yes</t>
        </is>
      </c>
      <c r="M16" s="93" t="inlineStr">
        <is>
          <t>No</t>
        </is>
      </c>
      <c r="N16" s="93" t="inlineStr">
        <is>
          <t>GitHub src/lib/data/inventory.ts</t>
        </is>
      </c>
      <c r="O16" s="93" t="inlineStr">
        <is>
          <t>Opening stock forced to 0; catalogue is not ledger truth</t>
        </is>
      </c>
      <c r="P16" s="188" t="n">
        <v>2</v>
      </c>
      <c r="Q16" s="188" t="n">
        <v>1</v>
      </c>
      <c r="R16" s="188" t="n">
        <v>1</v>
      </c>
      <c r="S16" s="188" t="n">
        <v>1</v>
      </c>
      <c r="T16" s="188" t="str"/>
      <c r="U16" s="93">
        <f>J16</f>
        <v/>
      </c>
      <c r="V16" s="93" t="n"/>
      <c r="W16" s="93" t="inlineStr">
        <is>
          <t>INR</t>
        </is>
      </c>
      <c r="X16" s="233" t="n"/>
      <c r="Y16" s="93" t="n"/>
      <c r="Z16" s="93" t="inlineStr">
        <is>
          <t>No</t>
        </is>
      </c>
      <c r="AA16" t="inlineStr">
        <is>
          <t>No</t>
        </is>
      </c>
      <c r="AB16" t="inlineStr">
        <is>
          <t>No</t>
        </is>
      </c>
    </row>
    <row r="17" ht="27.60000038146973" customHeight="1" s="88">
      <c r="A17" s="93" t="inlineStr">
        <is>
          <t>ws-carbon-50</t>
        </is>
      </c>
      <c r="B17" s="93" t="inlineStr">
        <is>
          <t>wheelset</t>
        </is>
      </c>
      <c r="C17" s="93" t="inlineStr">
        <is>
          <t>Carbon Aero</t>
        </is>
      </c>
      <c r="D17" s="93" t="inlineStr">
        <is>
          <t>3T</t>
        </is>
      </c>
      <c r="E17" s="93" t="inlineStr">
        <is>
          <t>Carbon CW-3T2</t>
        </is>
      </c>
      <c r="F17" s="93" t="inlineStr">
        <is>
          <t>50 mm carbon aero</t>
        </is>
      </c>
      <c r="G17" s="93" t="inlineStr">
        <is>
          <t>WH-CARB-50</t>
        </is>
      </c>
      <c r="H17" s="232" t="n">
        <v>110000</v>
      </c>
      <c r="I17" s="188" t="n">
        <v>0</v>
      </c>
      <c r="J17" s="188" t="n">
        <v>1</v>
      </c>
      <c r="K17" s="93" t="inlineStr">
        <is>
          <t>No</t>
        </is>
      </c>
      <c r="L17" s="93" t="inlineStr">
        <is>
          <t>Yes</t>
        </is>
      </c>
      <c r="M17" s="93" t="inlineStr">
        <is>
          <t>Yes</t>
        </is>
      </c>
      <c r="N17" s="93" t="inlineStr">
        <is>
          <t>GitHub src/lib/data/inventory.ts</t>
        </is>
      </c>
      <c r="O17" s="93" t="inlineStr">
        <is>
          <t>Opening stock forced to 0; catalogue is not ledger truth</t>
        </is>
      </c>
      <c r="P17" s="188" t="n">
        <v>2</v>
      </c>
      <c r="Q17" s="188" t="n">
        <v>1</v>
      </c>
      <c r="R17" s="188" t="n">
        <v>1</v>
      </c>
      <c r="S17" s="188" t="n">
        <v>1</v>
      </c>
      <c r="T17" s="188" t="str"/>
      <c r="U17" s="93">
        <f>J17</f>
        <v/>
      </c>
      <c r="V17" s="93" t="n"/>
      <c r="W17" s="93" t="inlineStr">
        <is>
          <t>INR</t>
        </is>
      </c>
      <c r="X17" s="233" t="n"/>
      <c r="Y17" s="93" t="n"/>
      <c r="Z17" s="93" t="inlineStr">
        <is>
          <t>No</t>
        </is>
      </c>
      <c r="AA17" t="inlineStr">
        <is>
          <t>No</t>
        </is>
      </c>
      <c r="AB17" t="inlineStr">
        <is>
          <t>No</t>
        </is>
      </c>
    </row>
    <row r="18" ht="27.60000038146973" customHeight="1" s="88">
      <c r="A18" s="93" t="inlineStr">
        <is>
          <t>ws-carbon-58</t>
        </is>
      </c>
      <c r="B18" s="93" t="inlineStr">
        <is>
          <t>wheelset</t>
        </is>
      </c>
      <c r="C18" s="93" t="inlineStr">
        <is>
          <t>Carbon Aero</t>
        </is>
      </c>
      <c r="D18" s="93" t="inlineStr">
        <is>
          <t>Magene</t>
        </is>
      </c>
      <c r="E18" s="93" t="inlineStr">
        <is>
          <t>EXAR Pro DB58</t>
        </is>
      </c>
      <c r="F18" s="93" t="inlineStr">
        <is>
          <t>58 mm carbon aero</t>
        </is>
      </c>
      <c r="G18" s="93" t="inlineStr">
        <is>
          <t>WH-CARB-58</t>
        </is>
      </c>
      <c r="H18" s="232" t="n">
        <v>125000</v>
      </c>
      <c r="I18" s="188" t="n">
        <v>0</v>
      </c>
      <c r="J18" s="188" t="n">
        <v>1</v>
      </c>
      <c r="K18" s="93" t="inlineStr">
        <is>
          <t>No</t>
        </is>
      </c>
      <c r="L18" s="93" t="inlineStr">
        <is>
          <t>Yes</t>
        </is>
      </c>
      <c r="M18" s="93" t="inlineStr">
        <is>
          <t>Yes</t>
        </is>
      </c>
      <c r="N18" s="93" t="inlineStr">
        <is>
          <t>GitHub src/lib/data/inventory.ts</t>
        </is>
      </c>
      <c r="O18" s="93" t="inlineStr">
        <is>
          <t>Opening stock forced to 0; catalogue is not ledger truth</t>
        </is>
      </c>
      <c r="P18" s="188" t="n">
        <v>2</v>
      </c>
      <c r="Q18" s="188" t="n">
        <v>1</v>
      </c>
      <c r="R18" s="188" t="n">
        <v>1</v>
      </c>
      <c r="S18" s="188" t="n">
        <v>1</v>
      </c>
      <c r="T18" s="188" t="str"/>
      <c r="U18" s="93">
        <f>J18</f>
        <v/>
      </c>
      <c r="V18" s="93" t="n"/>
      <c r="W18" s="93" t="inlineStr">
        <is>
          <t>INR</t>
        </is>
      </c>
      <c r="X18" s="233" t="n"/>
      <c r="Y18" s="93" t="n"/>
      <c r="Z18" s="93" t="inlineStr">
        <is>
          <t>No</t>
        </is>
      </c>
      <c r="AA18" t="inlineStr">
        <is>
          <t>No</t>
        </is>
      </c>
      <c r="AB18" t="inlineStr">
        <is>
          <t>No</t>
        </is>
      </c>
    </row>
    <row r="19" ht="27.60000038146973" customHeight="1" s="88">
      <c r="A19" s="93" t="inlineStr">
        <is>
          <t>ws-carbon-premium</t>
        </is>
      </c>
      <c r="B19" s="93" t="inlineStr">
        <is>
          <t>wheelset</t>
        </is>
      </c>
      <c r="C19" s="93" t="inlineStr">
        <is>
          <t>Carbon Aero</t>
        </is>
      </c>
      <c r="D19" s="93" t="inlineStr">
        <is>
          <t>DT Swiss</t>
        </is>
      </c>
      <c r="E19" s="93" t="inlineStr">
        <is>
          <t>ARC 1100</t>
        </is>
      </c>
      <c r="F19" s="93" t="inlineStr">
        <is>
          <t>50/55 mm premium aero</t>
        </is>
      </c>
      <c r="G19" s="93" t="inlineStr">
        <is>
          <t>WH-DTS-ARC1100</t>
        </is>
      </c>
      <c r="H19" s="232" t="n">
        <v>240000</v>
      </c>
      <c r="I19" s="188" t="n">
        <v>0</v>
      </c>
      <c r="J19" s="188" t="n">
        <v>1</v>
      </c>
      <c r="K19" s="93" t="inlineStr">
        <is>
          <t>No</t>
        </is>
      </c>
      <c r="L19" s="93" t="inlineStr">
        <is>
          <t>No</t>
        </is>
      </c>
      <c r="M19" s="93" t="inlineStr">
        <is>
          <t>Yes</t>
        </is>
      </c>
      <c r="N19" s="93" t="inlineStr">
        <is>
          <t>GitHub src/lib/data/inventory.ts</t>
        </is>
      </c>
      <c r="O19" s="93" t="inlineStr">
        <is>
          <t>Opening stock forced to 0; catalogue is not ledger truth</t>
        </is>
      </c>
      <c r="P19" s="188" t="n">
        <v>2</v>
      </c>
      <c r="Q19" s="188" t="n">
        <v>1</v>
      </c>
      <c r="R19" s="188" t="n">
        <v>1</v>
      </c>
      <c r="S19" s="188" t="n">
        <v>1</v>
      </c>
      <c r="T19" s="188" t="str"/>
      <c r="U19" s="93">
        <f>J19</f>
        <v/>
      </c>
      <c r="V19" s="93" t="n"/>
      <c r="W19" s="93" t="inlineStr">
        <is>
          <t>INR</t>
        </is>
      </c>
      <c r="X19" s="233" t="n"/>
      <c r="Y19" s="93" t="n"/>
      <c r="Z19" s="93" t="inlineStr">
        <is>
          <t>No</t>
        </is>
      </c>
      <c r="AA19" t="inlineStr">
        <is>
          <t>No</t>
        </is>
      </c>
      <c r="AB19" t="inlineStr">
        <is>
          <t>No</t>
        </is>
      </c>
    </row>
    <row r="20" ht="27.60000038146973" customHeight="1" s="88">
      <c r="A20" s="93" t="inlineStr">
        <is>
          <t>ws-carbon-flagship</t>
        </is>
      </c>
      <c r="B20" s="93" t="inlineStr">
        <is>
          <t>wheelset</t>
        </is>
      </c>
      <c r="C20" s="93" t="inlineStr">
        <is>
          <t>Carbon Aero</t>
        </is>
      </c>
      <c r="D20" s="93" t="inlineStr">
        <is>
          <t>ENVE</t>
        </is>
      </c>
      <c r="E20" s="93" t="inlineStr">
        <is>
          <t>SES 4.5</t>
        </is>
      </c>
      <c r="F20" s="93" t="inlineStr">
        <is>
          <t>Premium carbon aero</t>
        </is>
      </c>
      <c r="G20" s="93" t="inlineStr">
        <is>
          <t>WH-ENVE-SES45</t>
        </is>
      </c>
      <c r="H20" s="232" t="n">
        <v>300000</v>
      </c>
      <c r="I20" s="188" t="n">
        <v>0</v>
      </c>
      <c r="J20" s="188" t="n">
        <v>1</v>
      </c>
      <c r="K20" s="93" t="inlineStr">
        <is>
          <t>No</t>
        </is>
      </c>
      <c r="L20" s="93" t="inlineStr">
        <is>
          <t>No</t>
        </is>
      </c>
      <c r="M20" s="93" t="inlineStr">
        <is>
          <t>Yes</t>
        </is>
      </c>
      <c r="N20" s="93" t="inlineStr">
        <is>
          <t>GitHub src/lib/data/inventory.ts</t>
        </is>
      </c>
      <c r="O20" s="93" t="inlineStr">
        <is>
          <t>Opening stock forced to 0; catalogue is not ledger truth</t>
        </is>
      </c>
      <c r="P20" s="188" t="n">
        <v>2</v>
      </c>
      <c r="Q20" s="188" t="n">
        <v>1</v>
      </c>
      <c r="R20" s="188" t="n">
        <v>1</v>
      </c>
      <c r="S20" s="188" t="n">
        <v>1</v>
      </c>
      <c r="T20" s="188" t="str"/>
      <c r="U20" s="93">
        <f>J20</f>
        <v/>
      </c>
      <c r="V20" s="93" t="n"/>
      <c r="W20" s="93" t="inlineStr">
        <is>
          <t>INR</t>
        </is>
      </c>
      <c r="X20" s="233" t="n"/>
      <c r="Y20" s="93" t="n"/>
      <c r="Z20" s="93" t="inlineStr">
        <is>
          <t>No</t>
        </is>
      </c>
      <c r="AA20" t="inlineStr">
        <is>
          <t>No</t>
        </is>
      </c>
      <c r="AB20" t="inlineStr">
        <is>
          <t>No</t>
        </is>
      </c>
    </row>
    <row r="21" ht="27.60000038146973" customHeight="1" s="88">
      <c r="A21" s="93" t="inlineStr">
        <is>
          <t>ty-ultra-sport</t>
        </is>
      </c>
      <c r="B21" s="93" t="inlineStr">
        <is>
          <t>tyre</t>
        </is>
      </c>
      <c r="C21" s="93" t="inlineStr">
        <is>
          <t>Training</t>
        </is>
      </c>
      <c r="D21" s="93" t="inlineStr">
        <is>
          <t>Continental</t>
        </is>
      </c>
      <c r="E21" s="93" t="inlineStr">
        <is>
          <t>Ultra Sport III</t>
        </is>
      </c>
      <c r="F21" s="93" t="inlineStr">
        <is>
          <t>Training · pair</t>
        </is>
      </c>
      <c r="G21" s="93" t="inlineStr">
        <is>
          <t>TY-ULT-SPORT-PAIR</t>
        </is>
      </c>
      <c r="H21" s="232" t="n">
        <v>7590</v>
      </c>
      <c r="I21" s="188" t="n">
        <v>0</v>
      </c>
      <c r="J21" s="188" t="n">
        <v>3</v>
      </c>
      <c r="K21" s="93" t="inlineStr">
        <is>
          <t>Yes</t>
        </is>
      </c>
      <c r="L21" s="93" t="inlineStr">
        <is>
          <t>No</t>
        </is>
      </c>
      <c r="M21" s="93" t="inlineStr">
        <is>
          <t>No</t>
        </is>
      </c>
      <c r="N21" s="93" t="inlineStr">
        <is>
          <t>GitHub src/lib/data/inventory.ts</t>
        </is>
      </c>
      <c r="O21" s="93" t="inlineStr">
        <is>
          <t>Opening stock forced to 0; catalogue is not ledger truth</t>
        </is>
      </c>
      <c r="P21" s="188" t="n">
        <v>2</v>
      </c>
      <c r="Q21" s="188" t="n">
        <v>1</v>
      </c>
      <c r="R21" s="188" t="n">
        <v>1</v>
      </c>
      <c r="S21" s="188" t="n">
        <v>1</v>
      </c>
      <c r="T21" s="188" t="str"/>
      <c r="U21" s="93">
        <f>J21</f>
        <v/>
      </c>
      <c r="V21" s="93" t="n"/>
      <c r="W21" s="93" t="inlineStr">
        <is>
          <t>INR</t>
        </is>
      </c>
      <c r="X21" s="233" t="n"/>
      <c r="Y21" s="93" t="n"/>
      <c r="Z21" s="93" t="inlineStr">
        <is>
          <t>No</t>
        </is>
      </c>
      <c r="AA21" t="inlineStr">
        <is>
          <t>No</t>
        </is>
      </c>
      <c r="AB21" t="inlineStr">
        <is>
          <t>No</t>
        </is>
      </c>
    </row>
    <row r="22" ht="27.60000038146973" customHeight="1" s="88">
      <c r="A22" s="93" t="inlineStr">
        <is>
          <t>ty-rubino-pro</t>
        </is>
      </c>
      <c r="B22" s="93" t="inlineStr">
        <is>
          <t>tyre</t>
        </is>
      </c>
      <c r="C22" s="93" t="inlineStr">
        <is>
          <t>Endurance</t>
        </is>
      </c>
      <c r="D22" s="93" t="inlineStr">
        <is>
          <t>Vittoria</t>
        </is>
      </c>
      <c r="E22" s="93" t="inlineStr">
        <is>
          <t>Rubino Pro IV G2.0</t>
        </is>
      </c>
      <c r="F22" s="93" t="inlineStr">
        <is>
          <t>Endurance · pair</t>
        </is>
      </c>
      <c r="G22" s="93" t="inlineStr">
        <is>
          <t>TY-RUBINO-PRO-PAIR</t>
        </is>
      </c>
      <c r="H22" s="232" t="n">
        <v>9800</v>
      </c>
      <c r="I22" s="188" t="n">
        <v>0</v>
      </c>
      <c r="J22" s="188" t="n">
        <v>3</v>
      </c>
      <c r="K22" s="93" t="inlineStr">
        <is>
          <t>Yes</t>
        </is>
      </c>
      <c r="L22" s="93" t="inlineStr">
        <is>
          <t>Yes</t>
        </is>
      </c>
      <c r="M22" s="93" t="inlineStr">
        <is>
          <t>No</t>
        </is>
      </c>
      <c r="N22" s="93" t="inlineStr">
        <is>
          <t>GitHub src/lib/data/inventory.ts</t>
        </is>
      </c>
      <c r="O22" s="93" t="inlineStr">
        <is>
          <t>Opening stock forced to 0; catalogue is not ledger truth</t>
        </is>
      </c>
      <c r="P22" s="188" t="n">
        <v>2</v>
      </c>
      <c r="Q22" s="188" t="n">
        <v>1</v>
      </c>
      <c r="R22" s="188" t="n">
        <v>1</v>
      </c>
      <c r="S22" s="188" t="n">
        <v>1</v>
      </c>
      <c r="T22" s="188" t="str"/>
      <c r="U22" s="93">
        <f>J22</f>
        <v/>
      </c>
      <c r="V22" s="93" t="n"/>
      <c r="W22" s="93" t="inlineStr">
        <is>
          <t>INR</t>
        </is>
      </c>
      <c r="X22" s="233" t="n"/>
      <c r="Y22" s="93" t="n"/>
      <c r="Z22" s="93" t="inlineStr">
        <is>
          <t>No</t>
        </is>
      </c>
      <c r="AA22" t="inlineStr">
        <is>
          <t>No</t>
        </is>
      </c>
      <c r="AB22" t="inlineStr">
        <is>
          <t>No</t>
        </is>
      </c>
    </row>
    <row r="23" ht="27.60000038146973" customHeight="1" s="88">
      <c r="A23" s="93" t="inlineStr">
        <is>
          <t>ty-gp5000</t>
        </is>
      </c>
      <c r="B23" s="93" t="inlineStr">
        <is>
          <t>tyre</t>
        </is>
      </c>
      <c r="C23" s="93" t="inlineStr">
        <is>
          <t>Performance</t>
        </is>
      </c>
      <c r="D23" s="93" t="inlineStr">
        <is>
          <t>Continental</t>
        </is>
      </c>
      <c r="E23" s="93" t="inlineStr">
        <is>
          <t>Grand Prix 5000</t>
        </is>
      </c>
      <c r="F23" s="93" t="inlineStr">
        <is>
          <t>Performance · pair</t>
        </is>
      </c>
      <c r="G23" s="93" t="inlineStr">
        <is>
          <t>TY-GP5000-PAIR</t>
        </is>
      </c>
      <c r="H23" s="232" t="n">
        <v>17790</v>
      </c>
      <c r="I23" s="188" t="n">
        <v>0</v>
      </c>
      <c r="J23" s="188" t="n">
        <v>2</v>
      </c>
      <c r="K23" s="93" t="inlineStr">
        <is>
          <t>No</t>
        </is>
      </c>
      <c r="L23" s="93" t="inlineStr">
        <is>
          <t>Yes</t>
        </is>
      </c>
      <c r="M23" s="93" t="inlineStr">
        <is>
          <t>Yes</t>
        </is>
      </c>
      <c r="N23" s="93" t="inlineStr">
        <is>
          <t>GitHub src/lib/data/inventory.ts</t>
        </is>
      </c>
      <c r="O23" s="93" t="inlineStr">
        <is>
          <t>Opening stock forced to 0; catalogue is not ledger truth</t>
        </is>
      </c>
      <c r="P23" s="188" t="n">
        <v>2</v>
      </c>
      <c r="Q23" s="188" t="n">
        <v>1</v>
      </c>
      <c r="R23" s="188" t="n">
        <v>1</v>
      </c>
      <c r="S23" s="188" t="n">
        <v>1</v>
      </c>
      <c r="T23" s="188" t="str"/>
      <c r="U23" s="93">
        <f>J23</f>
        <v/>
      </c>
      <c r="V23" s="93" t="n"/>
      <c r="W23" s="93" t="inlineStr">
        <is>
          <t>INR</t>
        </is>
      </c>
      <c r="X23" s="233" t="n"/>
      <c r="Y23" s="93" t="n"/>
      <c r="Z23" s="93" t="inlineStr">
        <is>
          <t>No</t>
        </is>
      </c>
      <c r="AA23" t="inlineStr">
        <is>
          <t>No</t>
        </is>
      </c>
      <c r="AB23" t="inlineStr">
        <is>
          <t>No</t>
        </is>
      </c>
    </row>
    <row r="24" ht="27.60000038146973" customHeight="1" s="88">
      <c r="A24" s="93" t="inlineStr">
        <is>
          <t>ty-corsa-pro</t>
        </is>
      </c>
      <c r="B24" s="93" t="inlineStr">
        <is>
          <t>tyre</t>
        </is>
      </c>
      <c r="C24" s="93" t="inlineStr">
        <is>
          <t>Race</t>
        </is>
      </c>
      <c r="D24" s="93" t="inlineStr">
        <is>
          <t>Vittoria</t>
        </is>
      </c>
      <c r="E24" s="93" t="inlineStr">
        <is>
          <t>Corsa Pro G2.0</t>
        </is>
      </c>
      <c r="F24" s="93" t="inlineStr">
        <is>
          <t>Race · pair</t>
        </is>
      </c>
      <c r="G24" s="93" t="inlineStr">
        <is>
          <t>TY-CORSA-PRO-PAIR</t>
        </is>
      </c>
      <c r="H24" s="232" t="n">
        <v>19000</v>
      </c>
      <c r="I24" s="188" t="n">
        <v>0</v>
      </c>
      <c r="J24" s="188" t="n">
        <v>1</v>
      </c>
      <c r="K24" s="93" t="inlineStr">
        <is>
          <t>No</t>
        </is>
      </c>
      <c r="L24" s="93" t="inlineStr">
        <is>
          <t>No</t>
        </is>
      </c>
      <c r="M24" s="93" t="inlineStr">
        <is>
          <t>Yes</t>
        </is>
      </c>
      <c r="N24" s="93" t="inlineStr">
        <is>
          <t>GitHub src/lib/data/inventory.ts</t>
        </is>
      </c>
      <c r="O24" s="93" t="inlineStr">
        <is>
          <t>Opening stock forced to 0; catalogue is not ledger truth</t>
        </is>
      </c>
      <c r="P24" s="188" t="n">
        <v>2</v>
      </c>
      <c r="Q24" s="188" t="n">
        <v>1</v>
      </c>
      <c r="R24" s="188" t="n">
        <v>1</v>
      </c>
      <c r="S24" s="188" t="n">
        <v>1</v>
      </c>
      <c r="T24" s="188" t="str"/>
      <c r="U24" s="93">
        <f>J24</f>
        <v/>
      </c>
      <c r="V24" s="93" t="n"/>
      <c r="W24" s="93" t="inlineStr">
        <is>
          <t>INR</t>
        </is>
      </c>
      <c r="X24" s="233" t="n"/>
      <c r="Y24" s="93" t="n"/>
      <c r="Z24" s="93" t="inlineStr">
        <is>
          <t>No</t>
        </is>
      </c>
      <c r="AA24" t="inlineStr">
        <is>
          <t>No</t>
        </is>
      </c>
      <c r="AB24" t="inlineStr">
        <is>
          <t>No</t>
        </is>
      </c>
    </row>
    <row r="25" ht="27.60000038146973" customHeight="1" s="88">
      <c r="A25" s="93" t="inlineStr">
        <is>
          <t>hb-alloy-400</t>
        </is>
      </c>
      <c r="B25" s="93" t="inlineStr">
        <is>
          <t>handlebar</t>
        </is>
      </c>
      <c r="C25" s="93" t="inlineStr">
        <is>
          <t>Aluminium Drop</t>
        </is>
      </c>
      <c r="D25" s="93" t="inlineStr">
        <is>
          <t>VYNDI</t>
        </is>
      </c>
      <c r="E25" s="93" t="inlineStr">
        <is>
          <t>Alloy Drop 400</t>
        </is>
      </c>
      <c r="F25" s="93" t="inlineStr">
        <is>
          <t>400 mm · 31.8 clamp</t>
        </is>
      </c>
      <c r="G25" s="93" t="inlineStr">
        <is>
          <t>HB-AL-400</t>
        </is>
      </c>
      <c r="H25" s="232" t="n">
        <v>4500</v>
      </c>
      <c r="I25" s="188" t="n">
        <v>0</v>
      </c>
      <c r="J25" s="188" t="n">
        <v>3</v>
      </c>
      <c r="K25" s="93" t="inlineStr">
        <is>
          <t>Yes</t>
        </is>
      </c>
      <c r="L25" s="93" t="inlineStr">
        <is>
          <t>No</t>
        </is>
      </c>
      <c r="M25" s="93" t="inlineStr">
        <is>
          <t>No</t>
        </is>
      </c>
      <c r="N25" s="93" t="inlineStr">
        <is>
          <t>GitHub src/lib/data/inventory.ts</t>
        </is>
      </c>
      <c r="O25" s="93" t="inlineStr">
        <is>
          <t>Opening stock forced to 0; catalogue is not ledger truth</t>
        </is>
      </c>
      <c r="P25" s="188" t="n">
        <v>2</v>
      </c>
      <c r="Q25" s="188" t="n">
        <v>1</v>
      </c>
      <c r="R25" s="188" t="n">
        <v>1</v>
      </c>
      <c r="S25" s="188" t="n">
        <v>1</v>
      </c>
      <c r="T25" s="188" t="str"/>
      <c r="U25" s="93">
        <f>J25</f>
        <v/>
      </c>
      <c r="V25" s="93" t="n"/>
      <c r="W25" s="93" t="inlineStr">
        <is>
          <t>INR</t>
        </is>
      </c>
      <c r="X25" s="233" t="n"/>
      <c r="Y25" s="93" t="n"/>
      <c r="Z25" s="93" t="inlineStr">
        <is>
          <t>No</t>
        </is>
      </c>
      <c r="AA25" t="inlineStr">
        <is>
          <t>No</t>
        </is>
      </c>
      <c r="AB25" t="inlineStr">
        <is>
          <t>No</t>
        </is>
      </c>
    </row>
    <row r="26" ht="27.60000038146973" customHeight="1" s="88">
      <c r="A26" s="93" t="inlineStr">
        <is>
          <t>hb-alloy-420</t>
        </is>
      </c>
      <c r="B26" s="93" t="inlineStr">
        <is>
          <t>handlebar</t>
        </is>
      </c>
      <c r="C26" s="93" t="inlineStr">
        <is>
          <t>Aluminium Drop</t>
        </is>
      </c>
      <c r="D26" s="93" t="inlineStr">
        <is>
          <t>VYNDI</t>
        </is>
      </c>
      <c r="E26" s="93" t="inlineStr">
        <is>
          <t>Alloy Drop 420</t>
        </is>
      </c>
      <c r="F26" s="93" t="inlineStr">
        <is>
          <t>420 mm · 31.8 clamp</t>
        </is>
      </c>
      <c r="G26" s="93" t="inlineStr">
        <is>
          <t>HB-AL-420</t>
        </is>
      </c>
      <c r="H26" s="232" t="n">
        <v>4500</v>
      </c>
      <c r="I26" s="188" t="n">
        <v>0</v>
      </c>
      <c r="J26" s="188" t="n">
        <v>3</v>
      </c>
      <c r="K26" s="93" t="inlineStr">
        <is>
          <t>Yes</t>
        </is>
      </c>
      <c r="L26" s="93" t="inlineStr">
        <is>
          <t>Yes</t>
        </is>
      </c>
      <c r="M26" s="93" t="inlineStr">
        <is>
          <t>No</t>
        </is>
      </c>
      <c r="N26" s="93" t="inlineStr">
        <is>
          <t>GitHub src/lib/data/inventory.ts</t>
        </is>
      </c>
      <c r="O26" s="93" t="inlineStr">
        <is>
          <t>Opening stock forced to 0; catalogue is not ledger truth</t>
        </is>
      </c>
      <c r="P26" s="188" t="n">
        <v>2</v>
      </c>
      <c r="Q26" s="188" t="n">
        <v>1</v>
      </c>
      <c r="R26" s="188" t="n">
        <v>1</v>
      </c>
      <c r="S26" s="188" t="n">
        <v>1</v>
      </c>
      <c r="T26" s="188" t="str"/>
      <c r="U26" s="93">
        <f>J26</f>
        <v/>
      </c>
      <c r="V26" s="93" t="n"/>
      <c r="W26" s="93" t="inlineStr">
        <is>
          <t>INR</t>
        </is>
      </c>
      <c r="X26" s="233" t="n"/>
      <c r="Y26" s="93" t="n"/>
      <c r="Z26" s="93" t="inlineStr">
        <is>
          <t>No</t>
        </is>
      </c>
      <c r="AA26" t="inlineStr">
        <is>
          <t>No</t>
        </is>
      </c>
      <c r="AB26" t="inlineStr">
        <is>
          <t>No</t>
        </is>
      </c>
    </row>
    <row r="27" ht="27.60000038146973" customHeight="1" s="88">
      <c r="A27" s="93" t="inlineStr">
        <is>
          <t>hb-alloy-440</t>
        </is>
      </c>
      <c r="B27" s="93" t="inlineStr">
        <is>
          <t>handlebar</t>
        </is>
      </c>
      <c r="C27" s="93" t="inlineStr">
        <is>
          <t>Aluminium Drop</t>
        </is>
      </c>
      <c r="D27" s="93" t="inlineStr">
        <is>
          <t>VYNDI</t>
        </is>
      </c>
      <c r="E27" s="93" t="inlineStr">
        <is>
          <t>Alloy Drop 440</t>
        </is>
      </c>
      <c r="F27" s="93" t="inlineStr">
        <is>
          <t>440 mm · 31.8 clamp</t>
        </is>
      </c>
      <c r="G27" s="93" t="inlineStr">
        <is>
          <t>HB-AL-440</t>
        </is>
      </c>
      <c r="H27" s="232" t="n">
        <v>4500</v>
      </c>
      <c r="I27" s="188" t="n">
        <v>0</v>
      </c>
      <c r="J27" s="188" t="n">
        <v>2</v>
      </c>
      <c r="K27" s="93" t="inlineStr">
        <is>
          <t>Yes</t>
        </is>
      </c>
      <c r="L27" s="93" t="inlineStr">
        <is>
          <t>Yes</t>
        </is>
      </c>
      <c r="M27" s="93" t="inlineStr">
        <is>
          <t>No</t>
        </is>
      </c>
      <c r="N27" s="93" t="inlineStr">
        <is>
          <t>GitHub src/lib/data/inventory.ts</t>
        </is>
      </c>
      <c r="O27" s="93" t="inlineStr">
        <is>
          <t>Opening stock forced to 0; catalogue is not ledger truth</t>
        </is>
      </c>
      <c r="P27" s="188" t="n">
        <v>2</v>
      </c>
      <c r="Q27" s="188" t="n">
        <v>1</v>
      </c>
      <c r="R27" s="188" t="n">
        <v>1</v>
      </c>
      <c r="S27" s="188" t="n">
        <v>1</v>
      </c>
      <c r="T27" s="188" t="str"/>
      <c r="U27" s="93">
        <f>J27</f>
        <v/>
      </c>
      <c r="V27" s="93" t="n"/>
      <c r="W27" s="93" t="inlineStr">
        <is>
          <t>INR</t>
        </is>
      </c>
      <c r="X27" s="233" t="n"/>
      <c r="Y27" s="93" t="n"/>
      <c r="Z27" s="93" t="inlineStr">
        <is>
          <t>No</t>
        </is>
      </c>
      <c r="AA27" t="inlineStr">
        <is>
          <t>No</t>
        </is>
      </c>
      <c r="AB27" t="inlineStr">
        <is>
          <t>No</t>
        </is>
      </c>
    </row>
    <row r="28" ht="27.60000038146973" customHeight="1" s="88">
      <c r="A28" s="93" t="inlineStr">
        <is>
          <t>hb-carbon-400</t>
        </is>
      </c>
      <c r="B28" s="93" t="inlineStr">
        <is>
          <t>handlebar</t>
        </is>
      </c>
      <c r="C28" s="93" t="inlineStr">
        <is>
          <t>Carbon Drop</t>
        </is>
      </c>
      <c r="D28" s="93" t="inlineStr">
        <is>
          <t>VYNDI</t>
        </is>
      </c>
      <c r="E28" s="93" t="inlineStr">
        <is>
          <t>Carbon Aero 400</t>
        </is>
      </c>
      <c r="F28" s="93" t="inlineStr">
        <is>
          <t>400 mm · integrated cable-ready</t>
        </is>
      </c>
      <c r="G28" s="93" t="inlineStr">
        <is>
          <t>HB-CB-400</t>
        </is>
      </c>
      <c r="H28" s="232" t="n">
        <v>18000</v>
      </c>
      <c r="I28" s="188" t="n">
        <v>0</v>
      </c>
      <c r="J28" s="188" t="n">
        <v>2</v>
      </c>
      <c r="K28" s="93" t="inlineStr">
        <is>
          <t>No</t>
        </is>
      </c>
      <c r="L28" s="93" t="inlineStr">
        <is>
          <t>Yes</t>
        </is>
      </c>
      <c r="M28" s="93" t="inlineStr">
        <is>
          <t>Yes</t>
        </is>
      </c>
      <c r="N28" s="93" t="inlineStr">
        <is>
          <t>GitHub src/lib/data/inventory.ts</t>
        </is>
      </c>
      <c r="O28" s="93" t="inlineStr">
        <is>
          <t>Opening stock forced to 0; catalogue is not ledger truth</t>
        </is>
      </c>
      <c r="P28" s="188" t="n">
        <v>2</v>
      </c>
      <c r="Q28" s="188" t="n">
        <v>1</v>
      </c>
      <c r="R28" s="188" t="n">
        <v>1</v>
      </c>
      <c r="S28" s="188" t="n">
        <v>1</v>
      </c>
      <c r="T28" s="188" t="str"/>
      <c r="U28" s="93">
        <f>J28</f>
        <v/>
      </c>
      <c r="V28" s="93" t="n"/>
      <c r="W28" s="93" t="inlineStr">
        <is>
          <t>INR</t>
        </is>
      </c>
      <c r="X28" s="233" t="n"/>
      <c r="Y28" s="93" t="n"/>
      <c r="Z28" s="93" t="inlineStr">
        <is>
          <t>No</t>
        </is>
      </c>
      <c r="AA28" t="inlineStr">
        <is>
          <t>No</t>
        </is>
      </c>
      <c r="AB28" t="inlineStr">
        <is>
          <t>No</t>
        </is>
      </c>
    </row>
    <row r="29" ht="27.60000038146973" customHeight="1" s="88">
      <c r="A29" s="93" t="inlineStr">
        <is>
          <t>hb-carbon-420</t>
        </is>
      </c>
      <c r="B29" s="93" t="inlineStr">
        <is>
          <t>handlebar</t>
        </is>
      </c>
      <c r="C29" s="93" t="inlineStr">
        <is>
          <t>Carbon Drop</t>
        </is>
      </c>
      <c r="D29" s="93" t="inlineStr">
        <is>
          <t>VYNDI</t>
        </is>
      </c>
      <c r="E29" s="93" t="inlineStr">
        <is>
          <t>Carbon Aero 420</t>
        </is>
      </c>
      <c r="F29" s="93" t="inlineStr">
        <is>
          <t>420 mm · integrated cable-ready</t>
        </is>
      </c>
      <c r="G29" s="93" t="inlineStr">
        <is>
          <t>HB-CB-420</t>
        </is>
      </c>
      <c r="H29" s="232" t="n">
        <v>18000</v>
      </c>
      <c r="I29" s="188" t="n">
        <v>0</v>
      </c>
      <c r="J29" s="188" t="n">
        <v>2</v>
      </c>
      <c r="K29" s="93" t="inlineStr">
        <is>
          <t>No</t>
        </is>
      </c>
      <c r="L29" s="93" t="inlineStr">
        <is>
          <t>Yes</t>
        </is>
      </c>
      <c r="M29" s="93" t="inlineStr">
        <is>
          <t>Yes</t>
        </is>
      </c>
      <c r="N29" s="93" t="inlineStr">
        <is>
          <t>GitHub src/lib/data/inventory.ts</t>
        </is>
      </c>
      <c r="O29" s="93" t="inlineStr">
        <is>
          <t>Opening stock forced to 0; catalogue is not ledger truth</t>
        </is>
      </c>
      <c r="P29" s="188" t="n">
        <v>2</v>
      </c>
      <c r="Q29" s="188" t="n">
        <v>1</v>
      </c>
      <c r="R29" s="188" t="n">
        <v>1</v>
      </c>
      <c r="S29" s="188" t="n">
        <v>1</v>
      </c>
      <c r="T29" s="188" t="str"/>
      <c r="U29" s="93">
        <f>J29</f>
        <v/>
      </c>
      <c r="V29" s="93" t="n"/>
      <c r="W29" s="93" t="inlineStr">
        <is>
          <t>INR</t>
        </is>
      </c>
      <c r="X29" s="233" t="n"/>
      <c r="Y29" s="93" t="n"/>
      <c r="Z29" s="93" t="inlineStr">
        <is>
          <t>No</t>
        </is>
      </c>
      <c r="AA29" t="inlineStr">
        <is>
          <t>No</t>
        </is>
      </c>
      <c r="AB29" t="inlineStr">
        <is>
          <t>No</t>
        </is>
      </c>
    </row>
    <row r="30" ht="27.60000038146973" customHeight="1" s="88">
      <c r="A30" s="93" t="inlineStr">
        <is>
          <t>hb-carbon-440</t>
        </is>
      </c>
      <c r="B30" s="93" t="inlineStr">
        <is>
          <t>handlebar</t>
        </is>
      </c>
      <c r="C30" s="93" t="inlineStr">
        <is>
          <t>Carbon Drop</t>
        </is>
      </c>
      <c r="D30" s="93" t="inlineStr">
        <is>
          <t>VYNDI</t>
        </is>
      </c>
      <c r="E30" s="93" t="inlineStr">
        <is>
          <t>Carbon Aero 440</t>
        </is>
      </c>
      <c r="F30" s="93" t="inlineStr">
        <is>
          <t>440 mm · integrated cable-ready</t>
        </is>
      </c>
      <c r="G30" s="93" t="inlineStr">
        <is>
          <t>HB-CB-440</t>
        </is>
      </c>
      <c r="H30" s="232" t="n">
        <v>18000</v>
      </c>
      <c r="I30" s="188" t="n">
        <v>0</v>
      </c>
      <c r="J30" s="188" t="n">
        <v>1</v>
      </c>
      <c r="K30" s="93" t="inlineStr">
        <is>
          <t>No</t>
        </is>
      </c>
      <c r="L30" s="93" t="inlineStr">
        <is>
          <t>Yes</t>
        </is>
      </c>
      <c r="M30" s="93" t="inlineStr">
        <is>
          <t>Yes</t>
        </is>
      </c>
      <c r="N30" s="93" t="inlineStr">
        <is>
          <t>GitHub src/lib/data/inventory.ts</t>
        </is>
      </c>
      <c r="O30" s="93" t="inlineStr">
        <is>
          <t>Opening stock forced to 0; catalogue is not ledger truth</t>
        </is>
      </c>
      <c r="P30" s="188" t="n">
        <v>2</v>
      </c>
      <c r="Q30" s="188" t="n">
        <v>1</v>
      </c>
      <c r="R30" s="188" t="n">
        <v>1</v>
      </c>
      <c r="S30" s="188" t="n">
        <v>1</v>
      </c>
      <c r="T30" s="188" t="str"/>
      <c r="U30" s="93">
        <f>J30</f>
        <v/>
      </c>
      <c r="V30" s="93" t="n"/>
      <c r="W30" s="93" t="inlineStr">
        <is>
          <t>INR</t>
        </is>
      </c>
      <c r="X30" s="233" t="n"/>
      <c r="Y30" s="93" t="n"/>
      <c r="Z30" s="93" t="inlineStr">
        <is>
          <t>No</t>
        </is>
      </c>
      <c r="AA30" t="inlineStr">
        <is>
          <t>No</t>
        </is>
      </c>
      <c r="AB30" t="inlineStr">
        <is>
          <t>No</t>
        </is>
      </c>
    </row>
    <row r="31" ht="27.60000038146973" customHeight="1" s="88">
      <c r="A31" s="93" t="inlineStr">
        <is>
          <t>stem-80</t>
        </is>
      </c>
      <c r="B31" s="93" t="inlineStr">
        <is>
          <t>stem</t>
        </is>
      </c>
      <c r="C31" s="93" t="inlineStr">
        <is>
          <t>Aluminium</t>
        </is>
      </c>
      <c r="D31" s="93" t="inlineStr">
        <is>
          <t>VYNDI</t>
        </is>
      </c>
      <c r="E31" s="93" t="inlineStr">
        <is>
          <t>Alloy Stem 80</t>
        </is>
      </c>
      <c r="F31" s="93" t="inlineStr">
        <is>
          <t>80 mm · ±6°</t>
        </is>
      </c>
      <c r="G31" s="93" t="inlineStr">
        <is>
          <t>ST-AL-080</t>
        </is>
      </c>
      <c r="H31" s="232" t="n">
        <v>3500</v>
      </c>
      <c r="I31" s="188" t="n">
        <v>0</v>
      </c>
      <c r="J31" s="188" t="n">
        <v>2</v>
      </c>
      <c r="K31" s="93" t="inlineStr">
        <is>
          <t>Yes</t>
        </is>
      </c>
      <c r="L31" s="93" t="inlineStr">
        <is>
          <t>Yes</t>
        </is>
      </c>
      <c r="M31" s="93" t="inlineStr">
        <is>
          <t>No</t>
        </is>
      </c>
      <c r="N31" s="93" t="inlineStr">
        <is>
          <t>GitHub src/lib/data/inventory.ts</t>
        </is>
      </c>
      <c r="O31" s="93" t="inlineStr">
        <is>
          <t>Opening stock forced to 0; catalogue is not ledger truth</t>
        </is>
      </c>
      <c r="P31" s="188" t="n">
        <v>2</v>
      </c>
      <c r="Q31" s="188" t="n">
        <v>1</v>
      </c>
      <c r="R31" s="188" t="n">
        <v>1</v>
      </c>
      <c r="S31" s="188" t="n">
        <v>1</v>
      </c>
      <c r="T31" s="188" t="str"/>
      <c r="U31" s="93">
        <f>J31</f>
        <v/>
      </c>
      <c r="V31" s="93" t="n"/>
      <c r="W31" s="93" t="inlineStr">
        <is>
          <t>INR</t>
        </is>
      </c>
      <c r="X31" s="233" t="n"/>
      <c r="Y31" s="93" t="n"/>
      <c r="Z31" s="93" t="inlineStr">
        <is>
          <t>No</t>
        </is>
      </c>
      <c r="AA31" t="inlineStr">
        <is>
          <t>No</t>
        </is>
      </c>
      <c r="AB31" t="inlineStr">
        <is>
          <t>No</t>
        </is>
      </c>
    </row>
    <row r="32" ht="27.60000038146973" customHeight="1" s="88">
      <c r="A32" s="93" t="inlineStr">
        <is>
          <t>stem-90</t>
        </is>
      </c>
      <c r="B32" s="93" t="inlineStr">
        <is>
          <t>stem</t>
        </is>
      </c>
      <c r="C32" s="93" t="inlineStr">
        <is>
          <t>Aluminium</t>
        </is>
      </c>
      <c r="D32" s="93" t="inlineStr">
        <is>
          <t>VYNDI</t>
        </is>
      </c>
      <c r="E32" s="93" t="inlineStr">
        <is>
          <t>Alloy Stem 90</t>
        </is>
      </c>
      <c r="F32" s="93" t="inlineStr">
        <is>
          <t>90 mm · ±6°</t>
        </is>
      </c>
      <c r="G32" s="93" t="inlineStr">
        <is>
          <t>ST-AL-090</t>
        </is>
      </c>
      <c r="H32" s="232" t="n">
        <v>3500</v>
      </c>
      <c r="I32" s="188" t="n">
        <v>0</v>
      </c>
      <c r="J32" s="188" t="n">
        <v>2</v>
      </c>
      <c r="K32" s="93" t="inlineStr">
        <is>
          <t>Yes</t>
        </is>
      </c>
      <c r="L32" s="93" t="inlineStr">
        <is>
          <t>Yes</t>
        </is>
      </c>
      <c r="M32" s="93" t="inlineStr">
        <is>
          <t>No</t>
        </is>
      </c>
      <c r="N32" s="93" t="inlineStr">
        <is>
          <t>GitHub src/lib/data/inventory.ts</t>
        </is>
      </c>
      <c r="O32" s="93" t="inlineStr">
        <is>
          <t>Opening stock forced to 0; catalogue is not ledger truth</t>
        </is>
      </c>
      <c r="P32" s="188" t="n">
        <v>2</v>
      </c>
      <c r="Q32" s="188" t="n">
        <v>1</v>
      </c>
      <c r="R32" s="188" t="n">
        <v>1</v>
      </c>
      <c r="S32" s="188" t="n">
        <v>1</v>
      </c>
      <c r="T32" s="188" t="str"/>
      <c r="U32" s="93">
        <f>J32</f>
        <v/>
      </c>
      <c r="V32" s="93" t="n"/>
      <c r="W32" s="93" t="inlineStr">
        <is>
          <t>INR</t>
        </is>
      </c>
      <c r="X32" s="233" t="n"/>
      <c r="Y32" s="93" t="n"/>
      <c r="Z32" s="93" t="inlineStr">
        <is>
          <t>No</t>
        </is>
      </c>
      <c r="AA32" t="inlineStr">
        <is>
          <t>No</t>
        </is>
      </c>
      <c r="AB32" t="inlineStr">
        <is>
          <t>No</t>
        </is>
      </c>
    </row>
    <row r="33" ht="27.60000038146973" customHeight="1" s="88">
      <c r="A33" s="93" t="inlineStr">
        <is>
          <t>stem-100</t>
        </is>
      </c>
      <c r="B33" s="93" t="inlineStr">
        <is>
          <t>stem</t>
        </is>
      </c>
      <c r="C33" s="93" t="inlineStr">
        <is>
          <t>Aluminium</t>
        </is>
      </c>
      <c r="D33" s="93" t="inlineStr">
        <is>
          <t>VYNDI</t>
        </is>
      </c>
      <c r="E33" s="93" t="inlineStr">
        <is>
          <t>Alloy Stem 100</t>
        </is>
      </c>
      <c r="F33" s="93" t="inlineStr">
        <is>
          <t>100 mm · ±6°</t>
        </is>
      </c>
      <c r="G33" s="93" t="inlineStr">
        <is>
          <t>ST-AL-100</t>
        </is>
      </c>
      <c r="H33" s="232" t="n">
        <v>3500</v>
      </c>
      <c r="I33" s="188" t="n">
        <v>0</v>
      </c>
      <c r="J33" s="188" t="n">
        <v>2</v>
      </c>
      <c r="K33" s="93" t="inlineStr">
        <is>
          <t>Yes</t>
        </is>
      </c>
      <c r="L33" s="93" t="inlineStr">
        <is>
          <t>Yes</t>
        </is>
      </c>
      <c r="M33" s="93" t="inlineStr">
        <is>
          <t>No</t>
        </is>
      </c>
      <c r="N33" s="93" t="inlineStr">
        <is>
          <t>GitHub src/lib/data/inventory.ts</t>
        </is>
      </c>
      <c r="O33" s="93" t="inlineStr">
        <is>
          <t>Opening stock forced to 0; catalogue is not ledger truth</t>
        </is>
      </c>
      <c r="P33" s="188" t="n">
        <v>2</v>
      </c>
      <c r="Q33" s="188" t="n">
        <v>1</v>
      </c>
      <c r="R33" s="188" t="n">
        <v>1</v>
      </c>
      <c r="S33" s="188" t="n">
        <v>1</v>
      </c>
      <c r="T33" s="188" t="str"/>
      <c r="U33" s="93">
        <f>J33</f>
        <v/>
      </c>
      <c r="V33" s="93" t="n"/>
      <c r="W33" s="93" t="inlineStr">
        <is>
          <t>INR</t>
        </is>
      </c>
      <c r="X33" s="233" t="n"/>
      <c r="Y33" s="93" t="n"/>
      <c r="Z33" s="93" t="inlineStr">
        <is>
          <t>No</t>
        </is>
      </c>
      <c r="AA33" t="inlineStr">
        <is>
          <t>No</t>
        </is>
      </c>
      <c r="AB33" t="inlineStr">
        <is>
          <t>No</t>
        </is>
      </c>
    </row>
    <row r="34" ht="27.60000038146973" customHeight="1" s="88">
      <c r="A34" s="93" t="inlineStr">
        <is>
          <t>stem-110</t>
        </is>
      </c>
      <c r="B34" s="93" t="inlineStr">
        <is>
          <t>stem</t>
        </is>
      </c>
      <c r="C34" s="93" t="inlineStr">
        <is>
          <t>Aluminium</t>
        </is>
      </c>
      <c r="D34" s="93" t="inlineStr">
        <is>
          <t>VYNDI</t>
        </is>
      </c>
      <c r="E34" s="93" t="inlineStr">
        <is>
          <t>Alloy Stem 110</t>
        </is>
      </c>
      <c r="F34" s="93" t="inlineStr">
        <is>
          <t>110 mm · ±6°</t>
        </is>
      </c>
      <c r="G34" s="93" t="inlineStr">
        <is>
          <t>ST-AL-110</t>
        </is>
      </c>
      <c r="H34" s="232" t="n">
        <v>3500</v>
      </c>
      <c r="I34" s="188" t="n">
        <v>0</v>
      </c>
      <c r="J34" s="188" t="n">
        <v>1</v>
      </c>
      <c r="K34" s="93" t="inlineStr">
        <is>
          <t>Yes</t>
        </is>
      </c>
      <c r="L34" s="93" t="inlineStr">
        <is>
          <t>Yes</t>
        </is>
      </c>
      <c r="M34" s="93" t="inlineStr">
        <is>
          <t>No</t>
        </is>
      </c>
      <c r="N34" s="93" t="inlineStr">
        <is>
          <t>GitHub src/lib/data/inventory.ts</t>
        </is>
      </c>
      <c r="O34" s="93" t="inlineStr">
        <is>
          <t>Opening stock forced to 0; catalogue is not ledger truth</t>
        </is>
      </c>
      <c r="P34" s="188" t="n">
        <v>2</v>
      </c>
      <c r="Q34" s="188" t="n">
        <v>1</v>
      </c>
      <c r="R34" s="188" t="n">
        <v>1</v>
      </c>
      <c r="S34" s="188" t="n">
        <v>1</v>
      </c>
      <c r="T34" s="188" t="str"/>
      <c r="U34" s="93">
        <f>J34</f>
        <v/>
      </c>
      <c r="V34" s="93" t="n"/>
      <c r="W34" s="93" t="inlineStr">
        <is>
          <t>INR</t>
        </is>
      </c>
      <c r="X34" s="233" t="n"/>
      <c r="Y34" s="93" t="n"/>
      <c r="Z34" s="93" t="inlineStr">
        <is>
          <t>No</t>
        </is>
      </c>
      <c r="AA34" t="inlineStr">
        <is>
          <t>No</t>
        </is>
      </c>
      <c r="AB34" t="inlineStr">
        <is>
          <t>No</t>
        </is>
      </c>
    </row>
    <row r="35" ht="27.60000038146973" customHeight="1" s="88">
      <c r="A35" s="93" t="inlineStr">
        <is>
          <t>stem-integrated-100</t>
        </is>
      </c>
      <c r="B35" s="93" t="inlineStr">
        <is>
          <t>stem</t>
        </is>
      </c>
      <c r="C35" s="93" t="inlineStr">
        <is>
          <t>Integrated Carbon</t>
        </is>
      </c>
      <c r="D35" s="93" t="inlineStr">
        <is>
          <t>VYNDI</t>
        </is>
      </c>
      <c r="E35" s="93" t="inlineStr">
        <is>
          <t>Aero Integrated 100</t>
        </is>
      </c>
      <c r="F35" s="93" t="inlineStr">
        <is>
          <t>100 mm integrated cockpit</t>
        </is>
      </c>
      <c r="G35" s="93" t="inlineStr">
        <is>
          <t>ST-INT-100</t>
        </is>
      </c>
      <c r="H35" s="232" t="n">
        <v>28000</v>
      </c>
      <c r="I35" s="188" t="n">
        <v>0</v>
      </c>
      <c r="J35" s="188" t="n">
        <v>1</v>
      </c>
      <c r="K35" s="93" t="inlineStr">
        <is>
          <t>No</t>
        </is>
      </c>
      <c r="L35" s="93" t="inlineStr">
        <is>
          <t>Yes</t>
        </is>
      </c>
      <c r="M35" s="93" t="inlineStr">
        <is>
          <t>Yes</t>
        </is>
      </c>
      <c r="N35" s="93" t="inlineStr">
        <is>
          <t>GitHub src/lib/data/inventory.ts</t>
        </is>
      </c>
      <c r="O35" s="93" t="inlineStr">
        <is>
          <t>Opening stock forced to 0; catalogue is not ledger truth</t>
        </is>
      </c>
      <c r="P35" s="188" t="n">
        <v>2</v>
      </c>
      <c r="Q35" s="188" t="n">
        <v>1</v>
      </c>
      <c r="R35" s="188" t="n">
        <v>1</v>
      </c>
      <c r="S35" s="188" t="n">
        <v>1</v>
      </c>
      <c r="T35" s="188" t="str"/>
      <c r="U35" s="93">
        <f>J35</f>
        <v/>
      </c>
      <c r="V35" s="93" t="n"/>
      <c r="W35" s="93" t="inlineStr">
        <is>
          <t>INR</t>
        </is>
      </c>
      <c r="X35" s="233" t="n"/>
      <c r="Y35" s="93" t="n"/>
      <c r="Z35" s="93" t="inlineStr">
        <is>
          <t>No</t>
        </is>
      </c>
      <c r="AA35" t="inlineStr">
        <is>
          <t>No</t>
        </is>
      </c>
      <c r="AB35" t="inlineStr">
        <is>
          <t>No</t>
        </is>
      </c>
    </row>
    <row r="36" ht="27.60000038146973" customHeight="1" s="88">
      <c r="A36" s="93" t="inlineStr">
        <is>
          <t>stem-integrated-110</t>
        </is>
      </c>
      <c r="B36" s="93" t="inlineStr">
        <is>
          <t>stem</t>
        </is>
      </c>
      <c r="C36" s="93" t="inlineStr">
        <is>
          <t>Integrated Carbon</t>
        </is>
      </c>
      <c r="D36" s="93" t="inlineStr">
        <is>
          <t>VYNDI</t>
        </is>
      </c>
      <c r="E36" s="93" t="inlineStr">
        <is>
          <t>Aero Integrated 110</t>
        </is>
      </c>
      <c r="F36" s="93" t="inlineStr">
        <is>
          <t>110 mm integrated cockpit</t>
        </is>
      </c>
      <c r="G36" s="93" t="inlineStr">
        <is>
          <t>ST-INT-110</t>
        </is>
      </c>
      <c r="H36" s="232" t="n">
        <v>28000</v>
      </c>
      <c r="I36" s="188" t="n">
        <v>0</v>
      </c>
      <c r="J36" s="188" t="n">
        <v>1</v>
      </c>
      <c r="K36" s="93" t="inlineStr">
        <is>
          <t>No</t>
        </is>
      </c>
      <c r="L36" s="93" t="inlineStr">
        <is>
          <t>Yes</t>
        </is>
      </c>
      <c r="M36" s="93" t="inlineStr">
        <is>
          <t>Yes</t>
        </is>
      </c>
      <c r="N36" s="93" t="inlineStr">
        <is>
          <t>GitHub src/lib/data/inventory.ts</t>
        </is>
      </c>
      <c r="O36" s="93" t="inlineStr">
        <is>
          <t>Opening stock forced to 0; catalogue is not ledger truth</t>
        </is>
      </c>
      <c r="P36" s="188" t="n">
        <v>2</v>
      </c>
      <c r="Q36" s="188" t="n">
        <v>1</v>
      </c>
      <c r="R36" s="188" t="n">
        <v>1</v>
      </c>
      <c r="S36" s="188" t="n">
        <v>1</v>
      </c>
      <c r="T36" s="188" t="str"/>
      <c r="U36" s="93">
        <f>J36</f>
        <v/>
      </c>
      <c r="V36" s="93" t="n"/>
      <c r="W36" s="93" t="inlineStr">
        <is>
          <t>INR</t>
        </is>
      </c>
      <c r="X36" s="233" t="n"/>
      <c r="Y36" s="93" t="n"/>
      <c r="Z36" s="93" t="inlineStr">
        <is>
          <t>No</t>
        </is>
      </c>
      <c r="AA36" t="inlineStr">
        <is>
          <t>No</t>
        </is>
      </c>
      <c r="AB36" t="inlineStr">
        <is>
          <t>No</t>
        </is>
      </c>
    </row>
    <row r="37" ht="27.60000038146973" customHeight="1" s="88">
      <c r="A37" s="93" t="inlineStr">
        <is>
          <t>sad-men-broad-long</t>
        </is>
      </c>
      <c r="B37" s="93" t="inlineStr">
        <is>
          <t>saddle</t>
        </is>
      </c>
      <c r="C37" s="93" t="inlineStr">
        <is>
          <t>Men Broad Long</t>
        </is>
      </c>
      <c r="D37" s="93" t="inlineStr">
        <is>
          <t>VYNDI</t>
        </is>
      </c>
      <c r="E37" s="93" t="inlineStr">
        <is>
          <t>Endurance M Broad Long</t>
        </is>
      </c>
      <c r="F37" s="93" t="inlineStr">
        <is>
          <t>Broad · long nose</t>
        </is>
      </c>
      <c r="G37" s="93" t="inlineStr">
        <is>
          <t>SD-M-BL</t>
        </is>
      </c>
      <c r="H37" s="232" t="n">
        <v>6500</v>
      </c>
      <c r="I37" s="188" t="n">
        <v>0</v>
      </c>
      <c r="J37" s="188" t="n">
        <v>2</v>
      </c>
      <c r="K37" s="93" t="inlineStr">
        <is>
          <t>Yes</t>
        </is>
      </c>
      <c r="L37" s="93" t="inlineStr">
        <is>
          <t>Yes</t>
        </is>
      </c>
      <c r="M37" s="93" t="inlineStr">
        <is>
          <t>No</t>
        </is>
      </c>
      <c r="N37" s="93" t="inlineStr">
        <is>
          <t>GitHub src/lib/data/inventory.ts</t>
        </is>
      </c>
      <c r="O37" s="93" t="inlineStr">
        <is>
          <t>Opening stock forced to 0; catalogue is not ledger truth</t>
        </is>
      </c>
      <c r="P37" s="188" t="n">
        <v>2</v>
      </c>
      <c r="Q37" s="188" t="n">
        <v>1</v>
      </c>
      <c r="R37" s="188" t="n">
        <v>1</v>
      </c>
      <c r="S37" s="188" t="n">
        <v>1</v>
      </c>
      <c r="T37" s="188" t="str"/>
      <c r="U37" s="93">
        <f>J37</f>
        <v/>
      </c>
      <c r="V37" s="93" t="n"/>
      <c r="W37" s="93" t="inlineStr">
        <is>
          <t>INR</t>
        </is>
      </c>
      <c r="X37" s="233" t="n"/>
      <c r="Y37" s="93" t="n"/>
      <c r="Z37" s="93" t="inlineStr">
        <is>
          <t>No</t>
        </is>
      </c>
      <c r="AA37" t="inlineStr">
        <is>
          <t>No</t>
        </is>
      </c>
      <c r="AB37" t="inlineStr">
        <is>
          <t>No</t>
        </is>
      </c>
    </row>
    <row r="38" ht="27.60000038146973" customHeight="1" s="88">
      <c r="A38" s="93" t="inlineStr">
        <is>
          <t>sad-men-narrow-long</t>
        </is>
      </c>
      <c r="B38" s="93" t="inlineStr">
        <is>
          <t>saddle</t>
        </is>
      </c>
      <c r="C38" s="93" t="inlineStr">
        <is>
          <t>Men Narrow Long</t>
        </is>
      </c>
      <c r="D38" s="93" t="inlineStr">
        <is>
          <t>VYNDI</t>
        </is>
      </c>
      <c r="E38" s="93" t="inlineStr">
        <is>
          <t>Race M Narrow Long</t>
        </is>
      </c>
      <c r="F38" s="93" t="inlineStr">
        <is>
          <t>Narrow · long nose</t>
        </is>
      </c>
      <c r="G38" s="93" t="inlineStr">
        <is>
          <t>SD-M-NL</t>
        </is>
      </c>
      <c r="H38" s="232" t="n">
        <v>7000</v>
      </c>
      <c r="I38" s="188" t="n">
        <v>0</v>
      </c>
      <c r="J38" s="188" t="n">
        <v>2</v>
      </c>
      <c r="K38" s="93" t="inlineStr">
        <is>
          <t>Yes</t>
        </is>
      </c>
      <c r="L38" s="93" t="inlineStr">
        <is>
          <t>Yes</t>
        </is>
      </c>
      <c r="M38" s="93" t="inlineStr">
        <is>
          <t>Yes</t>
        </is>
      </c>
      <c r="N38" s="93" t="inlineStr">
        <is>
          <t>GitHub src/lib/data/inventory.ts</t>
        </is>
      </c>
      <c r="O38" s="93" t="inlineStr">
        <is>
          <t>Opening stock forced to 0; catalogue is not ledger truth</t>
        </is>
      </c>
      <c r="P38" s="188" t="n">
        <v>2</v>
      </c>
      <c r="Q38" s="188" t="n">
        <v>1</v>
      </c>
      <c r="R38" s="188" t="n">
        <v>1</v>
      </c>
      <c r="S38" s="188" t="n">
        <v>1</v>
      </c>
      <c r="T38" s="188" t="str"/>
      <c r="U38" s="93">
        <f>J38</f>
        <v/>
      </c>
      <c r="V38" s="93" t="n"/>
      <c r="W38" s="93" t="inlineStr">
        <is>
          <t>INR</t>
        </is>
      </c>
      <c r="X38" s="233" t="n"/>
      <c r="Y38" s="93" t="n"/>
      <c r="Z38" s="93" t="inlineStr">
        <is>
          <t>No</t>
        </is>
      </c>
      <c r="AA38" t="inlineStr">
        <is>
          <t>No</t>
        </is>
      </c>
      <c r="AB38" t="inlineStr">
        <is>
          <t>No</t>
        </is>
      </c>
    </row>
    <row r="39" ht="27.60000038146973" customHeight="1" s="88">
      <c r="A39" s="93" t="inlineStr">
        <is>
          <t>sad-men-narrow-short</t>
        </is>
      </c>
      <c r="B39" s="93" t="inlineStr">
        <is>
          <t>saddle</t>
        </is>
      </c>
      <c r="C39" s="93" t="inlineStr">
        <is>
          <t>Men Narrow Short</t>
        </is>
      </c>
      <c r="D39" s="93" t="inlineStr">
        <is>
          <t>VYNDI</t>
        </is>
      </c>
      <c r="E39" s="93" t="inlineStr">
        <is>
          <t>Race M Narrow Short</t>
        </is>
      </c>
      <c r="F39" s="93" t="inlineStr">
        <is>
          <t>Narrow · short nose</t>
        </is>
      </c>
      <c r="G39" s="93" t="inlineStr">
        <is>
          <t>SD-M-NS</t>
        </is>
      </c>
      <c r="H39" s="232" t="n">
        <v>7500</v>
      </c>
      <c r="I39" s="188" t="n">
        <v>0</v>
      </c>
      <c r="J39" s="188" t="n">
        <v>1</v>
      </c>
      <c r="K39" s="93" t="inlineStr">
        <is>
          <t>No</t>
        </is>
      </c>
      <c r="L39" s="93" t="inlineStr">
        <is>
          <t>Yes</t>
        </is>
      </c>
      <c r="M39" s="93" t="inlineStr">
        <is>
          <t>Yes</t>
        </is>
      </c>
      <c r="N39" s="93" t="inlineStr">
        <is>
          <t>GitHub src/lib/data/inventory.ts</t>
        </is>
      </c>
      <c r="O39" s="93" t="inlineStr">
        <is>
          <t>Opening stock forced to 0; catalogue is not ledger truth</t>
        </is>
      </c>
      <c r="P39" s="188" t="n">
        <v>2</v>
      </c>
      <c r="Q39" s="188" t="n">
        <v>1</v>
      </c>
      <c r="R39" s="188" t="n">
        <v>1</v>
      </c>
      <c r="S39" s="188" t="n">
        <v>1</v>
      </c>
      <c r="T39" s="188" t="str"/>
      <c r="U39" s="93">
        <f>J39</f>
        <v/>
      </c>
      <c r="V39" s="93" t="n"/>
      <c r="W39" s="93" t="inlineStr">
        <is>
          <t>INR</t>
        </is>
      </c>
      <c r="X39" s="233" t="n"/>
      <c r="Y39" s="93" t="n"/>
      <c r="Z39" s="93" t="inlineStr">
        <is>
          <t>No</t>
        </is>
      </c>
      <c r="AA39" t="inlineStr">
        <is>
          <t>No</t>
        </is>
      </c>
      <c r="AB39" t="inlineStr">
        <is>
          <t>No</t>
        </is>
      </c>
    </row>
    <row r="40" ht="27.60000038146973" customHeight="1" s="88">
      <c r="A40" s="93" t="inlineStr">
        <is>
          <t>sad-women-broad-short</t>
        </is>
      </c>
      <c r="B40" s="93" t="inlineStr">
        <is>
          <t>saddle</t>
        </is>
      </c>
      <c r="C40" s="93" t="inlineStr">
        <is>
          <t>Women Broad Short</t>
        </is>
      </c>
      <c r="D40" s="93" t="inlineStr">
        <is>
          <t>VYNDI</t>
        </is>
      </c>
      <c r="E40" s="93" t="inlineStr">
        <is>
          <t>Endurance W Broad Short</t>
        </is>
      </c>
      <c r="F40" s="93" t="inlineStr">
        <is>
          <t>Broad · short nose</t>
        </is>
      </c>
      <c r="G40" s="93" t="inlineStr">
        <is>
          <t>SD-W-BS</t>
        </is>
      </c>
      <c r="H40" s="232" t="n">
        <v>7000</v>
      </c>
      <c r="I40" s="188" t="n">
        <v>0</v>
      </c>
      <c r="J40" s="188" t="n">
        <v>2</v>
      </c>
      <c r="K40" s="93" t="inlineStr">
        <is>
          <t>Yes</t>
        </is>
      </c>
      <c r="L40" s="93" t="inlineStr">
        <is>
          <t>Yes</t>
        </is>
      </c>
      <c r="M40" s="93" t="inlineStr">
        <is>
          <t>No</t>
        </is>
      </c>
      <c r="N40" s="93" t="inlineStr">
        <is>
          <t>GitHub src/lib/data/inventory.ts</t>
        </is>
      </c>
      <c r="O40" s="93" t="inlineStr">
        <is>
          <t>Opening stock forced to 0; catalogue is not ledger truth</t>
        </is>
      </c>
      <c r="P40" s="188" t="n">
        <v>2</v>
      </c>
      <c r="Q40" s="188" t="n">
        <v>1</v>
      </c>
      <c r="R40" s="188" t="n">
        <v>1</v>
      </c>
      <c r="S40" s="188" t="n">
        <v>1</v>
      </c>
      <c r="T40" s="188" t="str"/>
      <c r="U40" s="93">
        <f>J40</f>
        <v/>
      </c>
      <c r="V40" s="93" t="n"/>
      <c r="W40" s="93" t="inlineStr">
        <is>
          <t>INR</t>
        </is>
      </c>
      <c r="X40" s="233" t="n"/>
      <c r="Y40" s="93" t="n"/>
      <c r="Z40" s="93" t="inlineStr">
        <is>
          <t>No</t>
        </is>
      </c>
      <c r="AA40" t="inlineStr">
        <is>
          <t>No</t>
        </is>
      </c>
      <c r="AB40" t="inlineStr">
        <is>
          <t>No</t>
        </is>
      </c>
    </row>
    <row r="41" ht="27.60000038146973" customHeight="1" s="88">
      <c r="A41" s="93" t="inlineStr">
        <is>
          <t>sad-women-narrow-short</t>
        </is>
      </c>
      <c r="B41" s="93" t="inlineStr">
        <is>
          <t>saddle</t>
        </is>
      </c>
      <c r="C41" s="93" t="inlineStr">
        <is>
          <t>Women Narrow Short</t>
        </is>
      </c>
      <c r="D41" s="93" t="inlineStr">
        <is>
          <t>VYNDI</t>
        </is>
      </c>
      <c r="E41" s="93" t="inlineStr">
        <is>
          <t>Race W Narrow Short</t>
        </is>
      </c>
      <c r="F41" s="93" t="inlineStr">
        <is>
          <t>Narrow · short nose</t>
        </is>
      </c>
      <c r="G41" s="93" t="inlineStr">
        <is>
          <t>SD-W-NS</t>
        </is>
      </c>
      <c r="H41" s="232" t="n">
        <v>7500</v>
      </c>
      <c r="I41" s="188" t="n">
        <v>0</v>
      </c>
      <c r="J41" s="188" t="n">
        <v>1</v>
      </c>
      <c r="K41" s="93" t="inlineStr">
        <is>
          <t>No</t>
        </is>
      </c>
      <c r="L41" s="93" t="inlineStr">
        <is>
          <t>Yes</t>
        </is>
      </c>
      <c r="M41" s="93" t="inlineStr">
        <is>
          <t>Yes</t>
        </is>
      </c>
      <c r="N41" s="93" t="inlineStr">
        <is>
          <t>GitHub src/lib/data/inventory.ts</t>
        </is>
      </c>
      <c r="O41" s="93" t="inlineStr">
        <is>
          <t>Opening stock forced to 0; catalogue is not ledger truth</t>
        </is>
      </c>
      <c r="P41" s="188" t="n">
        <v>2</v>
      </c>
      <c r="Q41" s="188" t="n">
        <v>1</v>
      </c>
      <c r="R41" s="188" t="n">
        <v>1</v>
      </c>
      <c r="S41" s="188" t="n">
        <v>1</v>
      </c>
      <c r="T41" s="188" t="str"/>
      <c r="U41" s="93">
        <f>J41</f>
        <v/>
      </c>
      <c r="V41" s="93" t="n"/>
      <c r="W41" s="93" t="inlineStr">
        <is>
          <t>INR</t>
        </is>
      </c>
      <c r="X41" s="233" t="n"/>
      <c r="Y41" s="93" t="n"/>
      <c r="Z41" s="93" t="inlineStr">
        <is>
          <t>No</t>
        </is>
      </c>
      <c r="AA41" t="inlineStr">
        <is>
          <t>No</t>
        </is>
      </c>
      <c r="AB41" t="inlineStr">
        <is>
          <t>No</t>
        </is>
      </c>
    </row>
    <row r="42" ht="27.60000038146973" customHeight="1" s="88">
      <c r="A42" s="93" t="inlineStr">
        <is>
          <t>sad-tt</t>
        </is>
      </c>
      <c r="B42" s="93" t="inlineStr">
        <is>
          <t>saddle</t>
        </is>
      </c>
      <c r="C42" s="93" t="inlineStr">
        <is>
          <t>TT</t>
        </is>
      </c>
      <c r="D42" s="93" t="inlineStr">
        <is>
          <t>VYNDI</t>
        </is>
      </c>
      <c r="E42" s="93" t="inlineStr">
        <is>
          <t>TT Short Nose</t>
        </is>
      </c>
      <c r="F42" s="93" t="inlineStr">
        <is>
          <t>Time-trial / triathlon</t>
        </is>
      </c>
      <c r="G42" s="93" t="inlineStr">
        <is>
          <t>SD-TT-01</t>
        </is>
      </c>
      <c r="H42" s="232" t="n">
        <v>9500</v>
      </c>
      <c r="I42" s="188" t="n">
        <v>0</v>
      </c>
      <c r="J42" s="188" t="n">
        <v>1</v>
      </c>
      <c r="K42" s="93" t="inlineStr">
        <is>
          <t>No</t>
        </is>
      </c>
      <c r="L42" s="93" t="inlineStr">
        <is>
          <t>Yes</t>
        </is>
      </c>
      <c r="M42" s="93" t="inlineStr">
        <is>
          <t>Yes</t>
        </is>
      </c>
      <c r="N42" s="93" t="inlineStr">
        <is>
          <t>GitHub src/lib/data/inventory.ts</t>
        </is>
      </c>
      <c r="O42" s="93" t="inlineStr">
        <is>
          <t>Opening stock forced to 0; catalogue is not ledger truth</t>
        </is>
      </c>
      <c r="P42" s="188" t="n">
        <v>2</v>
      </c>
      <c r="Q42" s="188" t="n">
        <v>1</v>
      </c>
      <c r="R42" s="188" t="n">
        <v>1</v>
      </c>
      <c r="S42" s="188" t="n">
        <v>1</v>
      </c>
      <c r="T42" s="188" t="str"/>
      <c r="U42" s="93">
        <f>J42</f>
        <v/>
      </c>
      <c r="V42" s="93" t="n"/>
      <c r="W42" s="93" t="inlineStr">
        <is>
          <t>INR</t>
        </is>
      </c>
      <c r="X42" s="233" t="n"/>
      <c r="Y42" s="93" t="n"/>
      <c r="Z42" s="93" t="inlineStr">
        <is>
          <t>No</t>
        </is>
      </c>
      <c r="AA42" t="inlineStr">
        <is>
          <t>No</t>
        </is>
      </c>
      <c r="AB42" t="inlineStr">
        <is>
          <t>No</t>
        </is>
      </c>
    </row>
    <row r="43" ht="27.60000038146973" customHeight="1" s="88">
      <c r="A43" s="93" t="inlineStr">
        <is>
          <t>ta-core</t>
        </is>
      </c>
      <c r="B43" s="93" t="inlineStr">
        <is>
          <t>thruaxle</t>
        </is>
      </c>
      <c r="C43" s="93" t="inlineStr">
        <is>
          <t>Standard</t>
        </is>
      </c>
      <c r="D43" s="93" t="inlineStr">
        <is>
          <t>VYNDI</t>
        </is>
      </c>
      <c r="E43" s="93" t="inlineStr">
        <is>
          <t>Road Thru-Axle Core</t>
        </is>
      </c>
      <c r="F43" s="93" t="inlineStr">
        <is>
          <t>12×100 front / 12×142 rear</t>
        </is>
      </c>
      <c r="G43" s="93" t="inlineStr">
        <is>
          <t>TA-ROAD-CORE</t>
        </is>
      </c>
      <c r="H43" s="232" t="n">
        <v>4500</v>
      </c>
      <c r="I43" s="188" t="n">
        <v>0</v>
      </c>
      <c r="J43" s="188" t="n">
        <v>3</v>
      </c>
      <c r="K43" s="93" t="inlineStr">
        <is>
          <t>Yes</t>
        </is>
      </c>
      <c r="L43" s="93" t="inlineStr">
        <is>
          <t>Yes</t>
        </is>
      </c>
      <c r="M43" s="93" t="inlineStr">
        <is>
          <t>No</t>
        </is>
      </c>
      <c r="N43" s="93" t="inlineStr">
        <is>
          <t>GitHub src/lib/data/inventory.ts</t>
        </is>
      </c>
      <c r="O43" s="93" t="inlineStr">
        <is>
          <t>Opening stock forced to 0; catalogue is not ledger truth</t>
        </is>
      </c>
      <c r="P43" s="188" t="n">
        <v>2</v>
      </c>
      <c r="Q43" s="188" t="n">
        <v>1</v>
      </c>
      <c r="R43" s="188" t="n">
        <v>1</v>
      </c>
      <c r="S43" s="188" t="n">
        <v>1</v>
      </c>
      <c r="T43" s="188" t="str"/>
      <c r="U43" s="93">
        <f>J43</f>
        <v/>
      </c>
      <c r="V43" s="93" t="n"/>
      <c r="W43" s="93" t="inlineStr">
        <is>
          <t>INR</t>
        </is>
      </c>
      <c r="X43" s="233" t="n"/>
      <c r="Y43" s="93" t="n"/>
      <c r="Z43" s="93" t="inlineStr">
        <is>
          <t>No</t>
        </is>
      </c>
      <c r="AA43" t="inlineStr">
        <is>
          <t>No</t>
        </is>
      </c>
      <c r="AB43" t="inlineStr">
        <is>
          <t>No</t>
        </is>
      </c>
    </row>
    <row r="44" ht="27.60000038146973" customHeight="1" s="88">
      <c r="A44" s="93" t="inlineStr">
        <is>
          <t>ta-premium</t>
        </is>
      </c>
      <c r="B44" s="93" t="inlineStr">
        <is>
          <t>thruaxle</t>
        </is>
      </c>
      <c r="C44" s="93" t="inlineStr">
        <is>
          <t>Lightweight</t>
        </is>
      </c>
      <c r="D44" s="93" t="inlineStr">
        <is>
          <t>VYNDI</t>
        </is>
      </c>
      <c r="E44" s="93" t="inlineStr">
        <is>
          <t>Road Thru-Axle Titanium</t>
        </is>
      </c>
      <c r="F44" s="93" t="inlineStr">
        <is>
          <t>12×100 / 12×142 lightweight set</t>
        </is>
      </c>
      <c r="G44" s="93" t="inlineStr">
        <is>
          <t>TA-TI-ROAD</t>
        </is>
      </c>
      <c r="H44" s="232" t="n">
        <v>12000</v>
      </c>
      <c r="I44" s="188" t="n">
        <v>0</v>
      </c>
      <c r="J44" s="188" t="n">
        <v>1</v>
      </c>
      <c r="K44" s="93" t="inlineStr">
        <is>
          <t>No</t>
        </is>
      </c>
      <c r="L44" s="93" t="inlineStr">
        <is>
          <t>Yes</t>
        </is>
      </c>
      <c r="M44" s="93" t="inlineStr">
        <is>
          <t>Yes</t>
        </is>
      </c>
      <c r="N44" s="93" t="inlineStr">
        <is>
          <t>GitHub src/lib/data/inventory.ts</t>
        </is>
      </c>
      <c r="O44" s="93" t="inlineStr">
        <is>
          <t>Opening stock forced to 0; catalogue is not ledger truth</t>
        </is>
      </c>
      <c r="P44" s="188" t="n">
        <v>2</v>
      </c>
      <c r="Q44" s="188" t="n">
        <v>1</v>
      </c>
      <c r="R44" s="188" t="n">
        <v>1</v>
      </c>
      <c r="S44" s="188" t="n">
        <v>1</v>
      </c>
      <c r="T44" s="188" t="str"/>
      <c r="U44" s="93">
        <f>J44</f>
        <v/>
      </c>
      <c r="V44" s="93" t="n"/>
      <c r="W44" s="93" t="inlineStr">
        <is>
          <t>INR</t>
        </is>
      </c>
      <c r="X44" s="233" t="n"/>
      <c r="Y44" s="93" t="n"/>
      <c r="Z44" s="93" t="inlineStr">
        <is>
          <t>No</t>
        </is>
      </c>
      <c r="AA44" t="inlineStr">
        <is>
          <t>No</t>
        </is>
      </c>
      <c r="AB44" t="inlineStr">
        <is>
          <t>No</t>
        </is>
      </c>
    </row>
    <row r="45" ht="27.60000038146973" customHeight="1" s="88">
      <c r="A45" s="93" t="inlineStr">
        <is>
          <t>bb-t47i-85</t>
        </is>
      </c>
      <c r="B45" s="93" t="inlineStr">
        <is>
          <t>bottom-bracket</t>
        </is>
      </c>
      <c r="C45" s="93" t="inlineStr">
        <is>
          <t>T47i</t>
        </is>
      </c>
      <c r="D45" s="93" t="inlineStr">
        <is>
          <t>VYNDI</t>
        </is>
      </c>
      <c r="E45" s="93" t="inlineStr">
        <is>
          <t>T47i 85.5 Internal</t>
        </is>
      </c>
      <c r="F45" s="93" t="inlineStr">
        <is>
          <t>T47 internal · 85.5 mm shell</t>
        </is>
      </c>
      <c r="G45" s="93" t="inlineStr">
        <is>
          <t>BB-T47I-855</t>
        </is>
      </c>
      <c r="H45" s="232" t="n">
        <v>6500</v>
      </c>
      <c r="I45" s="188" t="n">
        <v>0</v>
      </c>
      <c r="J45" s="188" t="n">
        <v>2</v>
      </c>
      <c r="K45" s="93" t="inlineStr">
        <is>
          <t>No</t>
        </is>
      </c>
      <c r="L45" s="93" t="inlineStr">
        <is>
          <t>Yes</t>
        </is>
      </c>
      <c r="M45" s="93" t="inlineStr">
        <is>
          <t>Yes</t>
        </is>
      </c>
      <c r="N45" s="93" t="inlineStr">
        <is>
          <t>GitHub src/lib/data/inventory.ts</t>
        </is>
      </c>
      <c r="O45" s="93" t="inlineStr">
        <is>
          <t>Opening stock forced to 0; catalogue is not ledger truth</t>
        </is>
      </c>
      <c r="P45" s="188" t="n">
        <v>2</v>
      </c>
      <c r="Q45" s="188" t="n">
        <v>1</v>
      </c>
      <c r="R45" s="188" t="n">
        <v>1</v>
      </c>
      <c r="S45" s="188" t="n">
        <v>1</v>
      </c>
      <c r="T45" s="188" t="str"/>
      <c r="U45" s="93">
        <f>J45</f>
        <v/>
      </c>
      <c r="V45" s="93" t="n"/>
      <c r="W45" s="93" t="inlineStr">
        <is>
          <t>INR</t>
        </is>
      </c>
      <c r="X45" s="233" t="n"/>
      <c r="Y45" s="93" t="n"/>
      <c r="Z45" s="93" t="inlineStr">
        <is>
          <t>No</t>
        </is>
      </c>
      <c r="AA45" t="inlineStr">
        <is>
          <t>No</t>
        </is>
      </c>
      <c r="AB45" t="inlineStr">
        <is>
          <t>No</t>
        </is>
      </c>
    </row>
    <row r="46" ht="27.60000038146973" customHeight="1" s="88">
      <c r="A46" s="93" t="inlineStr">
        <is>
          <t>bb-bsa</t>
        </is>
      </c>
      <c r="B46" s="93" t="inlineStr">
        <is>
          <t>bottom-bracket</t>
        </is>
      </c>
      <c r="C46" s="93" t="inlineStr">
        <is>
          <t>BSA</t>
        </is>
      </c>
      <c r="D46" s="93" t="inlineStr">
        <is>
          <t>Shimano</t>
        </is>
      </c>
      <c r="E46" s="93" t="inlineStr">
        <is>
          <t>BSA Road</t>
        </is>
      </c>
      <c r="F46" s="93" t="inlineStr">
        <is>
          <t>68 mm threaded</t>
        </is>
      </c>
      <c r="G46" s="93" t="inlineStr">
        <is>
          <t>BB-BSA-ROAD</t>
        </is>
      </c>
      <c r="H46" s="232" t="n">
        <v>2500</v>
      </c>
      <c r="I46" s="188" t="n">
        <v>0</v>
      </c>
      <c r="J46" s="188" t="n">
        <v>3</v>
      </c>
      <c r="K46" s="93" t="inlineStr">
        <is>
          <t>Yes</t>
        </is>
      </c>
      <c r="L46" s="93" t="inlineStr">
        <is>
          <t>No</t>
        </is>
      </c>
      <c r="M46" s="93" t="inlineStr">
        <is>
          <t>No</t>
        </is>
      </c>
      <c r="N46" s="93" t="inlineStr">
        <is>
          <t>GitHub src/lib/data/inventory.ts</t>
        </is>
      </c>
      <c r="O46" s="93" t="inlineStr">
        <is>
          <t>Opening stock forced to 0; catalogue is not ledger truth</t>
        </is>
      </c>
      <c r="P46" s="188" t="n">
        <v>2</v>
      </c>
      <c r="Q46" s="188" t="n">
        <v>1</v>
      </c>
      <c r="R46" s="188" t="n">
        <v>1</v>
      </c>
      <c r="S46" s="188" t="n">
        <v>1</v>
      </c>
      <c r="T46" s="188" t="str"/>
      <c r="U46" s="93">
        <f>J46</f>
        <v/>
      </c>
      <c r="V46" s="93" t="n"/>
      <c r="W46" s="93" t="inlineStr">
        <is>
          <t>INR</t>
        </is>
      </c>
      <c r="X46" s="233" t="n"/>
      <c r="Y46" s="93" t="n"/>
      <c r="Z46" s="93" t="inlineStr">
        <is>
          <t>No</t>
        </is>
      </c>
      <c r="AA46" t="inlineStr">
        <is>
          <t>No</t>
        </is>
      </c>
      <c r="AB46" t="inlineStr">
        <is>
          <t>No</t>
        </is>
      </c>
    </row>
    <row r="47" ht="27.60000038146973" customHeight="1" s="88">
      <c r="A47" s="93" t="inlineStr">
        <is>
          <t>bb-pf</t>
        </is>
      </c>
      <c r="B47" s="93" t="inlineStr">
        <is>
          <t>bottom-bracket</t>
        </is>
      </c>
      <c r="C47" s="93" t="inlineStr">
        <is>
          <t>Press Fit</t>
        </is>
      </c>
      <c r="D47" s="93" t="inlineStr">
        <is>
          <t>Shimano</t>
        </is>
      </c>
      <c r="E47" s="93" t="inlineStr">
        <is>
          <t>PressFit Road</t>
        </is>
      </c>
      <c r="F47" s="93" t="inlineStr">
        <is>
          <t>PF86.5 compatible</t>
        </is>
      </c>
      <c r="G47" s="93" t="inlineStr">
        <is>
          <t>BB-PF-ROAD</t>
        </is>
      </c>
      <c r="H47" s="232" t="n">
        <v>3000</v>
      </c>
      <c r="I47" s="188" t="n">
        <v>0</v>
      </c>
      <c r="J47" s="188" t="n">
        <v>2</v>
      </c>
      <c r="K47" s="93" t="inlineStr">
        <is>
          <t>Yes</t>
        </is>
      </c>
      <c r="L47" s="93" t="inlineStr">
        <is>
          <t>No</t>
        </is>
      </c>
      <c r="M47" s="93" t="inlineStr">
        <is>
          <t>No</t>
        </is>
      </c>
      <c r="N47" s="93" t="inlineStr">
        <is>
          <t>GitHub src/lib/data/inventory.ts</t>
        </is>
      </c>
      <c r="O47" s="93" t="inlineStr">
        <is>
          <t>Opening stock forced to 0; catalogue is not ledger truth</t>
        </is>
      </c>
      <c r="P47" s="188" t="n">
        <v>2</v>
      </c>
      <c r="Q47" s="188" t="n">
        <v>1</v>
      </c>
      <c r="R47" s="188" t="n">
        <v>1</v>
      </c>
      <c r="S47" s="188" t="n">
        <v>1</v>
      </c>
      <c r="T47" s="188" t="str"/>
      <c r="U47" s="93">
        <f>J47</f>
        <v/>
      </c>
      <c r="V47" s="93" t="n"/>
      <c r="W47" s="93" t="inlineStr">
        <is>
          <t>INR</t>
        </is>
      </c>
      <c r="X47" s="233" t="n"/>
      <c r="Y47" s="93" t="n"/>
      <c r="Z47" s="93" t="inlineStr">
        <is>
          <t>No</t>
        </is>
      </c>
      <c r="AA47" t="inlineStr">
        <is>
          <t>No</t>
        </is>
      </c>
      <c r="AB47" t="inlineStr">
        <is>
          <t>No</t>
        </is>
      </c>
    </row>
    <row r="48" ht="27.60000038146973" customHeight="1" s="88">
      <c r="A48" s="93" t="inlineStr">
        <is>
          <t>bb-t47i-premium</t>
        </is>
      </c>
      <c r="B48" s="93" t="inlineStr">
        <is>
          <t>bottom-bracket</t>
        </is>
      </c>
      <c r="C48" s="93" t="inlineStr">
        <is>
          <t>T47i</t>
        </is>
      </c>
      <c r="D48" s="93" t="inlineStr">
        <is>
          <t>CeramicSpeed</t>
        </is>
      </c>
      <c r="E48" s="93" t="inlineStr">
        <is>
          <t>T47i Internal</t>
        </is>
      </c>
      <c r="F48" s="93" t="inlineStr">
        <is>
          <t>T47 internal ceramic</t>
        </is>
      </c>
      <c r="G48" s="93" t="inlineStr">
        <is>
          <t>BB-T47I-CS</t>
        </is>
      </c>
      <c r="H48" s="232" t="n">
        <v>55000</v>
      </c>
      <c r="I48" s="188" t="n">
        <v>0</v>
      </c>
      <c r="J48" s="188" t="n">
        <v>1</v>
      </c>
      <c r="K48" s="93" t="inlineStr">
        <is>
          <t>No</t>
        </is>
      </c>
      <c r="L48" s="93" t="inlineStr">
        <is>
          <t>No</t>
        </is>
      </c>
      <c r="M48" s="93" t="inlineStr">
        <is>
          <t>Yes</t>
        </is>
      </c>
      <c r="N48" s="93" t="inlineStr">
        <is>
          <t>GitHub src/lib/data/inventory.ts</t>
        </is>
      </c>
      <c r="O48" s="93" t="inlineStr">
        <is>
          <t>Opening stock forced to 0; catalogue is not ledger truth</t>
        </is>
      </c>
      <c r="P48" s="188" t="n">
        <v>2</v>
      </c>
      <c r="Q48" s="188" t="n">
        <v>1</v>
      </c>
      <c r="R48" s="188" t="n">
        <v>1</v>
      </c>
      <c r="S48" s="188" t="n">
        <v>1</v>
      </c>
      <c r="T48" s="188" t="str"/>
      <c r="U48" s="93">
        <f>J48</f>
        <v/>
      </c>
      <c r="V48" s="93" t="n"/>
      <c r="W48" s="93" t="inlineStr">
        <is>
          <t>INR</t>
        </is>
      </c>
      <c r="X48" s="233" t="n"/>
      <c r="Y48" s="93" t="n"/>
      <c r="Z48" s="93" t="inlineStr">
        <is>
          <t>No</t>
        </is>
      </c>
      <c r="AA48" t="inlineStr">
        <is>
          <t>No</t>
        </is>
      </c>
      <c r="AB48" t="inlineStr">
        <is>
          <t>No</t>
        </is>
      </c>
    </row>
    <row r="49" ht="27.60000038146973" customHeight="1" s="88">
      <c r="A49" s="93" t="inlineStr">
        <is>
          <t>cage-plastic</t>
        </is>
      </c>
      <c r="B49" s="93" t="inlineStr">
        <is>
          <t>bottle-cage</t>
        </is>
      </c>
      <c r="C49" s="93" t="inlineStr">
        <is>
          <t>Plastic</t>
        </is>
      </c>
      <c r="D49" s="93" t="inlineStr">
        <is>
          <t>VYNDI</t>
        </is>
      </c>
      <c r="E49" s="93" t="inlineStr">
        <is>
          <t>Composite Bottle Cage</t>
        </is>
      </c>
      <c r="F49" s="93" t="inlineStr">
        <is>
          <t>Light composite</t>
        </is>
      </c>
      <c r="G49" s="93" t="inlineStr">
        <is>
          <t>BC-PLASTIC-01</t>
        </is>
      </c>
      <c r="H49" s="232" t="n">
        <v>1200</v>
      </c>
      <c r="I49" s="188" t="n">
        <v>0</v>
      </c>
      <c r="J49" s="188" t="n">
        <v>5</v>
      </c>
      <c r="K49" s="93" t="inlineStr">
        <is>
          <t>Yes</t>
        </is>
      </c>
      <c r="L49" s="93" t="inlineStr">
        <is>
          <t>Yes</t>
        </is>
      </c>
      <c r="M49" s="93" t="inlineStr">
        <is>
          <t>No</t>
        </is>
      </c>
      <c r="N49" s="93" t="inlineStr">
        <is>
          <t>GitHub src/lib/data/inventory.ts</t>
        </is>
      </c>
      <c r="O49" s="93" t="inlineStr">
        <is>
          <t>Opening stock forced to 0; catalogue is not ledger truth</t>
        </is>
      </c>
      <c r="P49" s="188" t="n">
        <v>2</v>
      </c>
      <c r="Q49" s="188" t="n">
        <v>1</v>
      </c>
      <c r="R49" s="188" t="n">
        <v>1</v>
      </c>
      <c r="S49" s="188" t="n">
        <v>1</v>
      </c>
      <c r="T49" s="188" t="str"/>
      <c r="U49" s="93">
        <f>J49</f>
        <v/>
      </c>
      <c r="V49" s="93" t="n"/>
      <c r="W49" s="93" t="inlineStr">
        <is>
          <t>INR</t>
        </is>
      </c>
      <c r="X49" s="233" t="n"/>
      <c r="Y49" s="93" t="n"/>
      <c r="Z49" s="93" t="inlineStr">
        <is>
          <t>No</t>
        </is>
      </c>
      <c r="AA49" t="inlineStr">
        <is>
          <t>No</t>
        </is>
      </c>
      <c r="AB49" t="inlineStr">
        <is>
          <t>No</t>
        </is>
      </c>
    </row>
    <row r="50" ht="27.60000038146973" customHeight="1" s="88">
      <c r="A50" s="93" t="inlineStr">
        <is>
          <t>cage-metal</t>
        </is>
      </c>
      <c r="B50" s="93" t="inlineStr">
        <is>
          <t>bottle-cage</t>
        </is>
      </c>
      <c r="C50" s="93" t="inlineStr">
        <is>
          <t>Metal</t>
        </is>
      </c>
      <c r="D50" s="93" t="inlineStr">
        <is>
          <t>VYNDI</t>
        </is>
      </c>
      <c r="E50" s="93" t="inlineStr">
        <is>
          <t>Aluminium Bottle Cage</t>
        </is>
      </c>
      <c r="F50" s="93" t="inlineStr">
        <is>
          <t>Aluminium alloy</t>
        </is>
      </c>
      <c r="G50" s="93" t="inlineStr">
        <is>
          <t>BC-METAL-01</t>
        </is>
      </c>
      <c r="H50" s="232" t="n">
        <v>2500</v>
      </c>
      <c r="I50" s="188" t="n">
        <v>0</v>
      </c>
      <c r="J50" s="188" t="n">
        <v>3</v>
      </c>
      <c r="K50" s="93" t="inlineStr">
        <is>
          <t>Yes</t>
        </is>
      </c>
      <c r="L50" s="93" t="inlineStr">
        <is>
          <t>Yes</t>
        </is>
      </c>
      <c r="M50" s="93" t="inlineStr">
        <is>
          <t>No</t>
        </is>
      </c>
      <c r="N50" s="93" t="inlineStr">
        <is>
          <t>GitHub src/lib/data/inventory.ts</t>
        </is>
      </c>
      <c r="O50" s="93" t="inlineStr">
        <is>
          <t>Opening stock forced to 0; catalogue is not ledger truth</t>
        </is>
      </c>
      <c r="P50" s="188" t="n">
        <v>2</v>
      </c>
      <c r="Q50" s="188" t="n">
        <v>1</v>
      </c>
      <c r="R50" s="188" t="n">
        <v>1</v>
      </c>
      <c r="S50" s="188" t="n">
        <v>1</v>
      </c>
      <c r="T50" s="188" t="str"/>
      <c r="U50" s="93">
        <f>J50</f>
        <v/>
      </c>
      <c r="V50" s="93" t="n"/>
      <c r="W50" s="93" t="inlineStr">
        <is>
          <t>INR</t>
        </is>
      </c>
      <c r="X50" s="233" t="n"/>
      <c r="Y50" s="93" t="n"/>
      <c r="Z50" s="93" t="inlineStr">
        <is>
          <t>No</t>
        </is>
      </c>
      <c r="AA50" t="inlineStr">
        <is>
          <t>No</t>
        </is>
      </c>
      <c r="AB50" t="inlineStr">
        <is>
          <t>No</t>
        </is>
      </c>
    </row>
    <row r="51" ht="27.60000038146973" customHeight="1" s="88">
      <c r="A51" s="93" t="inlineStr">
        <is>
          <t>cage-carbon</t>
        </is>
      </c>
      <c r="B51" s="93" t="inlineStr">
        <is>
          <t>bottle-cage</t>
        </is>
      </c>
      <c r="C51" s="93" t="inlineStr">
        <is>
          <t>Carbon</t>
        </is>
      </c>
      <c r="D51" s="93" t="inlineStr">
        <is>
          <t>VYNDI</t>
        </is>
      </c>
      <c r="E51" s="93" t="inlineStr">
        <is>
          <t>Carbon Bottle Cage</t>
        </is>
      </c>
      <c r="F51" s="93" t="inlineStr">
        <is>
          <t>UD carbon</t>
        </is>
      </c>
      <c r="G51" s="93" t="inlineStr">
        <is>
          <t>BC-CARBON-01</t>
        </is>
      </c>
      <c r="H51" s="232" t="n">
        <v>4500</v>
      </c>
      <c r="I51" s="188" t="n">
        <v>0</v>
      </c>
      <c r="J51" s="188" t="n">
        <v>2</v>
      </c>
      <c r="K51" s="93" t="inlineStr">
        <is>
          <t>No</t>
        </is>
      </c>
      <c r="L51" s="93" t="inlineStr">
        <is>
          <t>Yes</t>
        </is>
      </c>
      <c r="M51" s="93" t="inlineStr">
        <is>
          <t>Yes</t>
        </is>
      </c>
      <c r="N51" s="93" t="inlineStr">
        <is>
          <t>GitHub src/lib/data/inventory.ts</t>
        </is>
      </c>
      <c r="O51" s="93" t="inlineStr">
        <is>
          <t>Opening stock forced to 0; catalogue is not ledger truth</t>
        </is>
      </c>
      <c r="P51" s="188" t="n">
        <v>2</v>
      </c>
      <c r="Q51" s="188" t="n">
        <v>1</v>
      </c>
      <c r="R51" s="188" t="n">
        <v>1</v>
      </c>
      <c r="S51" s="188" t="n">
        <v>1</v>
      </c>
      <c r="T51" s="188" t="str"/>
      <c r="U51" s="93">
        <f>J51</f>
        <v/>
      </c>
      <c r="V51" s="93" t="n"/>
      <c r="W51" s="93" t="inlineStr">
        <is>
          <t>INR</t>
        </is>
      </c>
      <c r="X51" s="233" t="n"/>
      <c r="Y51" s="93" t="n"/>
      <c r="Z51" s="93" t="inlineStr">
        <is>
          <t>No</t>
        </is>
      </c>
      <c r="AA51" t="inlineStr">
        <is>
          <t>No</t>
        </is>
      </c>
      <c r="AB51" t="inlineStr">
        <is>
          <t>No</t>
        </is>
      </c>
    </row>
    <row r="52" ht="27.60000038146973" customHeight="1" s="88">
      <c r="A52" s="93" t="inlineStr">
        <is>
          <t>tool-pouch</t>
        </is>
      </c>
      <c r="B52" s="93" t="inlineStr">
        <is>
          <t>tool-pouch</t>
        </is>
      </c>
      <c r="C52" s="93" t="inlineStr">
        <is>
          <t>Integrated</t>
        </is>
      </c>
      <c r="D52" s="93" t="inlineStr">
        <is>
          <t>VYNDI</t>
        </is>
      </c>
      <c r="E52" s="93" t="inlineStr">
        <is>
          <t>Integrated Tool Pouch</t>
        </is>
      </c>
      <c r="F52" s="93" t="inlineStr">
        <is>
          <t>Frame-mounted storage</t>
        </is>
      </c>
      <c r="G52" s="93" t="inlineStr">
        <is>
          <t>TP-INTEGRATED-01</t>
        </is>
      </c>
      <c r="H52" s="232" t="n">
        <v>3500</v>
      </c>
      <c r="I52" s="188" t="n">
        <v>0</v>
      </c>
      <c r="J52" s="188" t="n">
        <v>2</v>
      </c>
      <c r="K52" s="93" t="inlineStr">
        <is>
          <t>Yes</t>
        </is>
      </c>
      <c r="L52" s="93" t="inlineStr">
        <is>
          <t>Yes</t>
        </is>
      </c>
      <c r="M52" s="93" t="inlineStr">
        <is>
          <t>Yes</t>
        </is>
      </c>
      <c r="N52" s="93" t="inlineStr">
        <is>
          <t>GitHub src/lib/data/inventory.ts</t>
        </is>
      </c>
      <c r="O52" s="93" t="inlineStr">
        <is>
          <t>Opening stock forced to 0; catalogue is not ledger truth</t>
        </is>
      </c>
      <c r="P52" s="188" t="n">
        <v>2</v>
      </c>
      <c r="Q52" s="188" t="n">
        <v>1</v>
      </c>
      <c r="R52" s="188" t="n">
        <v>1</v>
      </c>
      <c r="S52" s="188" t="n">
        <v>1</v>
      </c>
      <c r="T52" s="188" t="str"/>
      <c r="U52" s="93">
        <f>J52</f>
        <v/>
      </c>
      <c r="V52" s="93" t="n"/>
      <c r="W52" s="93" t="inlineStr">
        <is>
          <t>INR</t>
        </is>
      </c>
      <c r="X52" s="233" t="n"/>
      <c r="Y52" s="93" t="n"/>
      <c r="Z52" s="93" t="inlineStr">
        <is>
          <t>No</t>
        </is>
      </c>
      <c r="AA52" t="inlineStr">
        <is>
          <t>No</t>
        </is>
      </c>
      <c r="AB52" t="inlineStr">
        <is>
          <t>No</t>
        </is>
      </c>
    </row>
    <row r="53" ht="27.60000038146973" customHeight="1" s="88">
      <c r="A53" s="93" t="inlineStr">
        <is>
          <t>bracket-computer</t>
        </is>
      </c>
      <c r="B53" s="93" t="inlineStr">
        <is>
          <t>bracket</t>
        </is>
      </c>
      <c r="C53" s="93" t="inlineStr">
        <is>
          <t>Computer</t>
        </is>
      </c>
      <c r="D53" s="93" t="inlineStr">
        <is>
          <t>VYNDI</t>
        </is>
      </c>
      <c r="E53" s="93" t="inlineStr">
        <is>
          <t>Integrated Computer Bracket</t>
        </is>
      </c>
      <c r="F53" s="93" t="inlineStr">
        <is>
          <t>Front computer mount</t>
        </is>
      </c>
      <c r="G53" s="93" t="inlineStr">
        <is>
          <t>BR-COMP-01</t>
        </is>
      </c>
      <c r="H53" s="232" t="n">
        <v>2500</v>
      </c>
      <c r="I53" s="188" t="n">
        <v>0</v>
      </c>
      <c r="J53" s="188" t="n">
        <v>2</v>
      </c>
      <c r="K53" s="93" t="inlineStr">
        <is>
          <t>Yes</t>
        </is>
      </c>
      <c r="L53" s="93" t="inlineStr">
        <is>
          <t>Yes</t>
        </is>
      </c>
      <c r="M53" s="93" t="inlineStr">
        <is>
          <t>Yes</t>
        </is>
      </c>
      <c r="N53" s="93" t="inlineStr">
        <is>
          <t>GitHub src/lib/data/inventory.ts</t>
        </is>
      </c>
      <c r="O53" s="93" t="inlineStr">
        <is>
          <t>Opening stock forced to 0; catalogue is not ledger truth</t>
        </is>
      </c>
      <c r="P53" s="188" t="n">
        <v>2</v>
      </c>
      <c r="Q53" s="188" t="n">
        <v>1</v>
      </c>
      <c r="R53" s="188" t="n">
        <v>1</v>
      </c>
      <c r="S53" s="188" t="n">
        <v>1</v>
      </c>
      <c r="T53" s="188" t="str"/>
      <c r="U53" s="93">
        <f>J53</f>
        <v/>
      </c>
      <c r="V53" s="93" t="n"/>
      <c r="W53" s="93" t="inlineStr">
        <is>
          <t>INR</t>
        </is>
      </c>
      <c r="X53" s="233" t="n"/>
      <c r="Y53" s="93" t="n"/>
      <c r="Z53" s="93" t="inlineStr">
        <is>
          <t>No</t>
        </is>
      </c>
      <c r="AA53" t="inlineStr">
        <is>
          <t>No</t>
        </is>
      </c>
      <c r="AB53" t="inlineStr">
        <is>
          <t>No</t>
        </is>
      </c>
    </row>
    <row r="54" ht="27.60000038146973" customHeight="1" s="88">
      <c r="A54" s="93" t="inlineStr">
        <is>
          <t>bracket-light</t>
        </is>
      </c>
      <c r="B54" s="93" t="inlineStr">
        <is>
          <t>bracket</t>
        </is>
      </c>
      <c r="C54" s="93" t="inlineStr">
        <is>
          <t>Light</t>
        </is>
      </c>
      <c r="D54" s="93" t="inlineStr">
        <is>
          <t>VYNDI</t>
        </is>
      </c>
      <c r="E54" s="93" t="inlineStr">
        <is>
          <t>Integrated Light Bracket</t>
        </is>
      </c>
      <c r="F54" s="93" t="inlineStr">
        <is>
          <t>Front light mount</t>
        </is>
      </c>
      <c r="G54" s="93" t="inlineStr">
        <is>
          <t>BR-LIGHT-01</t>
        </is>
      </c>
      <c r="H54" s="232" t="n">
        <v>1800</v>
      </c>
      <c r="I54" s="188" t="n">
        <v>0</v>
      </c>
      <c r="J54" s="188" t="n">
        <v>2</v>
      </c>
      <c r="K54" s="93" t="inlineStr">
        <is>
          <t>Yes</t>
        </is>
      </c>
      <c r="L54" s="93" t="inlineStr">
        <is>
          <t>Yes</t>
        </is>
      </c>
      <c r="M54" s="93" t="inlineStr">
        <is>
          <t>Yes</t>
        </is>
      </c>
      <c r="N54" s="93" t="inlineStr">
        <is>
          <t>GitHub src/lib/data/inventory.ts</t>
        </is>
      </c>
      <c r="O54" s="93" t="inlineStr">
        <is>
          <t>Opening stock forced to 0; catalogue is not ledger truth</t>
        </is>
      </c>
      <c r="P54" s="188" t="n">
        <v>2</v>
      </c>
      <c r="Q54" s="188" t="n">
        <v>1</v>
      </c>
      <c r="R54" s="188" t="n">
        <v>1</v>
      </c>
      <c r="S54" s="188" t="n">
        <v>1</v>
      </c>
      <c r="T54" s="188" t="str"/>
      <c r="U54" s="93">
        <f>J54</f>
        <v/>
      </c>
      <c r="V54" s="93" t="n"/>
      <c r="W54" s="93" t="inlineStr">
        <is>
          <t>INR</t>
        </is>
      </c>
      <c r="X54" s="233" t="n"/>
      <c r="Y54" s="93" t="n"/>
      <c r="Z54" s="93" t="inlineStr">
        <is>
          <t>No</t>
        </is>
      </c>
      <c r="AA54" t="inlineStr">
        <is>
          <t>No</t>
        </is>
      </c>
      <c r="AB54" t="inlineStr">
        <is>
          <t>No</t>
        </is>
      </c>
    </row>
    <row r="55" ht="27.60000038146973" customHeight="1" s="88">
      <c r="A55" s="93" t="inlineStr">
        <is>
          <t>bracket-bottle</t>
        </is>
      </c>
      <c r="B55" s="93" t="inlineStr">
        <is>
          <t>bracket</t>
        </is>
      </c>
      <c r="C55" s="93" t="inlineStr">
        <is>
          <t>Bottle</t>
        </is>
      </c>
      <c r="D55" s="93" t="inlineStr">
        <is>
          <t>VYNDI</t>
        </is>
      </c>
      <c r="E55" s="93" t="inlineStr">
        <is>
          <t>Under-Top-Tube Bottle Bracket</t>
        </is>
      </c>
      <c r="F55" s="93" t="inlineStr">
        <is>
          <t>Accessory mount</t>
        </is>
      </c>
      <c r="G55" s="93" t="inlineStr">
        <is>
          <t>BR-BOTTLE-01</t>
        </is>
      </c>
      <c r="H55" s="232" t="n">
        <v>1800</v>
      </c>
      <c r="I55" s="188" t="n">
        <v>0</v>
      </c>
      <c r="J55" s="188" t="n">
        <v>2</v>
      </c>
      <c r="K55" s="93" t="inlineStr">
        <is>
          <t>Yes</t>
        </is>
      </c>
      <c r="L55" s="93" t="inlineStr">
        <is>
          <t>Yes</t>
        </is>
      </c>
      <c r="M55" s="93" t="inlineStr">
        <is>
          <t>Yes</t>
        </is>
      </c>
      <c r="N55" s="93" t="inlineStr">
        <is>
          <t>GitHub src/lib/data/inventory.ts</t>
        </is>
      </c>
      <c r="O55" s="93" t="inlineStr">
        <is>
          <t>Opening stock forced to 0; catalogue is not ledger truth</t>
        </is>
      </c>
      <c r="P55" s="188" t="n">
        <v>2</v>
      </c>
      <c r="Q55" s="188" t="n">
        <v>1</v>
      </c>
      <c r="R55" s="188" t="n">
        <v>1</v>
      </c>
      <c r="S55" s="188" t="n">
        <v>1</v>
      </c>
      <c r="T55" s="188" t="str"/>
      <c r="U55" s="93">
        <f>J55</f>
        <v/>
      </c>
      <c r="V55" s="93" t="n"/>
      <c r="W55" s="93" t="inlineStr">
        <is>
          <t>INR</t>
        </is>
      </c>
      <c r="X55" s="233" t="n"/>
      <c r="Y55" s="93" t="n"/>
      <c r="Z55" s="93" t="inlineStr">
        <is>
          <t>No</t>
        </is>
      </c>
      <c r="AA55" t="inlineStr">
        <is>
          <t>No</t>
        </is>
      </c>
      <c r="AB55" t="inlineStr">
        <is>
          <t>No</t>
        </is>
      </c>
    </row>
    <row r="56" ht="27.60000038146973" customHeight="1" s="88">
      <c r="A56" s="93" t="inlineStr">
        <is>
          <t>fastener-5</t>
        </is>
      </c>
      <c r="B56" s="93" t="inlineStr">
        <is>
          <t>fastener</t>
        </is>
      </c>
      <c r="C56" s="93" t="inlineStr">
        <is>
          <t>Allen Screw</t>
        </is>
      </c>
      <c r="D56" s="93" t="inlineStr">
        <is>
          <t>VYNDI</t>
        </is>
      </c>
      <c r="E56" s="93" t="inlineStr">
        <is>
          <t>Allen Fastener M5</t>
        </is>
      </c>
      <c r="F56" s="93" t="inlineStr">
        <is>
          <t>M5 stainless / black finish</t>
        </is>
      </c>
      <c r="G56" s="93" t="inlineStr">
        <is>
          <t>HW-ALLEN-M5</t>
        </is>
      </c>
      <c r="H56" s="232" t="n">
        <v>600</v>
      </c>
      <c r="I56" s="188" t="n">
        <v>0</v>
      </c>
      <c r="J56" s="188" t="n">
        <v>20</v>
      </c>
      <c r="K56" s="93" t="inlineStr">
        <is>
          <t>Yes</t>
        </is>
      </c>
      <c r="L56" s="93" t="inlineStr">
        <is>
          <t>Yes</t>
        </is>
      </c>
      <c r="M56" s="93" t="inlineStr">
        <is>
          <t>Yes</t>
        </is>
      </c>
      <c r="N56" s="93" t="inlineStr">
        <is>
          <t>GitHub src/lib/data/inventory.ts</t>
        </is>
      </c>
      <c r="O56" s="93" t="inlineStr">
        <is>
          <t>Opening stock forced to 0; catalogue is not ledger truth</t>
        </is>
      </c>
      <c r="P56" s="188" t="n">
        <v>2</v>
      </c>
      <c r="Q56" s="188" t="n">
        <v>1</v>
      </c>
      <c r="R56" s="188" t="n">
        <v>1</v>
      </c>
      <c r="S56" s="188" t="n">
        <v>1</v>
      </c>
      <c r="T56" s="188" t="str"/>
      <c r="U56" s="93">
        <f>J56</f>
        <v/>
      </c>
      <c r="V56" s="93" t="n"/>
      <c r="W56" s="93" t="inlineStr">
        <is>
          <t>INR</t>
        </is>
      </c>
      <c r="X56" s="233" t="n"/>
      <c r="Y56" s="93" t="n"/>
      <c r="Z56" s="93" t="inlineStr">
        <is>
          <t>No</t>
        </is>
      </c>
      <c r="AA56" t="inlineStr">
        <is>
          <t>No</t>
        </is>
      </c>
      <c r="AB56" t="inlineStr">
        <is>
          <t>No</t>
        </is>
      </c>
    </row>
    <row r="57" ht="27.60000038146973" customHeight="1" s="88">
      <c r="A57" s="93" t="inlineStr">
        <is>
          <t>fastener-6</t>
        </is>
      </c>
      <c r="B57" s="93" t="inlineStr">
        <is>
          <t>fastener</t>
        </is>
      </c>
      <c r="C57" s="93" t="inlineStr">
        <is>
          <t>Allen Screw</t>
        </is>
      </c>
      <c r="D57" s="93" t="inlineStr">
        <is>
          <t>VYNDI</t>
        </is>
      </c>
      <c r="E57" s="93" t="inlineStr">
        <is>
          <t>Allen Fastener M6</t>
        </is>
      </c>
      <c r="F57" s="93" t="inlineStr">
        <is>
          <t>M6 stainless / black finish</t>
        </is>
      </c>
      <c r="G57" s="93" t="inlineStr">
        <is>
          <t>HW-ALLEN-M6</t>
        </is>
      </c>
      <c r="H57" s="232" t="n">
        <v>700</v>
      </c>
      <c r="I57" s="188" t="n">
        <v>0</v>
      </c>
      <c r="J57" s="188" t="n">
        <v>20</v>
      </c>
      <c r="K57" s="93" t="inlineStr">
        <is>
          <t>Yes</t>
        </is>
      </c>
      <c r="L57" s="93" t="inlineStr">
        <is>
          <t>Yes</t>
        </is>
      </c>
      <c r="M57" s="93" t="inlineStr">
        <is>
          <t>Yes</t>
        </is>
      </c>
      <c r="N57" s="93" t="inlineStr">
        <is>
          <t>GitHub src/lib/data/inventory.ts</t>
        </is>
      </c>
      <c r="O57" s="93" t="inlineStr">
        <is>
          <t>Opening stock forced to 0; catalogue is not ledger truth</t>
        </is>
      </c>
      <c r="P57" s="188" t="n">
        <v>2</v>
      </c>
      <c r="Q57" s="188" t="n">
        <v>1</v>
      </c>
      <c r="R57" s="188" t="n">
        <v>1</v>
      </c>
      <c r="S57" s="188" t="n">
        <v>1</v>
      </c>
      <c r="T57" s="188" t="str"/>
      <c r="U57" s="93">
        <f>J57</f>
        <v/>
      </c>
      <c r="V57" s="93" t="n"/>
      <c r="W57" s="93" t="inlineStr">
        <is>
          <t>INR</t>
        </is>
      </c>
      <c r="X57" s="233" t="n"/>
      <c r="Y57" s="93" t="n"/>
      <c r="Z57" s="93" t="inlineStr">
        <is>
          <t>No</t>
        </is>
      </c>
      <c r="AA57" t="inlineStr">
        <is>
          <t>No</t>
        </is>
      </c>
      <c r="AB57" t="inlineStr">
        <is>
          <t>No</t>
        </is>
      </c>
    </row>
    <row r="58" ht="27.60000038146973" customHeight="1" s="88">
      <c r="A58" s="93" t="inlineStr">
        <is>
          <t>fastener-8</t>
        </is>
      </c>
      <c r="B58" s="93" t="inlineStr">
        <is>
          <t>fastener</t>
        </is>
      </c>
      <c r="C58" s="93" t="inlineStr">
        <is>
          <t>Allen Screw</t>
        </is>
      </c>
      <c r="D58" s="93" t="inlineStr">
        <is>
          <t>VYNDI</t>
        </is>
      </c>
      <c r="E58" s="93" t="inlineStr">
        <is>
          <t>Allen Fastener M8</t>
        </is>
      </c>
      <c r="F58" s="93" t="inlineStr">
        <is>
          <t>M8 stainless / black finish</t>
        </is>
      </c>
      <c r="G58" s="93" t="inlineStr">
        <is>
          <t>HW-ALLEN-M8</t>
        </is>
      </c>
      <c r="H58" s="232" t="n">
        <v>900</v>
      </c>
      <c r="I58" s="188" t="n">
        <v>0</v>
      </c>
      <c r="J58" s="188" t="n">
        <v>10</v>
      </c>
      <c r="K58" s="93" t="inlineStr">
        <is>
          <t>Yes</t>
        </is>
      </c>
      <c r="L58" s="93" t="inlineStr">
        <is>
          <t>Yes</t>
        </is>
      </c>
      <c r="M58" s="93" t="inlineStr">
        <is>
          <t>Yes</t>
        </is>
      </c>
      <c r="N58" s="93" t="inlineStr">
        <is>
          <t>GitHub src/lib/data/inventory.ts</t>
        </is>
      </c>
      <c r="O58" s="93" t="inlineStr">
        <is>
          <t>Opening stock forced to 0; catalogue is not ledger truth</t>
        </is>
      </c>
      <c r="P58" s="188" t="n">
        <v>2</v>
      </c>
      <c r="Q58" s="188" t="n">
        <v>1</v>
      </c>
      <c r="R58" s="188" t="n">
        <v>1</v>
      </c>
      <c r="S58" s="188" t="n">
        <v>1</v>
      </c>
      <c r="T58" s="188" t="str"/>
      <c r="U58" s="93">
        <f>J58</f>
        <v/>
      </c>
      <c r="V58" s="93" t="n"/>
      <c r="W58" s="93" t="inlineStr">
        <is>
          <t>INR</t>
        </is>
      </c>
      <c r="X58" s="233" t="n"/>
      <c r="Y58" s="93" t="n"/>
      <c r="Z58" s="93" t="inlineStr">
        <is>
          <t>No</t>
        </is>
      </c>
      <c r="AA58" t="inlineStr">
        <is>
          <t>No</t>
        </is>
      </c>
      <c r="AB58" t="inlineStr">
        <is>
          <t>No</t>
        </is>
      </c>
    </row>
    <row r="59" ht="27.60000038146973" customHeight="1" s="88">
      <c r="A59" s="93" t="inlineStr">
        <is>
          <t>gauge-torque</t>
        </is>
      </c>
      <c r="B59" s="93" t="inlineStr">
        <is>
          <t>gauge</t>
        </is>
      </c>
      <c r="C59" s="93" t="inlineStr">
        <is>
          <t>Workshop</t>
        </is>
      </c>
      <c r="D59" s="93" t="inlineStr">
        <is>
          <t>VYNDI</t>
        </is>
      </c>
      <c r="E59" s="93" t="inlineStr">
        <is>
          <t>Torque / Fit Gauge Set</t>
        </is>
      </c>
      <c r="F59" s="93" t="inlineStr">
        <is>
          <t>Assembly and service gauge set</t>
        </is>
      </c>
      <c r="G59" s="93" t="inlineStr">
        <is>
          <t>GAUGE-TORQUE-01</t>
        </is>
      </c>
      <c r="H59" s="232" t="n">
        <v>4500</v>
      </c>
      <c r="I59" s="188" t="n">
        <v>0</v>
      </c>
      <c r="J59" s="188" t="n">
        <v>1</v>
      </c>
      <c r="K59" s="93" t="inlineStr">
        <is>
          <t>Yes</t>
        </is>
      </c>
      <c r="L59" s="93" t="inlineStr">
        <is>
          <t>Yes</t>
        </is>
      </c>
      <c r="M59" s="93" t="inlineStr">
        <is>
          <t>Yes</t>
        </is>
      </c>
      <c r="N59" s="93" t="inlineStr">
        <is>
          <t>GitHub src/lib/data/inventory.ts</t>
        </is>
      </c>
      <c r="O59" s="93" t="inlineStr">
        <is>
          <t>Opening stock forced to 0; catalogue is not ledger truth</t>
        </is>
      </c>
      <c r="P59" s="188" t="n">
        <v>2</v>
      </c>
      <c r="Q59" s="188" t="n">
        <v>1</v>
      </c>
      <c r="R59" s="188" t="n">
        <v>1</v>
      </c>
      <c r="S59" s="188" t="n">
        <v>1</v>
      </c>
      <c r="T59" s="188" t="str"/>
      <c r="U59" s="93">
        <f>J59</f>
        <v/>
      </c>
      <c r="V59" s="93" t="n"/>
      <c r="W59" s="93" t="inlineStr">
        <is>
          <t>INR</t>
        </is>
      </c>
      <c r="X59" s="233" t="n"/>
      <c r="Y59" s="93" t="n"/>
      <c r="Z59" s="93" t="inlineStr">
        <is>
          <t>No</t>
        </is>
      </c>
      <c r="AA59" t="inlineStr">
        <is>
          <t>No</t>
        </is>
      </c>
      <c r="AB59" t="inlineStr">
        <is>
          <t>No</t>
        </is>
      </c>
    </row>
    <row r="60" ht="27.60000038146973" customHeight="1" s="88">
      <c r="A60" s="93" t="inlineStr">
        <is>
          <t>colour-bright-1</t>
        </is>
      </c>
      <c r="B60" s="93" t="inlineStr">
        <is>
          <t>colour</t>
        </is>
      </c>
      <c r="C60" s="93" t="inlineStr">
        <is>
          <t>Bright</t>
        </is>
      </c>
      <c r="D60" s="93" t="inlineStr">
        <is>
          <t>VYNDI</t>
        </is>
      </c>
      <c r="E60" s="93" t="inlineStr">
        <is>
          <t>Solar Yellow</t>
        </is>
      </c>
      <c r="F60" s="93" t="inlineStr">
        <is>
          <t>Bright solid</t>
        </is>
      </c>
      <c r="G60" s="93" t="inlineStr">
        <is>
          <t>CLR-BRT-01</t>
        </is>
      </c>
      <c r="H60" s="232" t="n">
        <v>0</v>
      </c>
      <c r="I60" s="188" t="n">
        <v>0</v>
      </c>
      <c r="J60" s="188" t="n">
        <v>3</v>
      </c>
      <c r="K60" s="93" t="inlineStr">
        <is>
          <t>Yes</t>
        </is>
      </c>
      <c r="L60" s="93" t="inlineStr">
        <is>
          <t>Yes</t>
        </is>
      </c>
      <c r="M60" s="93" t="inlineStr">
        <is>
          <t>Yes</t>
        </is>
      </c>
      <c r="N60" s="93" t="inlineStr">
        <is>
          <t>GitHub src/lib/data/inventory.ts</t>
        </is>
      </c>
      <c r="O60" s="93" t="inlineStr">
        <is>
          <t>Opening stock forced to 0; catalogue is not ledger truth</t>
        </is>
      </c>
      <c r="P60" s="188" t="n">
        <v>2</v>
      </c>
      <c r="Q60" s="188" t="n">
        <v>1</v>
      </c>
      <c r="R60" s="188" t="n">
        <v>1</v>
      </c>
      <c r="S60" s="188" t="n">
        <v>1</v>
      </c>
      <c r="T60" s="188" t="str"/>
      <c r="U60" s="93">
        <f>J60</f>
        <v/>
      </c>
      <c r="V60" s="93" t="n"/>
      <c r="W60" s="93" t="inlineStr">
        <is>
          <t>INR</t>
        </is>
      </c>
      <c r="X60" s="233" t="n"/>
      <c r="Y60" s="93" t="n"/>
      <c r="Z60" s="93" t="inlineStr">
        <is>
          <t>No</t>
        </is>
      </c>
      <c r="AA60" t="inlineStr">
        <is>
          <t>No</t>
        </is>
      </c>
      <c r="AB60" t="inlineStr">
        <is>
          <t>No</t>
        </is>
      </c>
    </row>
    <row r="61" ht="27.60000038146973" customHeight="1" s="88">
      <c r="A61" s="93" t="inlineStr">
        <is>
          <t>colour-bright-2</t>
        </is>
      </c>
      <c r="B61" s="93" t="inlineStr">
        <is>
          <t>colour</t>
        </is>
      </c>
      <c r="C61" s="93" t="inlineStr">
        <is>
          <t>Bright</t>
        </is>
      </c>
      <c r="D61" s="93" t="inlineStr">
        <is>
          <t>VYNDI</t>
        </is>
      </c>
      <c r="E61" s="93" t="inlineStr">
        <is>
          <t>Signal Red</t>
        </is>
      </c>
      <c r="F61" s="93" t="inlineStr">
        <is>
          <t>Bright solid</t>
        </is>
      </c>
      <c r="G61" s="93" t="inlineStr">
        <is>
          <t>CLR-BRT-02</t>
        </is>
      </c>
      <c r="H61" s="232" t="n">
        <v>0</v>
      </c>
      <c r="I61" s="188" t="n">
        <v>0</v>
      </c>
      <c r="J61" s="188" t="n">
        <v>3</v>
      </c>
      <c r="K61" s="93" t="inlineStr">
        <is>
          <t>Yes</t>
        </is>
      </c>
      <c r="L61" s="93" t="inlineStr">
        <is>
          <t>Yes</t>
        </is>
      </c>
      <c r="M61" s="93" t="inlineStr">
        <is>
          <t>Yes</t>
        </is>
      </c>
      <c r="N61" s="93" t="inlineStr">
        <is>
          <t>GitHub src/lib/data/inventory.ts</t>
        </is>
      </c>
      <c r="O61" s="93" t="inlineStr">
        <is>
          <t>Opening stock forced to 0; catalogue is not ledger truth</t>
        </is>
      </c>
      <c r="P61" s="188" t="n">
        <v>2</v>
      </c>
      <c r="Q61" s="188" t="n">
        <v>1</v>
      </c>
      <c r="R61" s="188" t="n">
        <v>1</v>
      </c>
      <c r="S61" s="188" t="n">
        <v>1</v>
      </c>
      <c r="T61" s="188" t="str"/>
      <c r="U61" s="93">
        <f>J61</f>
        <v/>
      </c>
      <c r="V61" s="93" t="n"/>
      <c r="W61" s="93" t="inlineStr">
        <is>
          <t>INR</t>
        </is>
      </c>
      <c r="X61" s="233" t="n"/>
      <c r="Y61" s="93" t="n"/>
      <c r="Z61" s="93" t="inlineStr">
        <is>
          <t>No</t>
        </is>
      </c>
      <c r="AA61" t="inlineStr">
        <is>
          <t>No</t>
        </is>
      </c>
      <c r="AB61" t="inlineStr">
        <is>
          <t>No</t>
        </is>
      </c>
    </row>
    <row r="62" ht="27.60000038146973" customHeight="1" s="88">
      <c r="A62" s="93" t="inlineStr">
        <is>
          <t>colour-bright-3</t>
        </is>
      </c>
      <c r="B62" s="93" t="inlineStr">
        <is>
          <t>colour</t>
        </is>
      </c>
      <c r="C62" s="93" t="inlineStr">
        <is>
          <t>Bright</t>
        </is>
      </c>
      <c r="D62" s="93" t="inlineStr">
        <is>
          <t>VYNDI</t>
        </is>
      </c>
      <c r="E62" s="93" t="inlineStr">
        <is>
          <t>Electric Blue</t>
        </is>
      </c>
      <c r="F62" s="93" t="inlineStr">
        <is>
          <t>Bright solid</t>
        </is>
      </c>
      <c r="G62" s="93" t="inlineStr">
        <is>
          <t>CLR-BRT-03</t>
        </is>
      </c>
      <c r="H62" s="232" t="n">
        <v>0</v>
      </c>
      <c r="I62" s="188" t="n">
        <v>0</v>
      </c>
      <c r="J62" s="188" t="n">
        <v>3</v>
      </c>
      <c r="K62" s="93" t="inlineStr">
        <is>
          <t>Yes</t>
        </is>
      </c>
      <c r="L62" s="93" t="inlineStr">
        <is>
          <t>Yes</t>
        </is>
      </c>
      <c r="M62" s="93" t="inlineStr">
        <is>
          <t>Yes</t>
        </is>
      </c>
      <c r="N62" s="93" t="inlineStr">
        <is>
          <t>GitHub src/lib/data/inventory.ts</t>
        </is>
      </c>
      <c r="O62" s="93" t="inlineStr">
        <is>
          <t>Opening stock forced to 0; catalogue is not ledger truth</t>
        </is>
      </c>
      <c r="P62" s="188" t="n">
        <v>2</v>
      </c>
      <c r="Q62" s="188" t="n">
        <v>1</v>
      </c>
      <c r="R62" s="188" t="n">
        <v>1</v>
      </c>
      <c r="S62" s="188" t="n">
        <v>1</v>
      </c>
      <c r="T62" s="188" t="str"/>
      <c r="U62" s="93">
        <f>J62</f>
        <v/>
      </c>
      <c r="V62" s="93" t="n"/>
      <c r="W62" s="93" t="inlineStr">
        <is>
          <t>INR</t>
        </is>
      </c>
      <c r="X62" s="233" t="n"/>
      <c r="Y62" s="93" t="n"/>
      <c r="Z62" s="93" t="inlineStr">
        <is>
          <t>No</t>
        </is>
      </c>
      <c r="AA62" t="inlineStr">
        <is>
          <t>No</t>
        </is>
      </c>
      <c r="AB62" t="inlineStr">
        <is>
          <t>No</t>
        </is>
      </c>
    </row>
    <row r="63" ht="27.60000038146973" customHeight="1" s="88">
      <c r="A63" s="93" t="inlineStr">
        <is>
          <t>colour-bright-4</t>
        </is>
      </c>
      <c r="B63" s="93" t="inlineStr">
        <is>
          <t>colour</t>
        </is>
      </c>
      <c r="C63" s="93" t="inlineStr">
        <is>
          <t>Bright</t>
        </is>
      </c>
      <c r="D63" s="93" t="inlineStr">
        <is>
          <t>VYNDI</t>
        </is>
      </c>
      <c r="E63" s="93" t="inlineStr">
        <is>
          <t>Lime Green</t>
        </is>
      </c>
      <c r="F63" s="93" t="inlineStr">
        <is>
          <t>Bright solid</t>
        </is>
      </c>
      <c r="G63" s="93" t="inlineStr">
        <is>
          <t>CLR-BRT-04</t>
        </is>
      </c>
      <c r="H63" s="232" t="n">
        <v>0</v>
      </c>
      <c r="I63" s="188" t="n">
        <v>0</v>
      </c>
      <c r="J63" s="188" t="n">
        <v>3</v>
      </c>
      <c r="K63" s="93" t="inlineStr">
        <is>
          <t>Yes</t>
        </is>
      </c>
      <c r="L63" s="93" t="inlineStr">
        <is>
          <t>Yes</t>
        </is>
      </c>
      <c r="M63" s="93" t="inlineStr">
        <is>
          <t>Yes</t>
        </is>
      </c>
      <c r="N63" s="93" t="inlineStr">
        <is>
          <t>GitHub src/lib/data/inventory.ts</t>
        </is>
      </c>
      <c r="O63" s="93" t="inlineStr">
        <is>
          <t>Opening stock forced to 0; catalogue is not ledger truth</t>
        </is>
      </c>
      <c r="P63" s="188" t="n">
        <v>2</v>
      </c>
      <c r="Q63" s="188" t="n">
        <v>1</v>
      </c>
      <c r="R63" s="188" t="n">
        <v>1</v>
      </c>
      <c r="S63" s="188" t="n">
        <v>1</v>
      </c>
      <c r="T63" s="188" t="str"/>
      <c r="U63" s="93">
        <f>J63</f>
        <v/>
      </c>
      <c r="V63" s="93" t="n"/>
      <c r="W63" s="93" t="inlineStr">
        <is>
          <t>INR</t>
        </is>
      </c>
      <c r="X63" s="233" t="n"/>
      <c r="Y63" s="93" t="n"/>
      <c r="Z63" s="93" t="inlineStr">
        <is>
          <t>No</t>
        </is>
      </c>
      <c r="AA63" t="inlineStr">
        <is>
          <t>No</t>
        </is>
      </c>
      <c r="AB63" t="inlineStr">
        <is>
          <t>No</t>
        </is>
      </c>
    </row>
    <row r="64" ht="27.60000038146973" customHeight="1" s="88">
      <c r="A64" s="93" t="inlineStr">
        <is>
          <t>colour-bright-5</t>
        </is>
      </c>
      <c r="B64" s="93" t="inlineStr">
        <is>
          <t>colour</t>
        </is>
      </c>
      <c r="C64" s="93" t="inlineStr">
        <is>
          <t>Bright</t>
        </is>
      </c>
      <c r="D64" s="93" t="inlineStr">
        <is>
          <t>VYNDI</t>
        </is>
      </c>
      <c r="E64" s="93" t="inlineStr">
        <is>
          <t>Tangerine Orange</t>
        </is>
      </c>
      <c r="F64" s="93" t="inlineStr">
        <is>
          <t>Bright solid</t>
        </is>
      </c>
      <c r="G64" s="93" t="inlineStr">
        <is>
          <t>CLR-BRT-05</t>
        </is>
      </c>
      <c r="H64" s="232" t="n">
        <v>0</v>
      </c>
      <c r="I64" s="188" t="n">
        <v>0</v>
      </c>
      <c r="J64" s="188" t="n">
        <v>3</v>
      </c>
      <c r="K64" s="93" t="inlineStr">
        <is>
          <t>Yes</t>
        </is>
      </c>
      <c r="L64" s="93" t="inlineStr">
        <is>
          <t>Yes</t>
        </is>
      </c>
      <c r="M64" s="93" t="inlineStr">
        <is>
          <t>Yes</t>
        </is>
      </c>
      <c r="N64" s="93" t="inlineStr">
        <is>
          <t>GitHub src/lib/data/inventory.ts</t>
        </is>
      </c>
      <c r="O64" s="93" t="inlineStr">
        <is>
          <t>Opening stock forced to 0; catalogue is not ledger truth</t>
        </is>
      </c>
      <c r="P64" s="188" t="n">
        <v>2</v>
      </c>
      <c r="Q64" s="188" t="n">
        <v>1</v>
      </c>
      <c r="R64" s="188" t="n">
        <v>1</v>
      </c>
      <c r="S64" s="188" t="n">
        <v>1</v>
      </c>
      <c r="T64" s="188" t="str"/>
      <c r="U64" s="93">
        <f>J64</f>
        <v/>
      </c>
      <c r="V64" s="93" t="n"/>
      <c r="W64" s="93" t="inlineStr">
        <is>
          <t>INR</t>
        </is>
      </c>
      <c r="X64" s="233" t="n"/>
      <c r="Y64" s="93" t="n"/>
      <c r="Z64" s="93" t="inlineStr">
        <is>
          <t>No</t>
        </is>
      </c>
      <c r="AA64" t="inlineStr">
        <is>
          <t>No</t>
        </is>
      </c>
      <c r="AB64" t="inlineStr">
        <is>
          <t>No</t>
        </is>
      </c>
    </row>
    <row r="65" ht="27.60000038146973" customHeight="1" s="88">
      <c r="A65" s="93" t="inlineStr">
        <is>
          <t>colour-metal-1</t>
        </is>
      </c>
      <c r="B65" s="93" t="inlineStr">
        <is>
          <t>colour</t>
        </is>
      </c>
      <c r="C65" s="93" t="inlineStr">
        <is>
          <t>Metallic</t>
        </is>
      </c>
      <c r="D65" s="93" t="inlineStr">
        <is>
          <t>VYNDI</t>
        </is>
      </c>
      <c r="E65" s="93" t="inlineStr">
        <is>
          <t>Titanium Silver</t>
        </is>
      </c>
      <c r="F65" s="93" t="inlineStr">
        <is>
          <t>Metallic</t>
        </is>
      </c>
      <c r="G65" s="93" t="inlineStr">
        <is>
          <t>CLR-MET-01</t>
        </is>
      </c>
      <c r="H65" s="232" t="n">
        <v>0</v>
      </c>
      <c r="I65" s="188" t="n">
        <v>0</v>
      </c>
      <c r="J65" s="188" t="n">
        <v>3</v>
      </c>
      <c r="K65" s="93" t="inlineStr">
        <is>
          <t>Yes</t>
        </is>
      </c>
      <c r="L65" s="93" t="inlineStr">
        <is>
          <t>Yes</t>
        </is>
      </c>
      <c r="M65" s="93" t="inlineStr">
        <is>
          <t>Yes</t>
        </is>
      </c>
      <c r="N65" s="93" t="inlineStr">
        <is>
          <t>GitHub src/lib/data/inventory.ts</t>
        </is>
      </c>
      <c r="O65" s="93" t="inlineStr">
        <is>
          <t>Opening stock forced to 0; catalogue is not ledger truth</t>
        </is>
      </c>
      <c r="P65" s="188" t="n">
        <v>2</v>
      </c>
      <c r="Q65" s="188" t="n">
        <v>1</v>
      </c>
      <c r="R65" s="188" t="n">
        <v>1</v>
      </c>
      <c r="S65" s="188" t="n">
        <v>1</v>
      </c>
      <c r="T65" s="188" t="str"/>
      <c r="U65" s="93">
        <f>J65</f>
        <v/>
      </c>
      <c r="V65" s="93" t="n"/>
      <c r="W65" s="93" t="inlineStr">
        <is>
          <t>INR</t>
        </is>
      </c>
      <c r="X65" s="233" t="n"/>
      <c r="Y65" s="93" t="n"/>
      <c r="Z65" s="93" t="inlineStr">
        <is>
          <t>No</t>
        </is>
      </c>
      <c r="AA65" t="inlineStr">
        <is>
          <t>No</t>
        </is>
      </c>
      <c r="AB65" t="inlineStr">
        <is>
          <t>No</t>
        </is>
      </c>
    </row>
    <row r="66" ht="27.60000038146973" customHeight="1" s="88">
      <c r="A66" s="93" t="inlineStr">
        <is>
          <t>colour-metal-2</t>
        </is>
      </c>
      <c r="B66" s="93" t="inlineStr">
        <is>
          <t>colour</t>
        </is>
      </c>
      <c r="C66" s="93" t="inlineStr">
        <is>
          <t>Metallic</t>
        </is>
      </c>
      <c r="D66" s="93" t="inlineStr">
        <is>
          <t>VYNDI</t>
        </is>
      </c>
      <c r="E66" s="93" t="inlineStr">
        <is>
          <t>Graphite Metallic</t>
        </is>
      </c>
      <c r="F66" s="93" t="inlineStr">
        <is>
          <t>Metallic</t>
        </is>
      </c>
      <c r="G66" s="93" t="inlineStr">
        <is>
          <t>CLR-MET-02</t>
        </is>
      </c>
      <c r="H66" s="232" t="n">
        <v>0</v>
      </c>
      <c r="I66" s="188" t="n">
        <v>0</v>
      </c>
      <c r="J66" s="188" t="n">
        <v>3</v>
      </c>
      <c r="K66" s="93" t="inlineStr">
        <is>
          <t>Yes</t>
        </is>
      </c>
      <c r="L66" s="93" t="inlineStr">
        <is>
          <t>Yes</t>
        </is>
      </c>
      <c r="M66" s="93" t="inlineStr">
        <is>
          <t>Yes</t>
        </is>
      </c>
      <c r="N66" s="93" t="inlineStr">
        <is>
          <t>GitHub src/lib/data/inventory.ts</t>
        </is>
      </c>
      <c r="O66" s="93" t="inlineStr">
        <is>
          <t>Opening stock forced to 0; catalogue is not ledger truth</t>
        </is>
      </c>
      <c r="P66" s="188" t="n">
        <v>2</v>
      </c>
      <c r="Q66" s="188" t="n">
        <v>1</v>
      </c>
      <c r="R66" s="188" t="n">
        <v>1</v>
      </c>
      <c r="S66" s="188" t="n">
        <v>1</v>
      </c>
      <c r="T66" s="188" t="str"/>
      <c r="U66" s="93">
        <f>J66</f>
        <v/>
      </c>
      <c r="V66" s="93" t="n"/>
      <c r="W66" s="93" t="inlineStr">
        <is>
          <t>INR</t>
        </is>
      </c>
      <c r="X66" s="233" t="n"/>
      <c r="Y66" s="93" t="n"/>
      <c r="Z66" s="93" t="inlineStr">
        <is>
          <t>No</t>
        </is>
      </c>
      <c r="AA66" t="inlineStr">
        <is>
          <t>No</t>
        </is>
      </c>
      <c r="AB66" t="inlineStr">
        <is>
          <t>No</t>
        </is>
      </c>
    </row>
    <row r="67" ht="27.60000038146973" customHeight="1" s="88">
      <c r="A67" s="93" t="inlineStr">
        <is>
          <t>colour-metal-3</t>
        </is>
      </c>
      <c r="B67" s="93" t="inlineStr">
        <is>
          <t>colour</t>
        </is>
      </c>
      <c r="C67" s="93" t="inlineStr">
        <is>
          <t>Metallic</t>
        </is>
      </c>
      <c r="D67" s="93" t="inlineStr">
        <is>
          <t>VYNDI</t>
        </is>
      </c>
      <c r="E67" s="93" t="inlineStr">
        <is>
          <t>Copper Metallic</t>
        </is>
      </c>
      <c r="F67" s="93" t="inlineStr">
        <is>
          <t>Metallic</t>
        </is>
      </c>
      <c r="G67" s="93" t="inlineStr">
        <is>
          <t>CLR-MET-03</t>
        </is>
      </c>
      <c r="H67" s="232" t="n">
        <v>0</v>
      </c>
      <c r="I67" s="188" t="n">
        <v>0</v>
      </c>
      <c r="J67" s="188" t="n">
        <v>3</v>
      </c>
      <c r="K67" s="93" t="inlineStr">
        <is>
          <t>Yes</t>
        </is>
      </c>
      <c r="L67" s="93" t="inlineStr">
        <is>
          <t>Yes</t>
        </is>
      </c>
      <c r="M67" s="93" t="inlineStr">
        <is>
          <t>Yes</t>
        </is>
      </c>
      <c r="N67" s="93" t="inlineStr">
        <is>
          <t>GitHub src/lib/data/inventory.ts</t>
        </is>
      </c>
      <c r="O67" s="93" t="inlineStr">
        <is>
          <t>Opening stock forced to 0; catalogue is not ledger truth</t>
        </is>
      </c>
      <c r="P67" s="188" t="n">
        <v>2</v>
      </c>
      <c r="Q67" s="188" t="n">
        <v>1</v>
      </c>
      <c r="R67" s="188" t="n">
        <v>1</v>
      </c>
      <c r="S67" s="188" t="n">
        <v>1</v>
      </c>
      <c r="T67" s="188" t="str"/>
      <c r="U67" s="93">
        <f>J67</f>
        <v/>
      </c>
      <c r="V67" s="93" t="n"/>
      <c r="W67" s="93" t="inlineStr">
        <is>
          <t>INR</t>
        </is>
      </c>
      <c r="X67" s="233" t="n"/>
      <c r="Y67" s="93" t="n"/>
      <c r="Z67" s="93" t="inlineStr">
        <is>
          <t>No</t>
        </is>
      </c>
      <c r="AA67" t="inlineStr">
        <is>
          <t>No</t>
        </is>
      </c>
      <c r="AB67" t="inlineStr">
        <is>
          <t>No</t>
        </is>
      </c>
    </row>
    <row r="68" ht="27.60000038146973" customHeight="1" s="88">
      <c r="A68" s="93" t="inlineStr">
        <is>
          <t>colour-metal-4</t>
        </is>
      </c>
      <c r="B68" s="93" t="inlineStr">
        <is>
          <t>colour</t>
        </is>
      </c>
      <c r="C68" s="93" t="inlineStr">
        <is>
          <t>Metallic</t>
        </is>
      </c>
      <c r="D68" s="93" t="inlineStr">
        <is>
          <t>VYNDI</t>
        </is>
      </c>
      <c r="E68" s="93" t="inlineStr">
        <is>
          <t>Deep Green Metallic</t>
        </is>
      </c>
      <c r="F68" s="93" t="inlineStr">
        <is>
          <t>Metallic</t>
        </is>
      </c>
      <c r="G68" s="93" t="inlineStr">
        <is>
          <t>CLR-MET-04</t>
        </is>
      </c>
      <c r="H68" s="232" t="n">
        <v>0</v>
      </c>
      <c r="I68" s="188" t="n">
        <v>0</v>
      </c>
      <c r="J68" s="188" t="n">
        <v>3</v>
      </c>
      <c r="K68" s="93" t="inlineStr">
        <is>
          <t>Yes</t>
        </is>
      </c>
      <c r="L68" s="93" t="inlineStr">
        <is>
          <t>Yes</t>
        </is>
      </c>
      <c r="M68" s="93" t="inlineStr">
        <is>
          <t>Yes</t>
        </is>
      </c>
      <c r="N68" s="93" t="inlineStr">
        <is>
          <t>GitHub src/lib/data/inventory.ts</t>
        </is>
      </c>
      <c r="O68" s="93" t="inlineStr">
        <is>
          <t>Opening stock forced to 0; catalogue is not ledger truth</t>
        </is>
      </c>
      <c r="P68" s="188" t="n">
        <v>2</v>
      </c>
      <c r="Q68" s="188" t="n">
        <v>1</v>
      </c>
      <c r="R68" s="188" t="n">
        <v>1</v>
      </c>
      <c r="S68" s="188" t="n">
        <v>1</v>
      </c>
      <c r="T68" s="188" t="str"/>
      <c r="U68" s="93">
        <f>J68</f>
        <v/>
      </c>
      <c r="V68" s="93" t="n"/>
      <c r="W68" s="93" t="inlineStr">
        <is>
          <t>INR</t>
        </is>
      </c>
      <c r="X68" s="233" t="n"/>
      <c r="Y68" s="93" t="n"/>
      <c r="Z68" s="93" t="inlineStr">
        <is>
          <t>No</t>
        </is>
      </c>
      <c r="AA68" t="inlineStr">
        <is>
          <t>No</t>
        </is>
      </c>
      <c r="AB68" t="inlineStr">
        <is>
          <t>No</t>
        </is>
      </c>
    </row>
    <row r="69" ht="27.60000038146973" customHeight="1" s="88">
      <c r="A69" s="93" t="inlineStr">
        <is>
          <t>colour-metal-5</t>
        </is>
      </c>
      <c r="B69" s="93" t="inlineStr">
        <is>
          <t>colour</t>
        </is>
      </c>
      <c r="C69" s="93" t="inlineStr">
        <is>
          <t>Metallic</t>
        </is>
      </c>
      <c r="D69" s="93" t="inlineStr">
        <is>
          <t>VYNDI</t>
        </is>
      </c>
      <c r="E69" s="93" t="inlineStr">
        <is>
          <t>Midnight Blue Metallic</t>
        </is>
      </c>
      <c r="F69" s="93" t="inlineStr">
        <is>
          <t>Metallic</t>
        </is>
      </c>
      <c r="G69" s="93" t="inlineStr">
        <is>
          <t>CLR-MET-05</t>
        </is>
      </c>
      <c r="H69" s="232" t="n">
        <v>0</v>
      </c>
      <c r="I69" s="188" t="n">
        <v>0</v>
      </c>
      <c r="J69" s="188" t="n">
        <v>3</v>
      </c>
      <c r="K69" s="93" t="inlineStr">
        <is>
          <t>Yes</t>
        </is>
      </c>
      <c r="L69" s="93" t="inlineStr">
        <is>
          <t>Yes</t>
        </is>
      </c>
      <c r="M69" s="93" t="inlineStr">
        <is>
          <t>Yes</t>
        </is>
      </c>
      <c r="N69" s="93" t="inlineStr">
        <is>
          <t>GitHub src/lib/data/inventory.ts</t>
        </is>
      </c>
      <c r="O69" s="93" t="inlineStr">
        <is>
          <t>Opening stock forced to 0; catalogue is not ledger truth</t>
        </is>
      </c>
      <c r="P69" s="188" t="n">
        <v>2</v>
      </c>
      <c r="Q69" s="188" t="n">
        <v>1</v>
      </c>
      <c r="R69" s="188" t="n">
        <v>1</v>
      </c>
      <c r="S69" s="188" t="n">
        <v>1</v>
      </c>
      <c r="T69" s="188" t="str"/>
      <c r="U69" s="93">
        <f>J69</f>
        <v/>
      </c>
      <c r="V69" s="93" t="n"/>
      <c r="W69" s="93" t="inlineStr">
        <is>
          <t>INR</t>
        </is>
      </c>
      <c r="X69" s="233" t="n"/>
      <c r="Y69" s="93" t="n"/>
      <c r="Z69" s="93" t="inlineStr">
        <is>
          <t>No</t>
        </is>
      </c>
      <c r="AA69" t="inlineStr">
        <is>
          <t>No</t>
        </is>
      </c>
      <c r="AB69" t="inlineStr">
        <is>
          <t>No</t>
        </is>
      </c>
    </row>
    <row r="70" ht="27.60000038146973" customHeight="1" s="88">
      <c r="A70" s="93" t="inlineStr">
        <is>
          <t>colour-custom</t>
        </is>
      </c>
      <c r="B70" s="93" t="inlineStr">
        <is>
          <t>colour</t>
        </is>
      </c>
      <c r="C70" s="93" t="inlineStr">
        <is>
          <t>Custom</t>
        </is>
      </c>
      <c r="D70" s="93" t="inlineStr">
        <is>
          <t>VYNDI</t>
        </is>
      </c>
      <c r="E70" s="93" t="inlineStr">
        <is>
          <t>Custom Colour</t>
        </is>
      </c>
      <c r="F70" s="93" t="inlineStr">
        <is>
          <t>Customer-selected paint</t>
        </is>
      </c>
      <c r="G70" s="93" t="inlineStr">
        <is>
          <t>CLR-CUSTOM</t>
        </is>
      </c>
      <c r="H70" s="232" t="n">
        <v>5000</v>
      </c>
      <c r="I70" s="188" t="n">
        <v>0</v>
      </c>
      <c r="J70" s="188" t="n">
        <v>3</v>
      </c>
      <c r="K70" s="93" t="inlineStr">
        <is>
          <t>Yes</t>
        </is>
      </c>
      <c r="L70" s="93" t="inlineStr">
        <is>
          <t>Yes</t>
        </is>
      </c>
      <c r="M70" s="93" t="inlineStr">
        <is>
          <t>Yes</t>
        </is>
      </c>
      <c r="N70" s="93" t="inlineStr">
        <is>
          <t>GitHub src/lib/data/inventory.ts</t>
        </is>
      </c>
      <c r="O70" s="93" t="inlineStr">
        <is>
          <t>Opening stock forced to 0; catalogue is not ledger truth</t>
        </is>
      </c>
      <c r="P70" s="188" t="n">
        <v>2</v>
      </c>
      <c r="Q70" s="188" t="n">
        <v>1</v>
      </c>
      <c r="R70" s="188" t="n">
        <v>1</v>
      </c>
      <c r="S70" s="188" t="n">
        <v>1</v>
      </c>
      <c r="T70" s="188" t="str"/>
      <c r="U70" s="93">
        <f>J70</f>
        <v/>
      </c>
      <c r="V70" s="93" t="n"/>
      <c r="W70" s="93" t="inlineStr">
        <is>
          <t>INR</t>
        </is>
      </c>
      <c r="X70" s="233" t="n"/>
      <c r="Y70" s="93" t="n"/>
      <c r="Z70" s="93" t="inlineStr">
        <is>
          <t>No</t>
        </is>
      </c>
      <c r="AA70" t="inlineStr">
        <is>
          <t>No</t>
        </is>
      </c>
      <c r="AB70" t="inlineStr">
        <is>
          <t>No</t>
        </is>
      </c>
    </row>
    <row r="71">
      <c r="A71" s="93" t="inlineStr">
        <is>
          <t>rm-frame-al-oem</t>
        </is>
      </c>
      <c r="B71" s="93" t="inlineStr">
        <is>
          <t>raw-material</t>
        </is>
      </c>
      <c r="C71" s="93" t="inlineStr">
        <is>
          <t>Frameset</t>
        </is>
      </c>
      <c r="D71" s="93" t="inlineStr">
        <is>
          <t>OEM</t>
        </is>
      </c>
      <c r="E71" s="93" t="inlineStr">
        <is>
          <t>Aluminium/OEM frameset</t>
        </is>
      </c>
      <c r="F71" s="93" t="inlineStr">
        <is>
          <t>Purchased frameset</t>
        </is>
      </c>
      <c r="G71" s="93" t="inlineStr">
        <is>
          <t>FRAMESET-AL-OEM</t>
        </is>
      </c>
      <c r="H71" s="93" t="n">
        <v>45000</v>
      </c>
      <c r="I71" s="93" t="n">
        <v>0</v>
      </c>
      <c r="J71" s="93" t="n">
        <v>0</v>
      </c>
      <c r="K71" s="93" t="inlineStr">
        <is>
          <t>Yes</t>
        </is>
      </c>
      <c r="L71" s="93" t="inlineStr">
        <is>
          <t>No</t>
        </is>
      </c>
      <c r="M71" s="93" t="inlineStr">
        <is>
          <t>No</t>
        </is>
      </c>
      <c r="N71" s="93" t="inlineStr">
        <is>
          <t>Inputs!25</t>
        </is>
      </c>
      <c r="O71" s="93" t="inlineStr">
        <is>
          <t>Canonical BOM raw item</t>
        </is>
      </c>
      <c r="P71" s="188" t="n">
        <v>2</v>
      </c>
      <c r="Q71" s="188" t="n">
        <v>1</v>
      </c>
      <c r="R71" s="188" t="n">
        <v>1</v>
      </c>
      <c r="S71" s="188" t="n">
        <v>1</v>
      </c>
      <c r="T71" s="188" t="str"/>
      <c r="U71" s="93">
        <f>J71</f>
        <v/>
      </c>
      <c r="V71" s="93" t="n"/>
      <c r="W71" s="93" t="inlineStr">
        <is>
          <t>INR</t>
        </is>
      </c>
      <c r="X71" s="233" t="n"/>
      <c r="Y71" s="93" t="n"/>
      <c r="Z71" s="93" t="inlineStr">
        <is>
          <t>No</t>
        </is>
      </c>
      <c r="AA71" t="inlineStr">
        <is>
          <t>No</t>
        </is>
      </c>
      <c r="AB71" t="inlineStr">
        <is>
          <t>No</t>
        </is>
      </c>
    </row>
    <row r="72">
      <c r="A72" s="93" t="inlineStr">
        <is>
          <t>rm-t700</t>
        </is>
      </c>
      <c r="B72" s="93" t="inlineStr">
        <is>
          <t>raw-material</t>
        </is>
      </c>
      <c r="C72" s="93" t="inlineStr">
        <is>
          <t>Prepreg</t>
        </is>
      </c>
      <c r="D72" s="93" t="str"/>
      <c r="E72" s="93" t="inlineStr">
        <is>
          <t>T700 prepreg</t>
        </is>
      </c>
      <c r="F72" s="93" t="inlineStr">
        <is>
          <t>Carbon prepreg</t>
        </is>
      </c>
      <c r="G72" s="93" t="inlineStr">
        <is>
          <t>RM-T700-PREPREG</t>
        </is>
      </c>
      <c r="H72" s="93" t="n">
        <v>3500</v>
      </c>
      <c r="I72" s="93" t="n">
        <v>0</v>
      </c>
      <c r="J72" s="93" t="n">
        <v>0</v>
      </c>
      <c r="K72" s="93" t="inlineStr">
        <is>
          <t>No</t>
        </is>
      </c>
      <c r="L72" s="93" t="inlineStr">
        <is>
          <t>Yes</t>
        </is>
      </c>
      <c r="M72" s="93" t="inlineStr">
        <is>
          <t>Yes</t>
        </is>
      </c>
      <c r="N72" s="93" t="inlineStr">
        <is>
          <t>Inputs!26</t>
        </is>
      </c>
      <c r="O72" s="93" t="inlineStr">
        <is>
          <t>Engineering-controlled</t>
        </is>
      </c>
      <c r="P72" s="188" t="n">
        <v>1</v>
      </c>
      <c r="Q72" s="188" t="n">
        <v>1</v>
      </c>
      <c r="R72" s="188" t="n">
        <v>1</v>
      </c>
      <c r="S72" s="188" t="n">
        <v>1</v>
      </c>
      <c r="T72" s="188" t="str"/>
      <c r="U72" s="93">
        <f>J72</f>
        <v/>
      </c>
      <c r="V72" s="93" t="n"/>
      <c r="W72" s="93" t="inlineStr">
        <is>
          <t>INR</t>
        </is>
      </c>
      <c r="X72" s="233" t="n"/>
      <c r="Y72" s="93" t="n"/>
      <c r="Z72" s="93" t="inlineStr">
        <is>
          <t>No</t>
        </is>
      </c>
      <c r="AA72" t="inlineStr">
        <is>
          <t>No</t>
        </is>
      </c>
      <c r="AB72" t="inlineStr">
        <is>
          <t>No</t>
        </is>
      </c>
    </row>
    <row r="73">
      <c r="A73" s="93" t="inlineStr">
        <is>
          <t>rm-t800</t>
        </is>
      </c>
      <c r="B73" s="93" t="inlineStr">
        <is>
          <t>raw-material</t>
        </is>
      </c>
      <c r="C73" s="93" t="inlineStr">
        <is>
          <t>Prepreg</t>
        </is>
      </c>
      <c r="D73" s="93" t="str"/>
      <c r="E73" s="93" t="inlineStr">
        <is>
          <t>T800 prepreg</t>
        </is>
      </c>
      <c r="F73" s="93" t="inlineStr">
        <is>
          <t>Carbon prepreg</t>
        </is>
      </c>
      <c r="G73" s="93" t="inlineStr">
        <is>
          <t>RM-T800-PREPREG</t>
        </is>
      </c>
      <c r="H73" s="93" t="n">
        <v>6500</v>
      </c>
      <c r="I73" s="93" t="n">
        <v>0</v>
      </c>
      <c r="J73" s="93" t="n">
        <v>0</v>
      </c>
      <c r="K73" s="93" t="inlineStr">
        <is>
          <t>No</t>
        </is>
      </c>
      <c r="L73" s="93" t="inlineStr">
        <is>
          <t>Yes</t>
        </is>
      </c>
      <c r="M73" s="93" t="inlineStr">
        <is>
          <t>Yes</t>
        </is>
      </c>
      <c r="N73" s="93" t="inlineStr">
        <is>
          <t>Inputs!27</t>
        </is>
      </c>
      <c r="O73" s="93" t="inlineStr">
        <is>
          <t>Engineering-controlled</t>
        </is>
      </c>
      <c r="P73" s="188" t="n">
        <v>1</v>
      </c>
      <c r="Q73" s="188" t="n">
        <v>1</v>
      </c>
      <c r="R73" s="188" t="n">
        <v>1</v>
      </c>
      <c r="S73" s="188" t="n">
        <v>1</v>
      </c>
      <c r="T73" s="188" t="str"/>
      <c r="U73" s="93">
        <f>J73</f>
        <v/>
      </c>
      <c r="V73" s="93" t="n"/>
      <c r="W73" s="93" t="inlineStr">
        <is>
          <t>INR</t>
        </is>
      </c>
      <c r="X73" s="233" t="n"/>
      <c r="Y73" s="93" t="n"/>
      <c r="Z73" s="93" t="inlineStr">
        <is>
          <t>No</t>
        </is>
      </c>
      <c r="AA73" t="inlineStr">
        <is>
          <t>No</t>
        </is>
      </c>
      <c r="AB73" t="inlineStr">
        <is>
          <t>No</t>
        </is>
      </c>
    </row>
    <row r="74">
      <c r="A74" s="93" t="inlineStr">
        <is>
          <t>rm-resin</t>
        </is>
      </c>
      <c r="B74" s="93" t="inlineStr">
        <is>
          <t>raw-material</t>
        </is>
      </c>
      <c r="C74" s="93" t="inlineStr">
        <is>
          <t>Resin</t>
        </is>
      </c>
      <c r="D74" s="93" t="str"/>
      <c r="E74" s="93" t="inlineStr">
        <is>
          <t>Resin &amp; bonding system</t>
        </is>
      </c>
      <c r="F74" s="93" t="inlineStr">
        <is>
          <t>Resin / adhesive</t>
        </is>
      </c>
      <c r="G74" s="93" t="inlineStr">
        <is>
          <t>RM-RESIN-BOND</t>
        </is>
      </c>
      <c r="H74" s="93" t="n">
        <v>1800</v>
      </c>
      <c r="I74" s="93" t="n">
        <v>0</v>
      </c>
      <c r="J74" s="93" t="n">
        <v>0</v>
      </c>
      <c r="K74" s="93" t="inlineStr">
        <is>
          <t>No</t>
        </is>
      </c>
      <c r="L74" s="93" t="inlineStr">
        <is>
          <t>Yes</t>
        </is>
      </c>
      <c r="M74" s="93" t="inlineStr">
        <is>
          <t>Yes</t>
        </is>
      </c>
      <c r="N74" s="93" t="inlineStr">
        <is>
          <t>Inputs!28</t>
        </is>
      </c>
      <c r="O74" s="93" t="inlineStr">
        <is>
          <t>Engineering-controlled</t>
        </is>
      </c>
      <c r="P74" s="188" t="n">
        <v>1</v>
      </c>
      <c r="Q74" s="188" t="n">
        <v>1</v>
      </c>
      <c r="R74" s="188" t="n">
        <v>1</v>
      </c>
      <c r="S74" s="188" t="n">
        <v>1</v>
      </c>
      <c r="T74" s="188" t="str"/>
      <c r="U74" s="93">
        <f>J74</f>
        <v/>
      </c>
      <c r="V74" s="93" t="n"/>
      <c r="W74" s="93" t="inlineStr">
        <is>
          <t>INR</t>
        </is>
      </c>
      <c r="X74" s="233" t="n"/>
      <c r="Y74" s="93" t="n"/>
      <c r="Z74" s="93" t="inlineStr">
        <is>
          <t>No</t>
        </is>
      </c>
      <c r="AA74" t="inlineStr">
        <is>
          <t>No</t>
        </is>
      </c>
      <c r="AB74" t="inlineStr">
        <is>
          <t>No</t>
        </is>
      </c>
    </row>
    <row r="75">
      <c r="A75" s="93" t="inlineStr">
        <is>
          <t>rm-paint</t>
        </is>
      </c>
      <c r="B75" s="93" t="inlineStr">
        <is>
          <t>raw-material</t>
        </is>
      </c>
      <c r="C75" s="93" t="inlineStr">
        <is>
          <t>Finishing</t>
        </is>
      </c>
      <c r="D75" s="93" t="str"/>
      <c r="E75" s="93" t="inlineStr">
        <is>
          <t>Paint &amp; clear coat</t>
        </is>
      </c>
      <c r="F75" s="93" t="inlineStr">
        <is>
          <t>Paint system</t>
        </is>
      </c>
      <c r="G75" s="93" t="inlineStr">
        <is>
          <t>RM-PAINT-CLEAR</t>
        </is>
      </c>
      <c r="H75" s="93" t="n">
        <v>2200</v>
      </c>
      <c r="I75" s="93" t="n">
        <v>0</v>
      </c>
      <c r="J75" s="93" t="n">
        <v>0</v>
      </c>
      <c r="K75" s="93" t="inlineStr">
        <is>
          <t>Yes</t>
        </is>
      </c>
      <c r="L75" s="93" t="inlineStr">
        <is>
          <t>Yes</t>
        </is>
      </c>
      <c r="M75" s="93" t="inlineStr">
        <is>
          <t>Yes</t>
        </is>
      </c>
      <c r="N75" s="93" t="inlineStr">
        <is>
          <t>Inputs!29</t>
        </is>
      </c>
      <c r="O75" s="93" t="inlineStr">
        <is>
          <t>Engineering-controlled</t>
        </is>
      </c>
      <c r="P75" s="188" t="n">
        <v>1</v>
      </c>
      <c r="Q75" s="188" t="n">
        <v>1</v>
      </c>
      <c r="R75" s="188" t="n">
        <v>1</v>
      </c>
      <c r="S75" s="188" t="n">
        <v>1</v>
      </c>
      <c r="T75" s="188" t="str"/>
      <c r="U75" s="93">
        <f>J75</f>
        <v/>
      </c>
      <c r="V75" s="93" t="n"/>
      <c r="W75" s="93" t="inlineStr">
        <is>
          <t>INR</t>
        </is>
      </c>
      <c r="X75" s="233" t="n"/>
      <c r="Y75" s="93" t="n"/>
      <c r="Z75" s="93" t="inlineStr">
        <is>
          <t>No</t>
        </is>
      </c>
      <c r="AA75" t="inlineStr">
        <is>
          <t>No</t>
        </is>
      </c>
      <c r="AB75" t="inlineStr">
        <is>
          <t>No</t>
        </is>
      </c>
    </row>
    <row r="76">
      <c r="A76" s="93" t="inlineStr">
        <is>
          <t>pkg-kit</t>
        </is>
      </c>
      <c r="B76" s="93" t="inlineStr">
        <is>
          <t>packaging</t>
        </is>
      </c>
      <c r="C76" s="93" t="inlineStr">
        <is>
          <t>Shipment</t>
        </is>
      </c>
      <c r="D76" s="93" t="str"/>
      <c r="E76" s="93" t="inlineStr">
        <is>
          <t>Packaging kit</t>
        </is>
      </c>
      <c r="F76" s="93" t="inlineStr">
        <is>
          <t>Shipment packaging</t>
        </is>
      </c>
      <c r="G76" s="93" t="inlineStr">
        <is>
          <t>PKG-KIT</t>
        </is>
      </c>
      <c r="H76" s="93" t="n">
        <v>2500</v>
      </c>
      <c r="I76" s="93" t="n">
        <v>0</v>
      </c>
      <c r="J76" s="93" t="n">
        <v>0</v>
      </c>
      <c r="K76" s="93" t="inlineStr">
        <is>
          <t>Yes</t>
        </is>
      </c>
      <c r="L76" s="93" t="inlineStr">
        <is>
          <t>Yes</t>
        </is>
      </c>
      <c r="M76" s="93" t="inlineStr">
        <is>
          <t>Yes</t>
        </is>
      </c>
      <c r="N76" s="93" t="inlineStr">
        <is>
          <t>Inputs!36</t>
        </is>
      </c>
      <c r="O76" s="93" t="inlineStr">
        <is>
          <t>Canonical BOM packaging</t>
        </is>
      </c>
      <c r="P76" s="188" t="n">
        <v>1</v>
      </c>
      <c r="Q76" s="188" t="n">
        <v>1</v>
      </c>
      <c r="R76" s="188" t="n">
        <v>1</v>
      </c>
      <c r="S76" s="188" t="n">
        <v>1</v>
      </c>
      <c r="T76" s="188" t="str"/>
      <c r="U76" s="93">
        <f>J76</f>
        <v/>
      </c>
      <c r="V76" s="93" t="n"/>
      <c r="W76" s="93" t="inlineStr">
        <is>
          <t>INR</t>
        </is>
      </c>
      <c r="X76" s="233" t="n"/>
      <c r="Y76" s="93" t="n"/>
      <c r="Z76" s="93" t="inlineStr">
        <is>
          <t>No</t>
        </is>
      </c>
      <c r="AA76" t="inlineStr">
        <is>
          <t>No</t>
        </is>
      </c>
      <c r="AB76" t="inlineStr">
        <is>
          <t>No</t>
        </is>
      </c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3" t="n"/>
      <c r="V77" s="93" t="n"/>
      <c r="W77" s="93" t="n"/>
      <c r="X77" s="93" t="n"/>
      <c r="Y77" s="93" t="n"/>
      <c r="Z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3" t="n"/>
      <c r="V78" s="93" t="n"/>
      <c r="W78" s="93" t="n"/>
      <c r="X78" s="93" t="n"/>
      <c r="Y78" s="93" t="n"/>
      <c r="Z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  <c r="R80" s="93" t="n"/>
      <c r="S80" s="93" t="n"/>
      <c r="T80" s="93" t="n"/>
      <c r="U80" s="93" t="n"/>
      <c r="V80" s="93" t="n"/>
      <c r="W80" s="93" t="n"/>
      <c r="X80" s="93" t="n"/>
      <c r="Y80" s="93" t="n"/>
      <c r="Z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  <c r="R81" s="93" t="n"/>
      <c r="S81" s="93" t="n"/>
      <c r="T81" s="93" t="n"/>
      <c r="U81" s="93" t="n"/>
      <c r="V81" s="93" t="n"/>
      <c r="W81" s="93" t="n"/>
      <c r="X81" s="93" t="n"/>
      <c r="Y81" s="93" t="n"/>
      <c r="Z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  <c r="R83" s="93" t="n"/>
      <c r="S83" s="93" t="n"/>
      <c r="T83" s="93" t="n"/>
      <c r="U83" s="93" t="n"/>
      <c r="V83" s="93" t="n"/>
      <c r="W83" s="93" t="n"/>
      <c r="X83" s="93" t="n"/>
      <c r="Y83" s="93" t="n"/>
      <c r="Z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  <c r="R84" s="93" t="n"/>
      <c r="S84" s="93" t="n"/>
      <c r="T84" s="93" t="n"/>
      <c r="U84" s="93" t="n"/>
      <c r="V84" s="93" t="n"/>
      <c r="W84" s="93" t="n"/>
      <c r="X84" s="93" t="n"/>
      <c r="Y84" s="93" t="n"/>
      <c r="Z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U86" s="93" t="n"/>
      <c r="V86" s="93" t="n"/>
      <c r="W86" s="93" t="n"/>
      <c r="X86" s="93" t="n"/>
      <c r="Y86" s="93" t="n"/>
      <c r="Z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  <c r="R87" s="93" t="n"/>
      <c r="S87" s="93" t="n"/>
      <c r="T87" s="93" t="n"/>
      <c r="U87" s="93" t="n"/>
      <c r="V87" s="93" t="n"/>
      <c r="W87" s="93" t="n"/>
      <c r="X87" s="93" t="n"/>
      <c r="Y87" s="93" t="n"/>
      <c r="Z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  <c r="R88" s="93" t="n"/>
      <c r="S88" s="93" t="n"/>
      <c r="T88" s="93" t="n"/>
      <c r="U88" s="93" t="n"/>
      <c r="V88" s="93" t="n"/>
      <c r="W88" s="93" t="n"/>
      <c r="X88" s="93" t="n"/>
      <c r="Y88" s="93" t="n"/>
      <c r="Z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  <c r="R89" s="93" t="n"/>
      <c r="S89" s="93" t="n"/>
      <c r="T89" s="93" t="n"/>
      <c r="U89" s="93" t="n"/>
      <c r="V89" s="93" t="n"/>
      <c r="W89" s="93" t="n"/>
      <c r="X89" s="93" t="n"/>
      <c r="Y89" s="93" t="n"/>
      <c r="Z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  <c r="R90" s="93" t="n"/>
      <c r="S90" s="93" t="n"/>
      <c r="T90" s="93" t="n"/>
      <c r="U90" s="93" t="n"/>
      <c r="V90" s="93" t="n"/>
      <c r="W90" s="93" t="n"/>
      <c r="X90" s="93" t="n"/>
      <c r="Y90" s="93" t="n"/>
      <c r="Z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  <c r="R91" s="93" t="n"/>
      <c r="S91" s="93" t="n"/>
      <c r="T91" s="93" t="n"/>
      <c r="U91" s="93" t="n"/>
      <c r="V91" s="93" t="n"/>
      <c r="W91" s="93" t="n"/>
      <c r="X91" s="93" t="n"/>
      <c r="Y91" s="93" t="n"/>
      <c r="Z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  <c r="R93" s="93" t="n"/>
      <c r="S93" s="93" t="n"/>
      <c r="T93" s="93" t="n"/>
      <c r="U93" s="93" t="n"/>
      <c r="V93" s="93" t="n"/>
      <c r="W93" s="93" t="n"/>
      <c r="X93" s="93" t="n"/>
      <c r="Y93" s="93" t="n"/>
      <c r="Z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  <c r="R94" s="93" t="n"/>
      <c r="S94" s="93" t="n"/>
      <c r="T94" s="93" t="n"/>
      <c r="U94" s="93" t="n"/>
      <c r="V94" s="93" t="n"/>
      <c r="W94" s="93" t="n"/>
      <c r="X94" s="93" t="n"/>
      <c r="Y94" s="93" t="n"/>
      <c r="Z94" s="93" t="n"/>
    </row>
    <row r="95">
      <c r="A95" s="93" t="n"/>
      <c r="B95" s="93" t="n"/>
      <c r="C95" s="93" t="n"/>
      <c r="D95" s="93" t="n"/>
      <c r="E95" s="93" t="n"/>
      <c r="F95" s="93" t="n"/>
      <c r="G95" s="93" t="n"/>
      <c r="H95" s="93" t="n"/>
      <c r="I95" s="93" t="n"/>
      <c r="J95" s="93" t="n"/>
      <c r="K95" s="93" t="n"/>
      <c r="L95" s="93" t="n"/>
      <c r="M95" s="93" t="n"/>
      <c r="N95" s="93" t="n"/>
      <c r="O95" s="93" t="n"/>
      <c r="P95" s="93" t="n"/>
      <c r="Q95" s="93" t="n"/>
      <c r="R95" s="93" t="n"/>
      <c r="S95" s="93" t="n"/>
      <c r="T95" s="93" t="n"/>
      <c r="U95" s="93" t="n"/>
      <c r="V95" s="93" t="n"/>
      <c r="W95" s="93" t="n"/>
      <c r="X95" s="93" t="n"/>
      <c r="Y95" s="93" t="n"/>
      <c r="Z95" s="93" t="n"/>
    </row>
    <row r="96">
      <c r="A96" s="93" t="n"/>
      <c r="B96" s="93" t="n"/>
      <c r="C96" s="93" t="n"/>
      <c r="D96" s="93" t="n"/>
      <c r="E96" s="93" t="n"/>
      <c r="F96" s="93" t="n"/>
      <c r="G96" s="93" t="n"/>
      <c r="H96" s="93" t="n"/>
      <c r="I96" s="93" t="n"/>
      <c r="J96" s="93" t="n"/>
      <c r="K96" s="93" t="n"/>
      <c r="L96" s="93" t="n"/>
      <c r="M96" s="93" t="n"/>
      <c r="N96" s="93" t="n"/>
      <c r="O96" s="93" t="n"/>
      <c r="P96" s="93" t="n"/>
      <c r="Q96" s="93" t="n"/>
      <c r="R96" s="93" t="n"/>
      <c r="S96" s="93" t="n"/>
      <c r="T96" s="93" t="n"/>
      <c r="U96" s="93" t="n"/>
      <c r="V96" s="93" t="n"/>
      <c r="W96" s="93" t="n"/>
      <c r="X96" s="93" t="n"/>
      <c r="Y96" s="93" t="n"/>
      <c r="Z96" s="93" t="n"/>
    </row>
    <row r="97">
      <c r="A97" s="93" t="n"/>
      <c r="B97" s="93" t="n"/>
      <c r="C97" s="93" t="n"/>
      <c r="D97" s="93" t="n"/>
      <c r="E97" s="93" t="n"/>
      <c r="F97" s="93" t="n"/>
      <c r="G97" s="93" t="n"/>
      <c r="H97" s="93" t="n"/>
      <c r="I97" s="93" t="n"/>
      <c r="J97" s="93" t="n"/>
      <c r="K97" s="93" t="n"/>
      <c r="L97" s="93" t="n"/>
      <c r="M97" s="93" t="n"/>
      <c r="N97" s="93" t="n"/>
      <c r="O97" s="93" t="n"/>
      <c r="P97" s="93" t="n"/>
      <c r="Q97" s="93" t="n"/>
      <c r="R97" s="93" t="n"/>
      <c r="S97" s="93" t="n"/>
      <c r="T97" s="93" t="n"/>
      <c r="U97" s="93" t="n"/>
      <c r="V97" s="93" t="n"/>
      <c r="W97" s="93" t="n"/>
      <c r="X97" s="93" t="n"/>
      <c r="Y97" s="93" t="n"/>
      <c r="Z97" s="93" t="n"/>
    </row>
    <row r="98">
      <c r="A98" s="93" t="n"/>
      <c r="B98" s="93" t="n"/>
      <c r="C98" s="93" t="n"/>
      <c r="D98" s="93" t="n"/>
      <c r="E98" s="93" t="n"/>
      <c r="F98" s="93" t="n"/>
      <c r="G98" s="93" t="n"/>
      <c r="H98" s="93" t="n"/>
      <c r="I98" s="93" t="n"/>
      <c r="J98" s="93" t="n"/>
      <c r="K98" s="93" t="n"/>
      <c r="L98" s="93" t="n"/>
      <c r="M98" s="93" t="n"/>
      <c r="N98" s="93" t="n"/>
      <c r="O98" s="93" t="n"/>
      <c r="P98" s="93" t="n"/>
      <c r="Q98" s="93" t="n"/>
      <c r="R98" s="93" t="n"/>
      <c r="S98" s="93" t="n"/>
      <c r="T98" s="93" t="n"/>
      <c r="U98" s="93" t="n"/>
      <c r="V98" s="93" t="n"/>
      <c r="W98" s="93" t="n"/>
      <c r="X98" s="93" t="n"/>
      <c r="Y98" s="93" t="n"/>
      <c r="Z98" s="93" t="n"/>
    </row>
    <row r="99">
      <c r="A99" s="93" t="n"/>
      <c r="B99" s="93" t="n"/>
      <c r="C99" s="93" t="n"/>
      <c r="D99" s="93" t="n"/>
      <c r="E99" s="93" t="n"/>
      <c r="F99" s="93" t="n"/>
      <c r="G99" s="93" t="n"/>
      <c r="H99" s="93" t="n"/>
      <c r="I99" s="93" t="n"/>
      <c r="J99" s="93" t="n"/>
      <c r="K99" s="93" t="n"/>
      <c r="L99" s="93" t="n"/>
      <c r="M99" s="93" t="n"/>
      <c r="N99" s="93" t="n"/>
      <c r="O99" s="93" t="n"/>
      <c r="P99" s="93" t="n"/>
      <c r="Q99" s="93" t="n"/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</row>
    <row r="100">
      <c r="A100" s="93" t="n"/>
      <c r="B100" s="93" t="n"/>
      <c r="C100" s="93" t="n"/>
      <c r="D100" s="93" t="n"/>
      <c r="E100" s="93" t="n"/>
      <c r="F100" s="93" t="n"/>
      <c r="G100" s="93" t="n"/>
      <c r="H100" s="93" t="n"/>
      <c r="I100" s="93" t="n"/>
      <c r="J100" s="93" t="n"/>
      <c r="K100" s="93" t="n"/>
      <c r="L100" s="93" t="n"/>
      <c r="M100" s="93" t="n"/>
      <c r="N100" s="93" t="n"/>
      <c r="O100" s="93" t="n"/>
      <c r="P100" s="93" t="n"/>
      <c r="Q100" s="93" t="n"/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</row>
    <row r="101">
      <c r="A101" s="93" t="n"/>
      <c r="B101" s="93" t="n"/>
      <c r="C101" s="93" t="n"/>
      <c r="D101" s="93" t="n"/>
      <c r="E101" s="93" t="n"/>
      <c r="F101" s="93" t="n"/>
      <c r="G101" s="93" t="n"/>
      <c r="H101" s="93" t="n"/>
      <c r="I101" s="93" t="n"/>
      <c r="J101" s="93" t="n"/>
      <c r="K101" s="93" t="n"/>
      <c r="L101" s="93" t="n"/>
      <c r="M101" s="93" t="n"/>
      <c r="N101" s="93" t="n"/>
      <c r="O101" s="93" t="n"/>
      <c r="P101" s="93" t="n"/>
      <c r="Q101" s="93" t="n"/>
      <c r="R101" s="93" t="n"/>
      <c r="S101" s="93" t="n"/>
      <c r="T101" s="93" t="n"/>
      <c r="U101" s="93" t="n"/>
      <c r="V101" s="93" t="n"/>
      <c r="W101" s="93" t="n"/>
      <c r="X101" s="93" t="n"/>
      <c r="Y101" s="93" t="n"/>
      <c r="Z101" s="93" t="n"/>
    </row>
    <row r="102">
      <c r="A102" s="93" t="n"/>
      <c r="B102" s="93" t="n"/>
      <c r="C102" s="93" t="n"/>
      <c r="D102" s="93" t="n"/>
      <c r="E102" s="93" t="n"/>
      <c r="F102" s="93" t="n"/>
      <c r="G102" s="93" t="n"/>
      <c r="H102" s="93" t="n"/>
      <c r="I102" s="93" t="n"/>
      <c r="J102" s="93" t="n"/>
      <c r="K102" s="93" t="n"/>
      <c r="L102" s="93" t="n"/>
      <c r="M102" s="93" t="n"/>
      <c r="N102" s="93" t="n"/>
      <c r="O102" s="93" t="n"/>
      <c r="P102" s="93" t="n"/>
      <c r="Q102" s="93" t="n"/>
      <c r="R102" s="93" t="n"/>
      <c r="S102" s="93" t="n"/>
      <c r="T102" s="93" t="n"/>
      <c r="U102" s="93" t="n"/>
      <c r="V102" s="93" t="n"/>
      <c r="W102" s="93" t="n"/>
      <c r="X102" s="93" t="n"/>
      <c r="Y102" s="93" t="n"/>
      <c r="Z102" s="93" t="n"/>
    </row>
    <row r="103">
      <c r="A103" s="93" t="n"/>
      <c r="B103" s="93" t="n"/>
      <c r="C103" s="93" t="n"/>
      <c r="D103" s="93" t="n"/>
      <c r="E103" s="93" t="n"/>
      <c r="F103" s="93" t="n"/>
      <c r="G103" s="93" t="n"/>
      <c r="H103" s="93" t="n"/>
      <c r="I103" s="93" t="n"/>
      <c r="J103" s="93" t="n"/>
      <c r="K103" s="93" t="n"/>
      <c r="L103" s="93" t="n"/>
      <c r="M103" s="93" t="n"/>
      <c r="N103" s="93" t="n"/>
      <c r="O103" s="93" t="n"/>
      <c r="P103" s="93" t="n"/>
      <c r="Q103" s="93" t="n"/>
      <c r="R103" s="93" t="n"/>
      <c r="S103" s="93" t="n"/>
      <c r="T103" s="93" t="n"/>
      <c r="U103" s="93" t="n"/>
      <c r="V103" s="93" t="n"/>
      <c r="W103" s="93" t="n"/>
      <c r="X103" s="93" t="n"/>
      <c r="Y103" s="93" t="n"/>
      <c r="Z103" s="93" t="n"/>
    </row>
    <row r="104">
      <c r="A104" s="93" t="n"/>
      <c r="B104" s="93" t="n"/>
      <c r="C104" s="93" t="n"/>
      <c r="D104" s="93" t="n"/>
      <c r="E104" s="93" t="n"/>
      <c r="F104" s="93" t="n"/>
      <c r="G104" s="93" t="n"/>
      <c r="H104" s="93" t="n"/>
      <c r="I104" s="93" t="n"/>
      <c r="J104" s="93" t="n"/>
      <c r="K104" s="93" t="n"/>
      <c r="L104" s="93" t="n"/>
      <c r="M104" s="93" t="n"/>
      <c r="N104" s="93" t="n"/>
      <c r="O104" s="93" t="n"/>
      <c r="P104" s="93" t="n"/>
      <c r="Q104" s="93" t="n"/>
      <c r="R104" s="93" t="n"/>
      <c r="S104" s="93" t="n"/>
      <c r="T104" s="93" t="n"/>
      <c r="U104" s="93" t="n"/>
      <c r="V104" s="93" t="n"/>
      <c r="W104" s="93" t="n"/>
      <c r="X104" s="93" t="n"/>
      <c r="Y104" s="93" t="n"/>
      <c r="Z104" s="93" t="n"/>
    </row>
    <row r="105">
      <c r="A105" s="93" t="n"/>
      <c r="B105" s="93" t="n"/>
      <c r="C105" s="93" t="n"/>
      <c r="D105" s="93" t="n"/>
      <c r="E105" s="93" t="n"/>
      <c r="F105" s="93" t="n"/>
      <c r="G105" s="93" t="n"/>
      <c r="H105" s="93" t="n"/>
      <c r="I105" s="93" t="n"/>
      <c r="J105" s="93" t="n"/>
      <c r="K105" s="93" t="n"/>
      <c r="L105" s="93" t="n"/>
      <c r="M105" s="93" t="n"/>
      <c r="N105" s="93" t="n"/>
      <c r="O105" s="93" t="n"/>
      <c r="P105" s="93" t="n"/>
      <c r="Q105" s="93" t="n"/>
      <c r="R105" s="93" t="n"/>
      <c r="S105" s="93" t="n"/>
      <c r="T105" s="93" t="n"/>
      <c r="U105" s="93" t="n"/>
      <c r="V105" s="93" t="n"/>
      <c r="W105" s="93" t="n"/>
      <c r="X105" s="93" t="n"/>
      <c r="Y105" s="93" t="n"/>
      <c r="Z105" s="93" t="n"/>
    </row>
    <row r="106">
      <c r="A106" s="93" t="n"/>
      <c r="B106" s="93" t="n"/>
      <c r="C106" s="93" t="n"/>
      <c r="D106" s="93" t="n"/>
      <c r="E106" s="93" t="n"/>
      <c r="F106" s="93" t="n"/>
      <c r="G106" s="93" t="n"/>
      <c r="H106" s="93" t="n"/>
      <c r="I106" s="93" t="n"/>
      <c r="J106" s="93" t="n"/>
      <c r="K106" s="93" t="n"/>
      <c r="L106" s="93" t="n"/>
      <c r="M106" s="93" t="n"/>
      <c r="N106" s="93" t="n"/>
      <c r="O106" s="93" t="n"/>
      <c r="P106" s="93" t="n"/>
      <c r="Q106" s="93" t="n"/>
      <c r="R106" s="93" t="n"/>
      <c r="S106" s="93" t="n"/>
      <c r="T106" s="93" t="n"/>
      <c r="U106" s="93" t="n"/>
      <c r="V106" s="93" t="n"/>
      <c r="W106" s="93" t="n"/>
      <c r="X106" s="93" t="n"/>
      <c r="Y106" s="93" t="n"/>
      <c r="Z106" s="93" t="n"/>
    </row>
    <row r="107">
      <c r="A107" s="93" t="n"/>
      <c r="B107" s="93" t="n"/>
      <c r="C107" s="93" t="n"/>
      <c r="D107" s="93" t="n"/>
      <c r="E107" s="93" t="n"/>
      <c r="F107" s="93" t="n"/>
      <c r="G107" s="93" t="n"/>
      <c r="H107" s="93" t="n"/>
      <c r="I107" s="93" t="n"/>
      <c r="J107" s="93" t="n"/>
      <c r="K107" s="93" t="n"/>
      <c r="L107" s="93" t="n"/>
      <c r="M107" s="93" t="n"/>
      <c r="N107" s="93" t="n"/>
      <c r="O107" s="93" t="n"/>
      <c r="P107" s="93" t="n"/>
      <c r="Q107" s="93" t="n"/>
      <c r="R107" s="93" t="n"/>
      <c r="S107" s="93" t="n"/>
      <c r="T107" s="93" t="n"/>
      <c r="U107" s="93" t="n"/>
      <c r="V107" s="93" t="n"/>
      <c r="W107" s="93" t="n"/>
      <c r="X107" s="93" t="n"/>
      <c r="Y107" s="93" t="n"/>
      <c r="Z107" s="93" t="n"/>
    </row>
    <row r="108">
      <c r="A108" s="93" t="n"/>
      <c r="B108" s="93" t="n"/>
      <c r="C108" s="93" t="n"/>
      <c r="D108" s="93" t="n"/>
      <c r="E108" s="93" t="n"/>
      <c r="F108" s="93" t="n"/>
      <c r="G108" s="93" t="n"/>
      <c r="H108" s="93" t="n"/>
      <c r="I108" s="93" t="n"/>
      <c r="J108" s="93" t="n"/>
      <c r="K108" s="93" t="n"/>
      <c r="L108" s="93" t="n"/>
      <c r="M108" s="93" t="n"/>
      <c r="N108" s="93" t="n"/>
      <c r="O108" s="93" t="n"/>
      <c r="P108" s="93" t="n"/>
      <c r="Q108" s="93" t="n"/>
      <c r="R108" s="93" t="n"/>
      <c r="S108" s="93" t="n"/>
      <c r="T108" s="93" t="n"/>
      <c r="U108" s="93" t="n"/>
      <c r="V108" s="93" t="n"/>
      <c r="W108" s="93" t="n"/>
      <c r="X108" s="93" t="n"/>
      <c r="Y108" s="93" t="n"/>
      <c r="Z108" s="93" t="n"/>
    </row>
    <row r="109">
      <c r="A109" s="93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3" t="n"/>
      <c r="M109" s="93" t="n"/>
      <c r="N109" s="93" t="n"/>
      <c r="O109" s="93" t="n"/>
      <c r="P109" s="93" t="n"/>
      <c r="Q109" s="93" t="n"/>
      <c r="R109" s="93" t="n"/>
      <c r="S109" s="93" t="n"/>
      <c r="T109" s="93" t="n"/>
      <c r="U109" s="93" t="n"/>
      <c r="V109" s="93" t="n"/>
      <c r="W109" s="93" t="n"/>
      <c r="X109" s="93" t="n"/>
      <c r="Y109" s="93" t="n"/>
      <c r="Z109" s="93" t="n"/>
    </row>
    <row r="110">
      <c r="A110" s="93" t="n"/>
      <c r="B110" s="93" t="n"/>
      <c r="C110" s="93" t="n"/>
      <c r="D110" s="93" t="n"/>
      <c r="E110" s="93" t="n"/>
      <c r="F110" s="93" t="n"/>
      <c r="G110" s="93" t="n"/>
      <c r="H110" s="93" t="n"/>
      <c r="I110" s="93" t="n"/>
      <c r="J110" s="93" t="n"/>
      <c r="K110" s="93" t="n"/>
      <c r="L110" s="93" t="n"/>
      <c r="M110" s="93" t="n"/>
      <c r="N110" s="93" t="n"/>
      <c r="O110" s="93" t="n"/>
      <c r="P110" s="93" t="n"/>
      <c r="Q110" s="93" t="n"/>
      <c r="R110" s="93" t="n"/>
      <c r="S110" s="93" t="n"/>
      <c r="T110" s="93" t="n"/>
      <c r="U110" s="93" t="n"/>
      <c r="V110" s="93" t="n"/>
      <c r="W110" s="93" t="n"/>
      <c r="X110" s="93" t="n"/>
      <c r="Y110" s="93" t="n"/>
      <c r="Z110" s="93" t="n"/>
    </row>
    <row r="111">
      <c r="A111" s="93" t="n"/>
      <c r="B111" s="93" t="n"/>
      <c r="C111" s="93" t="n"/>
      <c r="D111" s="93" t="n"/>
      <c r="E111" s="93" t="n"/>
      <c r="F111" s="93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93" t="n"/>
      <c r="P111" s="93" t="n"/>
      <c r="Q111" s="93" t="n"/>
      <c r="R111" s="93" t="n"/>
      <c r="S111" s="93" t="n"/>
      <c r="T111" s="93" t="n"/>
      <c r="U111" s="93" t="n"/>
      <c r="V111" s="93" t="n"/>
      <c r="W111" s="93" t="n"/>
      <c r="X111" s="93" t="n"/>
      <c r="Y111" s="93" t="n"/>
      <c r="Z111" s="93" t="n"/>
    </row>
    <row r="112">
      <c r="A112" s="93" t="n"/>
      <c r="B112" s="93" t="n"/>
      <c r="C112" s="93" t="n"/>
      <c r="D112" s="93" t="n"/>
      <c r="E112" s="93" t="n"/>
      <c r="F112" s="93" t="n"/>
      <c r="G112" s="93" t="n"/>
      <c r="H112" s="93" t="n"/>
      <c r="I112" s="93" t="n"/>
      <c r="J112" s="93" t="n"/>
      <c r="K112" s="93" t="n"/>
      <c r="L112" s="93" t="n"/>
      <c r="M112" s="93" t="n"/>
      <c r="N112" s="93" t="n"/>
      <c r="O112" s="93" t="n"/>
      <c r="P112" s="93" t="n"/>
      <c r="Q112" s="93" t="n"/>
      <c r="R112" s="93" t="n"/>
      <c r="S112" s="93" t="n"/>
      <c r="T112" s="93" t="n"/>
      <c r="U112" s="93" t="n"/>
      <c r="V112" s="93" t="n"/>
      <c r="W112" s="93" t="n"/>
      <c r="X112" s="93" t="n"/>
      <c r="Y112" s="93" t="n"/>
      <c r="Z112" s="93" t="n"/>
    </row>
    <row r="113">
      <c r="A113" s="93" t="n"/>
      <c r="B113" s="93" t="n"/>
      <c r="C113" s="93" t="n"/>
      <c r="D113" s="93" t="n"/>
      <c r="E113" s="93" t="n"/>
      <c r="F113" s="93" t="n"/>
      <c r="G113" s="93" t="n"/>
      <c r="H113" s="93" t="n"/>
      <c r="I113" s="93" t="n"/>
      <c r="J113" s="93" t="n"/>
      <c r="K113" s="93" t="n"/>
      <c r="L113" s="93" t="n"/>
      <c r="M113" s="93" t="n"/>
      <c r="N113" s="93" t="n"/>
      <c r="O113" s="93" t="n"/>
      <c r="P113" s="93" t="n"/>
      <c r="Q113" s="93" t="n"/>
      <c r="R113" s="93" t="n"/>
      <c r="S113" s="93" t="n"/>
      <c r="T113" s="93" t="n"/>
      <c r="U113" s="93" t="n"/>
      <c r="V113" s="93" t="n"/>
      <c r="W113" s="93" t="n"/>
      <c r="X113" s="93" t="n"/>
      <c r="Y113" s="93" t="n"/>
      <c r="Z113" s="93" t="n"/>
    </row>
    <row r="114">
      <c r="A114" s="93" t="n"/>
      <c r="B114" s="93" t="n"/>
      <c r="C114" s="93" t="n"/>
      <c r="D114" s="93" t="n"/>
      <c r="E114" s="93" t="n"/>
      <c r="F114" s="93" t="n"/>
      <c r="G114" s="93" t="n"/>
      <c r="H114" s="93" t="n"/>
      <c r="I114" s="93" t="n"/>
      <c r="J114" s="93" t="n"/>
      <c r="K114" s="93" t="n"/>
      <c r="L114" s="93" t="n"/>
      <c r="M114" s="93" t="n"/>
      <c r="N114" s="93" t="n"/>
      <c r="O114" s="93" t="n"/>
      <c r="P114" s="93" t="n"/>
      <c r="Q114" s="93" t="n"/>
      <c r="R114" s="93" t="n"/>
      <c r="S114" s="93" t="n"/>
      <c r="T114" s="93" t="n"/>
      <c r="U114" s="93" t="n"/>
      <c r="V114" s="93" t="n"/>
      <c r="W114" s="93" t="n"/>
      <c r="X114" s="93" t="n"/>
      <c r="Y114" s="93" t="n"/>
      <c r="Z114" s="93" t="n"/>
    </row>
    <row r="115">
      <c r="A115" s="93" t="n"/>
      <c r="B115" s="93" t="n"/>
      <c r="C115" s="93" t="n"/>
      <c r="D115" s="93" t="n"/>
      <c r="E115" s="93" t="n"/>
      <c r="F115" s="93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93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</row>
    <row r="116">
      <c r="A116" s="93" t="n"/>
      <c r="B116" s="93" t="n"/>
      <c r="C116" s="93" t="n"/>
      <c r="D116" s="93" t="n"/>
      <c r="E116" s="93" t="n"/>
      <c r="F116" s="93" t="n"/>
      <c r="G116" s="93" t="n"/>
      <c r="H116" s="93" t="n"/>
      <c r="I116" s="93" t="n"/>
      <c r="J116" s="93" t="n"/>
      <c r="K116" s="93" t="n"/>
      <c r="L116" s="93" t="n"/>
      <c r="M116" s="93" t="n"/>
      <c r="N116" s="93" t="n"/>
      <c r="O116" s="93" t="n"/>
      <c r="P116" s="93" t="n"/>
      <c r="Q116" s="93" t="n"/>
      <c r="R116" s="93" t="n"/>
      <c r="S116" s="93" t="n"/>
      <c r="T116" s="93" t="n"/>
      <c r="U116" s="93" t="n"/>
      <c r="V116" s="93" t="n"/>
      <c r="W116" s="93" t="n"/>
      <c r="X116" s="93" t="n"/>
      <c r="Y116" s="93" t="n"/>
      <c r="Z116" s="93" t="n"/>
    </row>
    <row r="117">
      <c r="A117" s="93" t="n"/>
      <c r="B117" s="93" t="n"/>
      <c r="C117" s="93" t="n"/>
      <c r="D117" s="93" t="n"/>
      <c r="E117" s="93" t="n"/>
      <c r="F117" s="93" t="n"/>
      <c r="G117" s="93" t="n"/>
      <c r="H117" s="93" t="n"/>
      <c r="I117" s="93" t="n"/>
      <c r="J117" s="93" t="n"/>
      <c r="K117" s="93" t="n"/>
      <c r="L117" s="93" t="n"/>
      <c r="M117" s="93" t="n"/>
      <c r="N117" s="93" t="n"/>
      <c r="O117" s="93" t="n"/>
      <c r="P117" s="93" t="n"/>
      <c r="Q117" s="93" t="n"/>
      <c r="R117" s="93" t="n"/>
      <c r="S117" s="93" t="n"/>
      <c r="T117" s="93" t="n"/>
      <c r="U117" s="93" t="n"/>
      <c r="V117" s="93" t="n"/>
      <c r="W117" s="93" t="n"/>
      <c r="X117" s="93" t="n"/>
      <c r="Y117" s="93" t="n"/>
      <c r="Z117" s="93" t="n"/>
    </row>
    <row r="118">
      <c r="A118" s="93" t="n"/>
      <c r="B118" s="93" t="n"/>
      <c r="C118" s="93" t="n"/>
      <c r="D118" s="93" t="n"/>
      <c r="E118" s="93" t="n"/>
      <c r="F118" s="93" t="n"/>
      <c r="G118" s="93" t="n"/>
      <c r="H118" s="93" t="n"/>
      <c r="I118" s="93" t="n"/>
      <c r="J118" s="93" t="n"/>
      <c r="K118" s="93" t="n"/>
      <c r="L118" s="93" t="n"/>
      <c r="M118" s="93" t="n"/>
      <c r="N118" s="93" t="n"/>
      <c r="O118" s="93" t="n"/>
      <c r="P118" s="93" t="n"/>
      <c r="Q118" s="93" t="n"/>
      <c r="R118" s="93" t="n"/>
      <c r="S118" s="93" t="n"/>
      <c r="T118" s="93" t="n"/>
      <c r="U118" s="93" t="n"/>
      <c r="V118" s="93" t="n"/>
      <c r="W118" s="93" t="n"/>
      <c r="X118" s="93" t="n"/>
      <c r="Y118" s="93" t="n"/>
      <c r="Z118" s="93" t="n"/>
    </row>
    <row r="119">
      <c r="A119" s="93" t="n"/>
      <c r="B119" s="93" t="n"/>
      <c r="C119" s="93" t="n"/>
      <c r="D119" s="93" t="n"/>
      <c r="E119" s="93" t="n"/>
      <c r="F119" s="93" t="n"/>
      <c r="G119" s="93" t="n"/>
      <c r="H119" s="93" t="n"/>
      <c r="I119" s="93" t="n"/>
      <c r="J119" s="93" t="n"/>
      <c r="K119" s="93" t="n"/>
      <c r="L119" s="93" t="n"/>
      <c r="M119" s="93" t="n"/>
      <c r="N119" s="93" t="n"/>
      <c r="O119" s="93" t="n"/>
      <c r="P119" s="93" t="n"/>
      <c r="Q119" s="93" t="n"/>
      <c r="R119" s="93" t="n"/>
      <c r="S119" s="93" t="n"/>
      <c r="T119" s="93" t="n"/>
      <c r="U119" s="93" t="n"/>
      <c r="V119" s="93" t="n"/>
      <c r="W119" s="93" t="n"/>
      <c r="X119" s="93" t="n"/>
      <c r="Y119" s="93" t="n"/>
      <c r="Z119" s="93" t="n"/>
    </row>
    <row r="120">
      <c r="A120" s="93" t="n"/>
      <c r="B120" s="93" t="n"/>
      <c r="C120" s="93" t="n"/>
      <c r="D120" s="93" t="n"/>
      <c r="E120" s="93" t="n"/>
      <c r="F120" s="93" t="n"/>
      <c r="G120" s="93" t="n"/>
      <c r="H120" s="93" t="n"/>
      <c r="I120" s="93" t="n"/>
      <c r="J120" s="93" t="n"/>
      <c r="K120" s="93" t="n"/>
      <c r="L120" s="93" t="n"/>
      <c r="M120" s="93" t="n"/>
      <c r="N120" s="93" t="n"/>
      <c r="O120" s="93" t="n"/>
      <c r="P120" s="93" t="n"/>
      <c r="Q120" s="93" t="n"/>
      <c r="R120" s="93" t="n"/>
      <c r="S120" s="93" t="n"/>
      <c r="T120" s="93" t="n"/>
      <c r="U120" s="93" t="n"/>
      <c r="V120" s="93" t="n"/>
      <c r="W120" s="93" t="n"/>
      <c r="X120" s="93" t="n"/>
      <c r="Y120" s="93" t="n"/>
      <c r="Z120" s="93" t="n"/>
    </row>
    <row r="121">
      <c r="A121" s="93" t="n"/>
      <c r="B121" s="93" t="n"/>
      <c r="C121" s="93" t="n"/>
      <c r="D121" s="93" t="n"/>
      <c r="E121" s="93" t="n"/>
      <c r="F121" s="93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93" t="n"/>
      <c r="P121" s="93" t="n"/>
      <c r="Q121" s="93" t="n"/>
      <c r="R121" s="93" t="n"/>
      <c r="S121" s="93" t="n"/>
      <c r="T121" s="93" t="n"/>
      <c r="U121" s="93" t="n"/>
      <c r="V121" s="93" t="n"/>
      <c r="W121" s="93" t="n"/>
      <c r="X121" s="93" t="n"/>
      <c r="Y121" s="93" t="n"/>
      <c r="Z121" s="93" t="n"/>
    </row>
    <row r="122">
      <c r="A122" s="93" t="n"/>
      <c r="B122" s="93" t="n"/>
      <c r="C122" s="93" t="n"/>
      <c r="D122" s="93" t="n"/>
      <c r="E122" s="93" t="n"/>
      <c r="F122" s="93" t="n"/>
      <c r="G122" s="93" t="n"/>
      <c r="H122" s="93" t="n"/>
      <c r="I122" s="93" t="n"/>
      <c r="J122" s="93" t="n"/>
      <c r="K122" s="93" t="n"/>
      <c r="L122" s="93" t="n"/>
      <c r="M122" s="93" t="n"/>
      <c r="N122" s="93" t="n"/>
      <c r="O122" s="93" t="n"/>
      <c r="P122" s="93" t="n"/>
      <c r="Q122" s="93" t="n"/>
      <c r="R122" s="93" t="n"/>
      <c r="S122" s="93" t="n"/>
      <c r="T122" s="93" t="n"/>
      <c r="U122" s="93" t="n"/>
      <c r="V122" s="93" t="n"/>
      <c r="W122" s="93" t="n"/>
      <c r="X122" s="93" t="n"/>
      <c r="Y122" s="93" t="n"/>
      <c r="Z122" s="93" t="n"/>
    </row>
    <row r="123">
      <c r="A123" s="93" t="n"/>
      <c r="B123" s="93" t="n"/>
      <c r="C123" s="93" t="n"/>
      <c r="D123" s="93" t="n"/>
      <c r="E123" s="93" t="n"/>
      <c r="F123" s="93" t="n"/>
      <c r="G123" s="93" t="n"/>
      <c r="H123" s="93" t="n"/>
      <c r="I123" s="93" t="n"/>
      <c r="J123" s="93" t="n"/>
      <c r="K123" s="93" t="n"/>
      <c r="L123" s="93" t="n"/>
      <c r="M123" s="93" t="n"/>
      <c r="N123" s="93" t="n"/>
      <c r="O123" s="93" t="n"/>
      <c r="P123" s="93" t="n"/>
      <c r="Q123" s="93" t="n"/>
      <c r="R123" s="93" t="n"/>
      <c r="S123" s="93" t="n"/>
      <c r="T123" s="93" t="n"/>
      <c r="U123" s="93" t="n"/>
      <c r="V123" s="93" t="n"/>
      <c r="W123" s="93" t="n"/>
      <c r="X123" s="93" t="n"/>
      <c r="Y123" s="93" t="n"/>
      <c r="Z123" s="93" t="n"/>
    </row>
    <row r="124">
      <c r="A124" s="93" t="n"/>
      <c r="B124" s="93" t="n"/>
      <c r="C124" s="93" t="n"/>
      <c r="D124" s="93" t="n"/>
      <c r="E124" s="93" t="n"/>
      <c r="F124" s="93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93" t="n"/>
      <c r="P124" s="93" t="n"/>
      <c r="Q124" s="93" t="n"/>
      <c r="R124" s="93" t="n"/>
      <c r="S124" s="93" t="n"/>
      <c r="T124" s="93" t="n"/>
      <c r="U124" s="93" t="n"/>
      <c r="V124" s="93" t="n"/>
      <c r="W124" s="93" t="n"/>
      <c r="X124" s="93" t="n"/>
      <c r="Y124" s="93" t="n"/>
      <c r="Z124" s="93" t="n"/>
    </row>
    <row r="125">
      <c r="A125" s="93" t="n"/>
      <c r="B125" s="93" t="n"/>
      <c r="C125" s="93" t="n"/>
      <c r="D125" s="93" t="n"/>
      <c r="E125" s="93" t="n"/>
      <c r="F125" s="93" t="n"/>
      <c r="G125" s="93" t="n"/>
      <c r="H125" s="93" t="n"/>
      <c r="I125" s="93" t="n"/>
      <c r="J125" s="93" t="n"/>
      <c r="K125" s="93" t="n"/>
      <c r="L125" s="93" t="n"/>
      <c r="M125" s="93" t="n"/>
      <c r="N125" s="93" t="n"/>
      <c r="O125" s="93" t="n"/>
      <c r="P125" s="93" t="n"/>
      <c r="Q125" s="93" t="n"/>
      <c r="R125" s="93" t="n"/>
      <c r="S125" s="93" t="n"/>
      <c r="T125" s="93" t="n"/>
      <c r="U125" s="93" t="n"/>
      <c r="V125" s="93" t="n"/>
      <c r="W125" s="93" t="n"/>
      <c r="X125" s="93" t="n"/>
      <c r="Y125" s="93" t="n"/>
      <c r="Z125" s="93" t="n"/>
    </row>
    <row r="126">
      <c r="A126" s="93" t="n"/>
      <c r="B126" s="93" t="n"/>
      <c r="C126" s="93" t="n"/>
      <c r="D126" s="93" t="n"/>
      <c r="E126" s="93" t="n"/>
      <c r="F126" s="93" t="n"/>
      <c r="G126" s="93" t="n"/>
      <c r="H126" s="93" t="n"/>
      <c r="I126" s="93" t="n"/>
      <c r="J126" s="93" t="n"/>
      <c r="K126" s="93" t="n"/>
      <c r="L126" s="93" t="n"/>
      <c r="M126" s="93" t="n"/>
      <c r="N126" s="93" t="n"/>
      <c r="O126" s="93" t="n"/>
      <c r="P126" s="93" t="n"/>
      <c r="Q126" s="93" t="n"/>
      <c r="R126" s="93" t="n"/>
      <c r="S126" s="93" t="n"/>
      <c r="T126" s="93" t="n"/>
      <c r="U126" s="93" t="n"/>
      <c r="V126" s="93" t="n"/>
      <c r="W126" s="93" t="n"/>
      <c r="X126" s="93" t="n"/>
      <c r="Y126" s="93" t="n"/>
      <c r="Z126" s="93" t="n"/>
    </row>
    <row r="127">
      <c r="A127" s="93" t="n"/>
      <c r="B127" s="93" t="n"/>
      <c r="C127" s="93" t="n"/>
      <c r="D127" s="93" t="n"/>
      <c r="E127" s="93" t="n"/>
      <c r="F127" s="93" t="n"/>
      <c r="G127" s="93" t="n"/>
      <c r="H127" s="93" t="n"/>
      <c r="I127" s="93" t="n"/>
      <c r="J127" s="93" t="n"/>
      <c r="K127" s="93" t="n"/>
      <c r="L127" s="93" t="n"/>
      <c r="M127" s="93" t="n"/>
      <c r="N127" s="93" t="n"/>
      <c r="O127" s="93" t="n"/>
      <c r="P127" s="93" t="n"/>
      <c r="Q127" s="93" t="n"/>
      <c r="R127" s="93" t="n"/>
      <c r="S127" s="93" t="n"/>
      <c r="T127" s="93" t="n"/>
      <c r="U127" s="93" t="n"/>
      <c r="V127" s="93" t="n"/>
      <c r="W127" s="93" t="n"/>
      <c r="X127" s="93" t="n"/>
      <c r="Y127" s="93" t="n"/>
      <c r="Z127" s="93" t="n"/>
    </row>
    <row r="128">
      <c r="A128" s="93" t="n"/>
      <c r="B128" s="93" t="n"/>
      <c r="C128" s="93" t="n"/>
      <c r="D128" s="93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93" t="n"/>
      <c r="P128" s="93" t="n"/>
      <c r="Q128" s="93" t="n"/>
      <c r="R128" s="93" t="n"/>
      <c r="S128" s="93" t="n"/>
      <c r="T128" s="93" t="n"/>
      <c r="U128" s="93" t="n"/>
      <c r="V128" s="93" t="n"/>
      <c r="W128" s="93" t="n"/>
      <c r="X128" s="93" t="n"/>
      <c r="Y128" s="93" t="n"/>
      <c r="Z128" s="93" t="n"/>
    </row>
    <row r="129">
      <c r="A129" s="93" t="n"/>
      <c r="B129" s="93" t="n"/>
      <c r="C129" s="93" t="n"/>
      <c r="D129" s="93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93" t="n"/>
      <c r="P129" s="93" t="n"/>
      <c r="Q129" s="93" t="n"/>
      <c r="R129" s="93" t="n"/>
      <c r="S129" s="93" t="n"/>
      <c r="T129" s="93" t="n"/>
      <c r="U129" s="93" t="n"/>
      <c r="V129" s="93" t="n"/>
      <c r="W129" s="93" t="n"/>
      <c r="X129" s="93" t="n"/>
      <c r="Y129" s="93" t="n"/>
      <c r="Z129" s="93" t="n"/>
    </row>
    <row r="130">
      <c r="A130" s="93" t="n"/>
      <c r="B130" s="93" t="n"/>
      <c r="C130" s="93" t="n"/>
      <c r="D130" s="93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93" t="n"/>
      <c r="P130" s="93" t="n"/>
      <c r="Q130" s="93" t="n"/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</row>
    <row r="131">
      <c r="A131" s="93" t="n"/>
      <c r="B131" s="93" t="n"/>
      <c r="C131" s="93" t="n"/>
      <c r="D131" s="93" t="n"/>
      <c r="E131" s="93" t="n"/>
      <c r="F131" s="93" t="n"/>
      <c r="G131" s="93" t="n"/>
      <c r="H131" s="93" t="n"/>
      <c r="I131" s="93" t="n"/>
      <c r="J131" s="93" t="n"/>
      <c r="K131" s="93" t="n"/>
      <c r="L131" s="93" t="n"/>
      <c r="M131" s="93" t="n"/>
      <c r="N131" s="93" t="n"/>
      <c r="O131" s="93" t="n"/>
      <c r="P131" s="93" t="n"/>
      <c r="Q131" s="93" t="n"/>
      <c r="R131" s="93" t="n"/>
      <c r="S131" s="93" t="n"/>
      <c r="T131" s="93" t="n"/>
      <c r="U131" s="93" t="n"/>
      <c r="V131" s="93" t="n"/>
      <c r="W131" s="93" t="n"/>
      <c r="X131" s="93" t="n"/>
      <c r="Y131" s="93" t="n"/>
      <c r="Z131" s="93" t="n"/>
    </row>
    <row r="132">
      <c r="A132" s="93" t="n"/>
      <c r="B132" s="93" t="n"/>
      <c r="C132" s="93" t="n"/>
      <c r="D132" s="93" t="n"/>
      <c r="E132" s="93" t="n"/>
      <c r="F132" s="93" t="n"/>
      <c r="G132" s="93" t="n"/>
      <c r="H132" s="93" t="n"/>
      <c r="I132" s="93" t="n"/>
      <c r="J132" s="93" t="n"/>
      <c r="K132" s="93" t="n"/>
      <c r="L132" s="93" t="n"/>
      <c r="M132" s="93" t="n"/>
      <c r="N132" s="93" t="n"/>
      <c r="O132" s="93" t="n"/>
      <c r="P132" s="93" t="n"/>
      <c r="Q132" s="93" t="n"/>
      <c r="R132" s="93" t="n"/>
      <c r="S132" s="93" t="n"/>
      <c r="T132" s="93" t="n"/>
      <c r="U132" s="93" t="n"/>
      <c r="V132" s="93" t="n"/>
      <c r="W132" s="93" t="n"/>
      <c r="X132" s="93" t="n"/>
      <c r="Y132" s="93" t="n"/>
      <c r="Z132" s="93" t="n"/>
    </row>
    <row r="133">
      <c r="A133" s="93" t="n"/>
      <c r="B133" s="93" t="n"/>
      <c r="C133" s="93" t="n"/>
      <c r="D133" s="93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93" t="n"/>
      <c r="P133" s="93" t="n"/>
      <c r="Q133" s="93" t="n"/>
      <c r="R133" s="93" t="n"/>
      <c r="S133" s="93" t="n"/>
      <c r="T133" s="93" t="n"/>
      <c r="U133" s="93" t="n"/>
      <c r="V133" s="93" t="n"/>
      <c r="W133" s="93" t="n"/>
      <c r="X133" s="93" t="n"/>
      <c r="Y133" s="93" t="n"/>
      <c r="Z133" s="93" t="n"/>
    </row>
    <row r="134">
      <c r="A134" s="93" t="n"/>
      <c r="B134" s="93" t="n"/>
      <c r="C134" s="93" t="n"/>
      <c r="D134" s="93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93" t="n"/>
      <c r="P134" s="93" t="n"/>
      <c r="Q134" s="93" t="n"/>
      <c r="R134" s="93" t="n"/>
      <c r="S134" s="93" t="n"/>
      <c r="T134" s="93" t="n"/>
      <c r="U134" s="93" t="n"/>
      <c r="V134" s="93" t="n"/>
      <c r="W134" s="93" t="n"/>
      <c r="X134" s="93" t="n"/>
      <c r="Y134" s="93" t="n"/>
      <c r="Z134" s="93" t="n"/>
    </row>
    <row r="135">
      <c r="A135" s="93" t="n"/>
      <c r="B135" s="93" t="n"/>
      <c r="C135" s="93" t="n"/>
      <c r="D135" s="93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93" t="n"/>
      <c r="P135" s="93" t="n"/>
      <c r="Q135" s="93" t="n"/>
      <c r="R135" s="93" t="n"/>
      <c r="S135" s="93" t="n"/>
      <c r="T135" s="93" t="n"/>
      <c r="U135" s="93" t="n"/>
      <c r="V135" s="93" t="n"/>
      <c r="W135" s="93" t="n"/>
      <c r="X135" s="93" t="n"/>
      <c r="Y135" s="93" t="n"/>
      <c r="Z135" s="93" t="n"/>
    </row>
    <row r="136">
      <c r="A136" s="93" t="n"/>
      <c r="B136" s="93" t="n"/>
      <c r="C136" s="93" t="n"/>
      <c r="D136" s="93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  <c r="U136" s="93" t="n"/>
      <c r="V136" s="93" t="n"/>
      <c r="W136" s="93" t="n"/>
      <c r="X136" s="93" t="n"/>
      <c r="Y136" s="93" t="n"/>
      <c r="Z136" s="93" t="n"/>
    </row>
    <row r="137">
      <c r="A137" s="93" t="n"/>
      <c r="B137" s="93" t="n"/>
      <c r="C137" s="93" t="n"/>
      <c r="D137" s="93" t="n"/>
      <c r="E137" s="93" t="n"/>
      <c r="F137" s="93" t="n"/>
      <c r="G137" s="93" t="n"/>
      <c r="H137" s="93" t="n"/>
      <c r="I137" s="93" t="n"/>
      <c r="J137" s="93" t="n"/>
      <c r="K137" s="93" t="n"/>
      <c r="L137" s="93" t="n"/>
      <c r="M137" s="93" t="n"/>
      <c r="N137" s="93" t="n"/>
      <c r="O137" s="93" t="n"/>
      <c r="P137" s="93" t="n"/>
      <c r="Q137" s="93" t="n"/>
      <c r="R137" s="93" t="n"/>
      <c r="S137" s="93" t="n"/>
      <c r="T137" s="93" t="n"/>
      <c r="U137" s="93" t="n"/>
      <c r="V137" s="93" t="n"/>
      <c r="W137" s="93" t="n"/>
      <c r="X137" s="93" t="n"/>
      <c r="Y137" s="93" t="n"/>
      <c r="Z137" s="93" t="n"/>
    </row>
    <row r="138">
      <c r="A138" s="93" t="n"/>
      <c r="B138" s="93" t="n"/>
      <c r="C138" s="93" t="n"/>
      <c r="D138" s="93" t="n"/>
      <c r="E138" s="93" t="n"/>
      <c r="F138" s="93" t="n"/>
      <c r="G138" s="93" t="n"/>
      <c r="H138" s="93" t="n"/>
      <c r="I138" s="93" t="n"/>
      <c r="J138" s="93" t="n"/>
      <c r="K138" s="93" t="n"/>
      <c r="L138" s="93" t="n"/>
      <c r="M138" s="93" t="n"/>
      <c r="N138" s="93" t="n"/>
      <c r="O138" s="93" t="n"/>
      <c r="P138" s="93" t="n"/>
      <c r="Q138" s="93" t="n"/>
      <c r="R138" s="93" t="n"/>
      <c r="S138" s="93" t="n"/>
      <c r="T138" s="93" t="n"/>
      <c r="U138" s="93" t="n"/>
      <c r="V138" s="93" t="n"/>
      <c r="W138" s="93" t="n"/>
      <c r="X138" s="93" t="n"/>
      <c r="Y138" s="93" t="n"/>
      <c r="Z138" s="93" t="n"/>
    </row>
    <row r="139">
      <c r="A139" s="93" t="n"/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93" t="n"/>
      <c r="N139" s="93" t="n"/>
      <c r="O139" s="93" t="n"/>
      <c r="P139" s="93" t="n"/>
      <c r="Q139" s="93" t="n"/>
      <c r="R139" s="93" t="n"/>
      <c r="S139" s="93" t="n"/>
      <c r="T139" s="93" t="n"/>
      <c r="U139" s="93" t="n"/>
      <c r="V139" s="93" t="n"/>
      <c r="W139" s="93" t="n"/>
      <c r="X139" s="93" t="n"/>
      <c r="Y139" s="93" t="n"/>
      <c r="Z139" s="93" t="n"/>
    </row>
    <row r="140">
      <c r="A140" s="93" t="n"/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93" t="n"/>
      <c r="P140" s="93" t="n"/>
      <c r="Q140" s="93" t="n"/>
      <c r="R140" s="93" t="n"/>
      <c r="S140" s="93" t="n"/>
      <c r="T140" s="93" t="n"/>
      <c r="U140" s="93" t="n"/>
      <c r="V140" s="93" t="n"/>
      <c r="W140" s="93" t="n"/>
      <c r="X140" s="93" t="n"/>
      <c r="Y140" s="93" t="n"/>
      <c r="Z140" s="93" t="n"/>
    </row>
    <row r="141">
      <c r="A141" s="93" t="n"/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93" t="n"/>
      <c r="P141" s="93" t="n"/>
      <c r="Q141" s="93" t="n"/>
      <c r="R141" s="93" t="n"/>
      <c r="S141" s="93" t="n"/>
      <c r="T141" s="93" t="n"/>
      <c r="U141" s="93" t="n"/>
      <c r="V141" s="93" t="n"/>
      <c r="W141" s="93" t="n"/>
      <c r="X141" s="93" t="n"/>
      <c r="Y141" s="93" t="n"/>
      <c r="Z141" s="93" t="n"/>
    </row>
    <row r="142">
      <c r="A142" s="93" t="n"/>
      <c r="B142" s="93" t="n"/>
      <c r="C142" s="93" t="n"/>
      <c r="D142" s="93" t="n"/>
      <c r="E142" s="93" t="n"/>
      <c r="F142" s="93" t="n"/>
      <c r="G142" s="93" t="n"/>
      <c r="H142" s="93" t="n"/>
      <c r="I142" s="93" t="n"/>
      <c r="J142" s="93" t="n"/>
      <c r="K142" s="93" t="n"/>
      <c r="L142" s="93" t="n"/>
      <c r="M142" s="93" t="n"/>
      <c r="N142" s="93" t="n"/>
      <c r="O142" s="93" t="n"/>
      <c r="P142" s="93" t="n"/>
      <c r="Q142" s="93" t="n"/>
      <c r="R142" s="93" t="n"/>
      <c r="S142" s="93" t="n"/>
      <c r="T142" s="93" t="n"/>
      <c r="U142" s="93" t="n"/>
      <c r="V142" s="93" t="n"/>
      <c r="W142" s="93" t="n"/>
      <c r="X142" s="93" t="n"/>
      <c r="Y142" s="93" t="n"/>
      <c r="Z142" s="93" t="n"/>
    </row>
    <row r="143">
      <c r="A143" s="93" t="n"/>
      <c r="B143" s="93" t="n"/>
      <c r="C143" s="93" t="n"/>
      <c r="D143" s="93" t="n"/>
      <c r="E143" s="93" t="n"/>
      <c r="F143" s="93" t="n"/>
      <c r="G143" s="93" t="n"/>
      <c r="H143" s="93" t="n"/>
      <c r="I143" s="93" t="n"/>
      <c r="J143" s="93" t="n"/>
      <c r="K143" s="93" t="n"/>
      <c r="L143" s="93" t="n"/>
      <c r="M143" s="93" t="n"/>
      <c r="N143" s="93" t="n"/>
      <c r="O143" s="93" t="n"/>
      <c r="P143" s="93" t="n"/>
      <c r="Q143" s="93" t="n"/>
      <c r="R143" s="93" t="n"/>
      <c r="S143" s="93" t="n"/>
      <c r="T143" s="93" t="n"/>
      <c r="U143" s="93" t="n"/>
      <c r="V143" s="93" t="n"/>
      <c r="W143" s="93" t="n"/>
      <c r="X143" s="93" t="n"/>
      <c r="Y143" s="93" t="n"/>
      <c r="Z143" s="93" t="n"/>
    </row>
    <row r="144">
      <c r="A144" s="93" t="n"/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93" t="n"/>
      <c r="P144" s="93" t="n"/>
      <c r="Q144" s="93" t="n"/>
      <c r="R144" s="93" t="n"/>
      <c r="S144" s="93" t="n"/>
      <c r="T144" s="93" t="n"/>
      <c r="U144" s="93" t="n"/>
      <c r="V144" s="93" t="n"/>
      <c r="W144" s="93" t="n"/>
      <c r="X144" s="93" t="n"/>
      <c r="Y144" s="93" t="n"/>
      <c r="Z144" s="93" t="n"/>
    </row>
    <row r="145">
      <c r="A145" s="93" t="n"/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93" t="n"/>
      <c r="P145" s="93" t="n"/>
      <c r="Q145" s="93" t="n"/>
      <c r="R145" s="93" t="n"/>
      <c r="S145" s="93" t="n"/>
      <c r="T145" s="93" t="n"/>
      <c r="U145" s="93" t="n"/>
      <c r="V145" s="93" t="n"/>
      <c r="W145" s="93" t="n"/>
      <c r="X145" s="93" t="n"/>
      <c r="Y145" s="93" t="n"/>
      <c r="Z145" s="93" t="n"/>
    </row>
    <row r="146">
      <c r="A146" s="93" t="n"/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93" t="n"/>
      <c r="P146" s="93" t="n"/>
      <c r="Q146" s="93" t="n"/>
      <c r="R146" s="93" t="n"/>
      <c r="S146" s="93" t="n"/>
      <c r="T146" s="93" t="n"/>
      <c r="U146" s="93" t="n"/>
      <c r="V146" s="93" t="n"/>
      <c r="W146" s="93" t="n"/>
      <c r="X146" s="93" t="n"/>
      <c r="Y146" s="93" t="n"/>
      <c r="Z146" s="93" t="n"/>
    </row>
    <row r="147">
      <c r="A147" s="93" t="n"/>
      <c r="B147" s="93" t="n"/>
      <c r="C147" s="93" t="n"/>
      <c r="D147" s="93" t="n"/>
      <c r="E147" s="93" t="n"/>
      <c r="F147" s="93" t="n"/>
      <c r="G147" s="93" t="n"/>
      <c r="H147" s="93" t="n"/>
      <c r="I147" s="93" t="n"/>
      <c r="J147" s="93" t="n"/>
      <c r="K147" s="93" t="n"/>
      <c r="L147" s="93" t="n"/>
      <c r="M147" s="93" t="n"/>
      <c r="N147" s="93" t="n"/>
      <c r="O147" s="93" t="n"/>
      <c r="P147" s="93" t="n"/>
      <c r="Q147" s="93" t="n"/>
      <c r="R147" s="93" t="n"/>
      <c r="S147" s="93" t="n"/>
      <c r="T147" s="93" t="n"/>
      <c r="U147" s="93" t="n"/>
      <c r="V147" s="93" t="n"/>
      <c r="W147" s="93" t="n"/>
      <c r="X147" s="93" t="n"/>
      <c r="Y147" s="93" t="n"/>
      <c r="Z147" s="93" t="n"/>
    </row>
    <row r="148">
      <c r="A148" s="93" t="n"/>
      <c r="B148" s="93" t="n"/>
      <c r="C148" s="93" t="n"/>
      <c r="D148" s="93" t="n"/>
      <c r="E148" s="93" t="n"/>
      <c r="F148" s="93" t="n"/>
      <c r="G148" s="93" t="n"/>
      <c r="H148" s="93" t="n"/>
      <c r="I148" s="93" t="n"/>
      <c r="J148" s="93" t="n"/>
      <c r="K148" s="93" t="n"/>
      <c r="L148" s="93" t="n"/>
      <c r="M148" s="93" t="n"/>
      <c r="N148" s="93" t="n"/>
      <c r="O148" s="93" t="n"/>
      <c r="P148" s="93" t="n"/>
      <c r="Q148" s="93" t="n"/>
      <c r="R148" s="93" t="n"/>
      <c r="S148" s="93" t="n"/>
      <c r="T148" s="93" t="n"/>
      <c r="U148" s="93" t="n"/>
      <c r="V148" s="93" t="n"/>
      <c r="W148" s="93" t="n"/>
      <c r="X148" s="93" t="n"/>
      <c r="Y148" s="93" t="n"/>
      <c r="Z148" s="93" t="n"/>
    </row>
    <row r="149">
      <c r="A149" s="93" t="n"/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93" t="n"/>
      <c r="P149" s="93" t="n"/>
      <c r="Q149" s="93" t="n"/>
      <c r="R149" s="93" t="n"/>
      <c r="S149" s="93" t="n"/>
      <c r="T149" s="93" t="n"/>
      <c r="U149" s="93" t="n"/>
      <c r="V149" s="93" t="n"/>
      <c r="W149" s="93" t="n"/>
      <c r="X149" s="93" t="n"/>
      <c r="Y149" s="93" t="n"/>
      <c r="Z149" s="93" t="n"/>
    </row>
    <row r="150">
      <c r="A150" s="93" t="n"/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93" t="n"/>
      <c r="P150" s="93" t="n"/>
      <c r="Q150" s="93" t="n"/>
      <c r="R150" s="93" t="n"/>
      <c r="S150" s="93" t="n"/>
      <c r="T150" s="93" t="n"/>
      <c r="U150" s="93" t="n"/>
      <c r="V150" s="93" t="n"/>
      <c r="W150" s="93" t="n"/>
      <c r="X150" s="93" t="n"/>
      <c r="Y150" s="93" t="n"/>
      <c r="Z150" s="93" t="n"/>
    </row>
    <row r="151">
      <c r="A151" s="93" t="n"/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93" t="n"/>
      <c r="P151" s="93" t="n"/>
      <c r="Q151" s="93" t="n"/>
      <c r="R151" s="93" t="n"/>
      <c r="S151" s="93" t="n"/>
      <c r="T151" s="93" t="n"/>
      <c r="U151" s="93" t="n"/>
      <c r="V151" s="93" t="n"/>
      <c r="W151" s="93" t="n"/>
      <c r="X151" s="93" t="n"/>
      <c r="Y151" s="93" t="n"/>
      <c r="Z151" s="93" t="n"/>
    </row>
    <row r="152">
      <c r="A152" s="93" t="n"/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93" t="n"/>
      <c r="P152" s="93" t="n"/>
      <c r="Q152" s="93" t="n"/>
      <c r="R152" s="93" t="n"/>
      <c r="S152" s="93" t="n"/>
      <c r="T152" s="93" t="n"/>
      <c r="U152" s="93" t="n"/>
      <c r="V152" s="93" t="n"/>
      <c r="W152" s="93" t="n"/>
      <c r="X152" s="93" t="n"/>
      <c r="Y152" s="93" t="n"/>
      <c r="Z152" s="93" t="n"/>
    </row>
    <row r="153">
      <c r="A153" s="93" t="n"/>
      <c r="B153" s="93" t="n"/>
      <c r="C153" s="93" t="n"/>
      <c r="D153" s="93" t="n"/>
      <c r="E153" s="93" t="n"/>
      <c r="F153" s="93" t="n"/>
      <c r="G153" s="93" t="n"/>
      <c r="H153" s="93" t="n"/>
      <c r="I153" s="93" t="n"/>
      <c r="J153" s="93" t="n"/>
      <c r="K153" s="93" t="n"/>
      <c r="L153" s="93" t="n"/>
      <c r="M153" s="93" t="n"/>
      <c r="N153" s="93" t="n"/>
      <c r="O153" s="93" t="n"/>
      <c r="P153" s="93" t="n"/>
      <c r="Q153" s="93" t="n"/>
      <c r="R153" s="93" t="n"/>
      <c r="S153" s="93" t="n"/>
      <c r="T153" s="93" t="n"/>
      <c r="U153" s="93" t="n"/>
      <c r="V153" s="93" t="n"/>
      <c r="W153" s="93" t="n"/>
      <c r="X153" s="93" t="n"/>
      <c r="Y153" s="93" t="n"/>
      <c r="Z153" s="93" t="n"/>
    </row>
    <row r="154">
      <c r="A154" s="93" t="n"/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93" t="n"/>
      <c r="P154" s="93" t="n"/>
      <c r="Q154" s="93" t="n"/>
      <c r="R154" s="93" t="n"/>
      <c r="S154" s="93" t="n"/>
      <c r="T154" s="93" t="n"/>
      <c r="U154" s="93" t="n"/>
      <c r="V154" s="93" t="n"/>
      <c r="W154" s="93" t="n"/>
      <c r="X154" s="93" t="n"/>
      <c r="Y154" s="93" t="n"/>
      <c r="Z154" s="93" t="n"/>
    </row>
    <row r="155">
      <c r="A155" s="93" t="n"/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93" t="n"/>
      <c r="P155" s="93" t="n"/>
      <c r="Q155" s="93" t="n"/>
      <c r="R155" s="93" t="n"/>
      <c r="S155" s="93" t="n"/>
      <c r="T155" s="93" t="n"/>
      <c r="U155" s="93" t="n"/>
      <c r="V155" s="93" t="n"/>
      <c r="W155" s="93" t="n"/>
      <c r="X155" s="93" t="n"/>
      <c r="Y155" s="93" t="n"/>
      <c r="Z155" s="93" t="n"/>
    </row>
    <row r="156">
      <c r="A156" s="93" t="n"/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93" t="n"/>
      <c r="P156" s="93" t="n"/>
      <c r="Q156" s="93" t="n"/>
      <c r="R156" s="93" t="n"/>
      <c r="S156" s="93" t="n"/>
      <c r="T156" s="93" t="n"/>
      <c r="U156" s="93" t="n"/>
      <c r="V156" s="93" t="n"/>
      <c r="W156" s="93" t="n"/>
      <c r="X156" s="93" t="n"/>
      <c r="Y156" s="93" t="n"/>
      <c r="Z156" s="93" t="n"/>
    </row>
    <row r="157">
      <c r="A157" s="93" t="n"/>
      <c r="B157" s="93" t="n"/>
      <c r="C157" s="93" t="n"/>
      <c r="D157" s="93" t="n"/>
      <c r="E157" s="93" t="n"/>
      <c r="F157" s="93" t="n"/>
      <c r="G157" s="93" t="n"/>
      <c r="H157" s="93" t="n"/>
      <c r="I157" s="93" t="n"/>
      <c r="J157" s="93" t="n"/>
      <c r="K157" s="93" t="n"/>
      <c r="L157" s="93" t="n"/>
      <c r="M157" s="93" t="n"/>
      <c r="N157" s="93" t="n"/>
      <c r="O157" s="93" t="n"/>
      <c r="P157" s="93" t="n"/>
      <c r="Q157" s="93" t="n"/>
      <c r="R157" s="93" t="n"/>
      <c r="S157" s="93" t="n"/>
      <c r="T157" s="93" t="n"/>
      <c r="U157" s="93" t="n"/>
      <c r="V157" s="93" t="n"/>
      <c r="W157" s="93" t="n"/>
      <c r="X157" s="93" t="n"/>
      <c r="Y157" s="93" t="n"/>
      <c r="Z157" s="93" t="n"/>
    </row>
    <row r="158">
      <c r="A158" s="93" t="n"/>
      <c r="B158" s="93" t="n"/>
      <c r="C158" s="93" t="n"/>
      <c r="D158" s="93" t="n"/>
      <c r="E158" s="93" t="n"/>
      <c r="F158" s="93" t="n"/>
      <c r="G158" s="93" t="n"/>
      <c r="H158" s="93" t="n"/>
      <c r="I158" s="93" t="n"/>
      <c r="J158" s="93" t="n"/>
      <c r="K158" s="93" t="n"/>
      <c r="L158" s="93" t="n"/>
      <c r="M158" s="93" t="n"/>
      <c r="N158" s="93" t="n"/>
      <c r="O158" s="93" t="n"/>
      <c r="P158" s="93" t="n"/>
      <c r="Q158" s="93" t="n"/>
      <c r="R158" s="93" t="n"/>
      <c r="S158" s="93" t="n"/>
      <c r="T158" s="93" t="n"/>
      <c r="U158" s="93" t="n"/>
      <c r="V158" s="93" t="n"/>
      <c r="W158" s="93" t="n"/>
      <c r="X158" s="93" t="n"/>
      <c r="Y158" s="93" t="n"/>
      <c r="Z158" s="93" t="n"/>
    </row>
    <row r="159">
      <c r="A159" s="93" t="n"/>
      <c r="B159" s="93" t="n"/>
      <c r="C159" s="93" t="n"/>
      <c r="D159" s="93" t="n"/>
      <c r="E159" s="93" t="n"/>
      <c r="F159" s="93" t="n"/>
      <c r="G159" s="93" t="n"/>
      <c r="H159" s="93" t="n"/>
      <c r="I159" s="93" t="n"/>
      <c r="J159" s="93" t="n"/>
      <c r="K159" s="93" t="n"/>
      <c r="L159" s="93" t="n"/>
      <c r="M159" s="93" t="n"/>
      <c r="N159" s="93" t="n"/>
      <c r="O159" s="93" t="n"/>
      <c r="P159" s="93" t="n"/>
      <c r="Q159" s="93" t="n"/>
      <c r="R159" s="93" t="n"/>
      <c r="S159" s="93" t="n"/>
      <c r="T159" s="93" t="n"/>
      <c r="U159" s="93" t="n"/>
      <c r="V159" s="93" t="n"/>
      <c r="W159" s="93" t="n"/>
      <c r="X159" s="93" t="n"/>
      <c r="Y159" s="93" t="n"/>
      <c r="Z159" s="93" t="n"/>
    </row>
    <row r="160">
      <c r="A160" s="93" t="n"/>
      <c r="B160" s="93" t="n"/>
      <c r="C160" s="93" t="n"/>
      <c r="D160" s="93" t="n"/>
      <c r="E160" s="93" t="n"/>
      <c r="F160" s="93" t="n"/>
      <c r="G160" s="93" t="n"/>
      <c r="H160" s="93" t="n"/>
      <c r="I160" s="93" t="n"/>
      <c r="J160" s="93" t="n"/>
      <c r="K160" s="93" t="n"/>
      <c r="L160" s="93" t="n"/>
      <c r="M160" s="93" t="n"/>
      <c r="N160" s="93" t="n"/>
      <c r="O160" s="93" t="n"/>
      <c r="P160" s="93" t="n"/>
      <c r="Q160" s="93" t="n"/>
      <c r="R160" s="93" t="n"/>
      <c r="S160" s="93" t="n"/>
      <c r="T160" s="93" t="n"/>
      <c r="U160" s="93" t="n"/>
      <c r="V160" s="93" t="n"/>
      <c r="W160" s="93" t="n"/>
      <c r="X160" s="93" t="n"/>
      <c r="Y160" s="93" t="n"/>
      <c r="Z160" s="93" t="n"/>
    </row>
    <row r="161">
      <c r="A161" s="93" t="n"/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93" t="n"/>
      <c r="P161" s="93" t="n"/>
      <c r="Q161" s="93" t="n"/>
      <c r="R161" s="93" t="n"/>
      <c r="S161" s="93" t="n"/>
      <c r="T161" s="93" t="n"/>
      <c r="U161" s="93" t="n"/>
      <c r="V161" s="93" t="n"/>
      <c r="W161" s="93" t="n"/>
      <c r="X161" s="93" t="n"/>
      <c r="Y161" s="93" t="n"/>
      <c r="Z161" s="93" t="n"/>
    </row>
    <row r="162">
      <c r="A162" s="93" t="n"/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93" t="n"/>
      <c r="P162" s="93" t="n"/>
      <c r="Q162" s="93" t="n"/>
      <c r="R162" s="93" t="n"/>
      <c r="S162" s="93" t="n"/>
      <c r="T162" s="93" t="n"/>
      <c r="U162" s="93" t="n"/>
      <c r="V162" s="93" t="n"/>
      <c r="W162" s="93" t="n"/>
      <c r="X162" s="93" t="n"/>
      <c r="Y162" s="93" t="n"/>
      <c r="Z162" s="93" t="n"/>
    </row>
    <row r="163">
      <c r="A163" s="93" t="n"/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93" t="n"/>
      <c r="P163" s="93" t="n"/>
      <c r="Q163" s="93" t="n"/>
      <c r="R163" s="93" t="n"/>
      <c r="S163" s="93" t="n"/>
      <c r="T163" s="93" t="n"/>
      <c r="U163" s="93" t="n"/>
      <c r="V163" s="93" t="n"/>
      <c r="W163" s="93" t="n"/>
      <c r="X163" s="93" t="n"/>
      <c r="Y163" s="93" t="n"/>
      <c r="Z163" s="93" t="n"/>
    </row>
    <row r="164">
      <c r="A164" s="93" t="n"/>
      <c r="B164" s="93" t="n"/>
      <c r="C164" s="93" t="n"/>
      <c r="D164" s="93" t="n"/>
      <c r="E164" s="93" t="n"/>
      <c r="F164" s="93" t="n"/>
      <c r="G164" s="93" t="n"/>
      <c r="H164" s="93" t="n"/>
      <c r="I164" s="93" t="n"/>
      <c r="J164" s="93" t="n"/>
      <c r="K164" s="93" t="n"/>
      <c r="L164" s="93" t="n"/>
      <c r="M164" s="93" t="n"/>
      <c r="N164" s="93" t="n"/>
      <c r="O164" s="93" t="n"/>
      <c r="P164" s="93" t="n"/>
      <c r="Q164" s="93" t="n"/>
      <c r="R164" s="93" t="n"/>
      <c r="S164" s="93" t="n"/>
      <c r="T164" s="93" t="n"/>
      <c r="U164" s="93" t="n"/>
      <c r="V164" s="93" t="n"/>
      <c r="W164" s="93" t="n"/>
      <c r="X164" s="93" t="n"/>
      <c r="Y164" s="93" t="n"/>
      <c r="Z164" s="93" t="n"/>
    </row>
    <row r="165">
      <c r="A165" s="93" t="n"/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93" t="n"/>
      <c r="P165" s="93" t="n"/>
      <c r="Q165" s="93" t="n"/>
      <c r="R165" s="93" t="n"/>
      <c r="S165" s="93" t="n"/>
      <c r="T165" s="93" t="n"/>
      <c r="U165" s="93" t="n"/>
      <c r="V165" s="93" t="n"/>
      <c r="W165" s="93" t="n"/>
      <c r="X165" s="93" t="n"/>
      <c r="Y165" s="93" t="n"/>
      <c r="Z165" s="93" t="n"/>
    </row>
    <row r="166">
      <c r="A166" s="93" t="n"/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93" t="n"/>
      <c r="P166" s="93" t="n"/>
      <c r="Q166" s="93" t="n"/>
      <c r="R166" s="93" t="n"/>
      <c r="S166" s="93" t="n"/>
      <c r="T166" s="93" t="n"/>
      <c r="U166" s="93" t="n"/>
      <c r="V166" s="93" t="n"/>
      <c r="W166" s="93" t="n"/>
      <c r="X166" s="93" t="n"/>
      <c r="Y166" s="93" t="n"/>
      <c r="Z166" s="93" t="n"/>
    </row>
    <row r="167">
      <c r="A167" s="93" t="n"/>
      <c r="B167" s="93" t="n"/>
      <c r="C167" s="93" t="n"/>
      <c r="D167" s="93" t="n"/>
      <c r="E167" s="93" t="n"/>
      <c r="F167" s="93" t="n"/>
      <c r="G167" s="93" t="n"/>
      <c r="H167" s="93" t="n"/>
      <c r="I167" s="93" t="n"/>
      <c r="J167" s="93" t="n"/>
      <c r="K167" s="93" t="n"/>
      <c r="L167" s="93" t="n"/>
      <c r="M167" s="93" t="n"/>
      <c r="N167" s="93" t="n"/>
      <c r="O167" s="93" t="n"/>
      <c r="P167" s="93" t="n"/>
      <c r="Q167" s="93" t="n"/>
      <c r="R167" s="93" t="n"/>
      <c r="S167" s="93" t="n"/>
      <c r="T167" s="93" t="n"/>
      <c r="U167" s="93" t="n"/>
      <c r="V167" s="93" t="n"/>
      <c r="W167" s="93" t="n"/>
      <c r="X167" s="93" t="n"/>
      <c r="Y167" s="93" t="n"/>
      <c r="Z167" s="93" t="n"/>
    </row>
    <row r="168">
      <c r="A168" s="93" t="n"/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93" t="n"/>
      <c r="P168" s="93" t="n"/>
      <c r="Q168" s="93" t="n"/>
      <c r="R168" s="93" t="n"/>
      <c r="S168" s="93" t="n"/>
      <c r="T168" s="93" t="n"/>
      <c r="U168" s="93" t="n"/>
      <c r="V168" s="93" t="n"/>
      <c r="W168" s="93" t="n"/>
      <c r="X168" s="93" t="n"/>
      <c r="Y168" s="93" t="n"/>
      <c r="Z168" s="93" t="n"/>
    </row>
    <row r="169">
      <c r="A169" s="93" t="n"/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93" t="n"/>
      <c r="P169" s="93" t="n"/>
      <c r="Q169" s="93" t="n"/>
      <c r="R169" s="93" t="n"/>
      <c r="S169" s="93" t="n"/>
      <c r="T169" s="93" t="n"/>
      <c r="U169" s="93" t="n"/>
      <c r="V169" s="93" t="n"/>
      <c r="W169" s="93" t="n"/>
      <c r="X169" s="93" t="n"/>
      <c r="Y169" s="93" t="n"/>
      <c r="Z169" s="93" t="n"/>
    </row>
    <row r="170">
      <c r="A170" s="93" t="n"/>
      <c r="B170" s="93" t="n"/>
      <c r="C170" s="93" t="n"/>
      <c r="D170" s="93" t="n"/>
      <c r="E170" s="93" t="n"/>
      <c r="F170" s="93" t="n"/>
      <c r="G170" s="93" t="n"/>
      <c r="H170" s="93" t="n"/>
      <c r="I170" s="93" t="n"/>
      <c r="J170" s="93" t="n"/>
      <c r="K170" s="93" t="n"/>
      <c r="L170" s="93" t="n"/>
      <c r="M170" s="93" t="n"/>
      <c r="N170" s="93" t="n"/>
      <c r="O170" s="93" t="n"/>
      <c r="P170" s="93" t="n"/>
      <c r="Q170" s="93" t="n"/>
      <c r="R170" s="93" t="n"/>
      <c r="S170" s="93" t="n"/>
      <c r="T170" s="93" t="n"/>
      <c r="U170" s="93" t="n"/>
      <c r="V170" s="93" t="n"/>
      <c r="W170" s="93" t="n"/>
      <c r="X170" s="93" t="n"/>
      <c r="Y170" s="93" t="n"/>
      <c r="Z170" s="93" t="n"/>
    </row>
    <row r="171">
      <c r="A171" s="93" t="n"/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93" t="n"/>
      <c r="P171" s="93" t="n"/>
      <c r="Q171" s="93" t="n"/>
      <c r="R171" s="93" t="n"/>
      <c r="S171" s="93" t="n"/>
      <c r="T171" s="93" t="n"/>
      <c r="U171" s="93" t="n"/>
      <c r="V171" s="93" t="n"/>
      <c r="W171" s="93" t="n"/>
      <c r="X171" s="93" t="n"/>
      <c r="Y171" s="93" t="n"/>
      <c r="Z171" s="93" t="n"/>
    </row>
    <row r="172">
      <c r="A172" s="93" t="n"/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93" t="n"/>
      <c r="P172" s="93" t="n"/>
      <c r="Q172" s="93" t="n"/>
      <c r="R172" s="93" t="n"/>
      <c r="S172" s="93" t="n"/>
      <c r="T172" s="93" t="n"/>
      <c r="U172" s="93" t="n"/>
      <c r="V172" s="93" t="n"/>
      <c r="W172" s="93" t="n"/>
      <c r="X172" s="93" t="n"/>
      <c r="Y172" s="93" t="n"/>
      <c r="Z172" s="93" t="n"/>
    </row>
    <row r="173">
      <c r="A173" s="93" t="n"/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93" t="n"/>
      <c r="P173" s="93" t="n"/>
      <c r="Q173" s="93" t="n"/>
      <c r="R173" s="93" t="n"/>
      <c r="S173" s="93" t="n"/>
      <c r="T173" s="93" t="n"/>
      <c r="U173" s="93" t="n"/>
      <c r="V173" s="93" t="n"/>
      <c r="W173" s="93" t="n"/>
      <c r="X173" s="93" t="n"/>
      <c r="Y173" s="93" t="n"/>
      <c r="Z173" s="93" t="n"/>
    </row>
    <row r="174">
      <c r="A174" s="93" t="n"/>
      <c r="B174" s="93" t="n"/>
      <c r="C174" s="93" t="n"/>
      <c r="D174" s="93" t="n"/>
      <c r="E174" s="93" t="n"/>
      <c r="F174" s="93" t="n"/>
      <c r="G174" s="93" t="n"/>
      <c r="H174" s="93" t="n"/>
      <c r="I174" s="93" t="n"/>
      <c r="J174" s="93" t="n"/>
      <c r="K174" s="93" t="n"/>
      <c r="L174" s="93" t="n"/>
      <c r="M174" s="93" t="n"/>
      <c r="N174" s="93" t="n"/>
      <c r="O174" s="93" t="n"/>
      <c r="P174" s="93" t="n"/>
      <c r="Q174" s="93" t="n"/>
      <c r="R174" s="93" t="n"/>
      <c r="S174" s="93" t="n"/>
      <c r="T174" s="93" t="n"/>
      <c r="U174" s="93" t="n"/>
      <c r="V174" s="93" t="n"/>
      <c r="W174" s="93" t="n"/>
      <c r="X174" s="93" t="n"/>
      <c r="Y174" s="93" t="n"/>
      <c r="Z174" s="93" t="n"/>
    </row>
    <row r="175">
      <c r="A175" s="93" t="n"/>
      <c r="B175" s="93" t="n"/>
      <c r="C175" s="93" t="n"/>
      <c r="D175" s="93" t="n"/>
      <c r="E175" s="93" t="n"/>
      <c r="F175" s="93" t="n"/>
      <c r="G175" s="93" t="n"/>
      <c r="H175" s="93" t="n"/>
      <c r="I175" s="93" t="n"/>
      <c r="J175" s="93" t="n"/>
      <c r="K175" s="93" t="n"/>
      <c r="L175" s="93" t="n"/>
      <c r="M175" s="93" t="n"/>
      <c r="N175" s="93" t="n"/>
      <c r="O175" s="93" t="n"/>
      <c r="P175" s="93" t="n"/>
      <c r="Q175" s="93" t="n"/>
      <c r="R175" s="93" t="n"/>
      <c r="S175" s="93" t="n"/>
      <c r="T175" s="93" t="n"/>
      <c r="U175" s="93" t="n"/>
      <c r="V175" s="93" t="n"/>
      <c r="W175" s="93" t="n"/>
      <c r="X175" s="93" t="n"/>
      <c r="Y175" s="93" t="n"/>
      <c r="Z175" s="93" t="n"/>
    </row>
    <row r="176">
      <c r="A176" s="93" t="n"/>
      <c r="B176" s="93" t="n"/>
      <c r="C176" s="93" t="n"/>
      <c r="D176" s="93" t="n"/>
      <c r="E176" s="93" t="n"/>
      <c r="F176" s="93" t="n"/>
      <c r="G176" s="93" t="n"/>
      <c r="H176" s="93" t="n"/>
      <c r="I176" s="93" t="n"/>
      <c r="J176" s="93" t="n"/>
      <c r="K176" s="93" t="n"/>
      <c r="L176" s="93" t="n"/>
      <c r="M176" s="93" t="n"/>
      <c r="N176" s="93" t="n"/>
      <c r="O176" s="93" t="n"/>
      <c r="P176" s="93" t="n"/>
      <c r="Q176" s="93" t="n"/>
      <c r="R176" s="93" t="n"/>
      <c r="S176" s="93" t="n"/>
      <c r="T176" s="93" t="n"/>
      <c r="U176" s="93" t="n"/>
      <c r="V176" s="93" t="n"/>
      <c r="W176" s="93" t="n"/>
      <c r="X176" s="93" t="n"/>
      <c r="Y176" s="93" t="n"/>
      <c r="Z176" s="93" t="n"/>
    </row>
    <row r="177">
      <c r="A177" s="93" t="n"/>
      <c r="B177" s="93" t="n"/>
      <c r="C177" s="93" t="n"/>
      <c r="D177" s="93" t="n"/>
      <c r="E177" s="93" t="n"/>
      <c r="F177" s="93" t="n"/>
      <c r="G177" s="93" t="n"/>
      <c r="H177" s="93" t="n"/>
      <c r="I177" s="93" t="n"/>
      <c r="J177" s="93" t="n"/>
      <c r="K177" s="93" t="n"/>
      <c r="L177" s="93" t="n"/>
      <c r="M177" s="93" t="n"/>
      <c r="N177" s="93" t="n"/>
      <c r="O177" s="93" t="n"/>
      <c r="P177" s="93" t="n"/>
      <c r="Q177" s="93" t="n"/>
      <c r="R177" s="93" t="n"/>
      <c r="S177" s="93" t="n"/>
      <c r="T177" s="93" t="n"/>
      <c r="U177" s="93" t="n"/>
      <c r="V177" s="93" t="n"/>
      <c r="W177" s="93" t="n"/>
      <c r="X177" s="93" t="n"/>
      <c r="Y177" s="93" t="n"/>
      <c r="Z177" s="93" t="n"/>
    </row>
    <row r="178">
      <c r="A178" s="93" t="n"/>
      <c r="B178" s="93" t="n"/>
      <c r="C178" s="93" t="n"/>
      <c r="D178" s="93" t="n"/>
      <c r="E178" s="93" t="n"/>
      <c r="F178" s="93" t="n"/>
      <c r="G178" s="93" t="n"/>
      <c r="H178" s="93" t="n"/>
      <c r="I178" s="93" t="n"/>
      <c r="J178" s="93" t="n"/>
      <c r="K178" s="93" t="n"/>
      <c r="L178" s="93" t="n"/>
      <c r="M178" s="93" t="n"/>
      <c r="N178" s="93" t="n"/>
      <c r="O178" s="93" t="n"/>
      <c r="P178" s="93" t="n"/>
      <c r="Q178" s="93" t="n"/>
      <c r="R178" s="93" t="n"/>
      <c r="S178" s="93" t="n"/>
      <c r="T178" s="93" t="n"/>
      <c r="U178" s="93" t="n"/>
      <c r="V178" s="93" t="n"/>
      <c r="W178" s="93" t="n"/>
      <c r="X178" s="93" t="n"/>
      <c r="Y178" s="93" t="n"/>
      <c r="Z178" s="93" t="n"/>
    </row>
    <row r="179">
      <c r="A179" s="93" t="n"/>
      <c r="B179" s="93" t="n"/>
      <c r="C179" s="93" t="n"/>
      <c r="D179" s="93" t="n"/>
      <c r="E179" s="93" t="n"/>
      <c r="F179" s="93" t="n"/>
      <c r="G179" s="93" t="n"/>
      <c r="H179" s="93" t="n"/>
      <c r="I179" s="93" t="n"/>
      <c r="J179" s="93" t="n"/>
      <c r="K179" s="93" t="n"/>
      <c r="L179" s="93" t="n"/>
      <c r="M179" s="93" t="n"/>
      <c r="N179" s="93" t="n"/>
      <c r="O179" s="93" t="n"/>
      <c r="P179" s="93" t="n"/>
      <c r="Q179" s="93" t="n"/>
      <c r="R179" s="93" t="n"/>
      <c r="S179" s="93" t="n"/>
      <c r="T179" s="93" t="n"/>
      <c r="U179" s="93" t="n"/>
      <c r="V179" s="93" t="n"/>
      <c r="W179" s="93" t="n"/>
      <c r="X179" s="93" t="n"/>
      <c r="Y179" s="93" t="n"/>
      <c r="Z179" s="93" t="n"/>
    </row>
    <row r="180">
      <c r="A180" s="93" t="n"/>
      <c r="B180" s="93" t="n"/>
      <c r="C180" s="93" t="n"/>
      <c r="D180" s="93" t="n"/>
      <c r="E180" s="93" t="n"/>
      <c r="F180" s="93" t="n"/>
      <c r="G180" s="93" t="n"/>
      <c r="H180" s="93" t="n"/>
      <c r="I180" s="93" t="n"/>
      <c r="J180" s="93" t="n"/>
      <c r="K180" s="93" t="n"/>
      <c r="L180" s="93" t="n"/>
      <c r="M180" s="93" t="n"/>
      <c r="N180" s="93" t="n"/>
      <c r="O180" s="93" t="n"/>
      <c r="P180" s="93" t="n"/>
      <c r="Q180" s="93" t="n"/>
      <c r="R180" s="93" t="n"/>
      <c r="S180" s="93" t="n"/>
      <c r="T180" s="93" t="n"/>
      <c r="U180" s="93" t="n"/>
      <c r="V180" s="93" t="n"/>
      <c r="W180" s="93" t="n"/>
      <c r="X180" s="93" t="n"/>
      <c r="Y180" s="93" t="n"/>
      <c r="Z180" s="93" t="n"/>
    </row>
    <row r="181">
      <c r="A181" s="93" t="n"/>
      <c r="B181" s="93" t="n"/>
      <c r="C181" s="93" t="n"/>
      <c r="D181" s="93" t="n"/>
      <c r="E181" s="93" t="n"/>
      <c r="F181" s="93" t="n"/>
      <c r="G181" s="93" t="n"/>
      <c r="H181" s="93" t="n"/>
      <c r="I181" s="93" t="n"/>
      <c r="J181" s="93" t="n"/>
      <c r="K181" s="93" t="n"/>
      <c r="L181" s="93" t="n"/>
      <c r="M181" s="93" t="n"/>
      <c r="N181" s="93" t="n"/>
      <c r="O181" s="93" t="n"/>
      <c r="P181" s="93" t="n"/>
      <c r="Q181" s="93" t="n"/>
      <c r="R181" s="93" t="n"/>
      <c r="S181" s="93" t="n"/>
      <c r="T181" s="93" t="n"/>
      <c r="U181" s="93" t="n"/>
      <c r="V181" s="93" t="n"/>
      <c r="W181" s="93" t="n"/>
      <c r="X181" s="93" t="n"/>
      <c r="Y181" s="93" t="n"/>
      <c r="Z181" s="93" t="n"/>
    </row>
    <row r="182">
      <c r="A182" s="93" t="n"/>
      <c r="B182" s="93" t="n"/>
      <c r="C182" s="93" t="n"/>
      <c r="D182" s="93" t="n"/>
      <c r="E182" s="93" t="n"/>
      <c r="F182" s="93" t="n"/>
      <c r="G182" s="93" t="n"/>
      <c r="H182" s="93" t="n"/>
      <c r="I182" s="93" t="n"/>
      <c r="J182" s="93" t="n"/>
      <c r="K182" s="93" t="n"/>
      <c r="L182" s="93" t="n"/>
      <c r="M182" s="93" t="n"/>
      <c r="N182" s="93" t="n"/>
      <c r="O182" s="93" t="n"/>
      <c r="P182" s="93" t="n"/>
      <c r="Q182" s="93" t="n"/>
      <c r="R182" s="93" t="n"/>
      <c r="S182" s="93" t="n"/>
      <c r="T182" s="93" t="n"/>
      <c r="U182" s="93" t="n"/>
      <c r="V182" s="93" t="n"/>
      <c r="W182" s="93" t="n"/>
      <c r="X182" s="93" t="n"/>
      <c r="Y182" s="93" t="n"/>
      <c r="Z182" s="93" t="n"/>
    </row>
    <row r="183">
      <c r="A183" s="93" t="n"/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93" t="n"/>
      <c r="P183" s="93" t="n"/>
      <c r="Q183" s="93" t="n"/>
      <c r="R183" s="93" t="n"/>
      <c r="S183" s="93" t="n"/>
      <c r="T183" s="93" t="n"/>
      <c r="U183" s="93" t="n"/>
      <c r="V183" s="93" t="n"/>
      <c r="W183" s="93" t="n"/>
      <c r="X183" s="93" t="n"/>
      <c r="Y183" s="93" t="n"/>
      <c r="Z183" s="93" t="n"/>
    </row>
    <row r="184">
      <c r="A184" s="93" t="n"/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93" t="n"/>
      <c r="P184" s="93" t="n"/>
      <c r="Q184" s="93" t="n"/>
      <c r="R184" s="93" t="n"/>
      <c r="S184" s="93" t="n"/>
      <c r="T184" s="93" t="n"/>
      <c r="U184" s="93" t="n"/>
      <c r="V184" s="93" t="n"/>
      <c r="W184" s="93" t="n"/>
      <c r="X184" s="93" t="n"/>
      <c r="Y184" s="93" t="n"/>
      <c r="Z184" s="93" t="n"/>
    </row>
    <row r="185">
      <c r="A185" s="93" t="n"/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93" t="n"/>
      <c r="P185" s="93" t="n"/>
      <c r="Q185" s="93" t="n"/>
      <c r="R185" s="93" t="n"/>
      <c r="S185" s="93" t="n"/>
      <c r="T185" s="93" t="n"/>
      <c r="U185" s="93" t="n"/>
      <c r="V185" s="93" t="n"/>
      <c r="W185" s="93" t="n"/>
      <c r="X185" s="93" t="n"/>
      <c r="Y185" s="93" t="n"/>
      <c r="Z185" s="93" t="n"/>
    </row>
    <row r="186">
      <c r="A186" s="93" t="n"/>
      <c r="B186" s="93" t="n"/>
      <c r="C186" s="93" t="n"/>
      <c r="D186" s="93" t="n"/>
      <c r="E186" s="93" t="n"/>
      <c r="F186" s="93" t="n"/>
      <c r="G186" s="93" t="n"/>
      <c r="H186" s="93" t="n"/>
      <c r="I186" s="93" t="n"/>
      <c r="J186" s="93" t="n"/>
      <c r="K186" s="93" t="n"/>
      <c r="L186" s="93" t="n"/>
      <c r="M186" s="93" t="n"/>
      <c r="N186" s="93" t="n"/>
      <c r="O186" s="93" t="n"/>
      <c r="P186" s="93" t="n"/>
      <c r="Q186" s="93" t="n"/>
      <c r="R186" s="93" t="n"/>
      <c r="S186" s="93" t="n"/>
      <c r="T186" s="93" t="n"/>
      <c r="U186" s="93" t="n"/>
      <c r="V186" s="93" t="n"/>
      <c r="W186" s="93" t="n"/>
      <c r="X186" s="93" t="n"/>
      <c r="Y186" s="93" t="n"/>
      <c r="Z186" s="93" t="n"/>
    </row>
    <row r="187">
      <c r="A187" s="93" t="n"/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93" t="n"/>
      <c r="P187" s="93" t="n"/>
      <c r="Q187" s="93" t="n"/>
      <c r="R187" s="93" t="n"/>
      <c r="S187" s="93" t="n"/>
      <c r="T187" s="93" t="n"/>
      <c r="U187" s="93" t="n"/>
      <c r="V187" s="93" t="n"/>
      <c r="W187" s="93" t="n"/>
      <c r="X187" s="93" t="n"/>
      <c r="Y187" s="93" t="n"/>
      <c r="Z187" s="93" t="n"/>
    </row>
    <row r="188">
      <c r="A188" s="93" t="n"/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93" t="n"/>
      <c r="P188" s="93" t="n"/>
      <c r="Q188" s="93" t="n"/>
      <c r="R188" s="93" t="n"/>
      <c r="S188" s="93" t="n"/>
      <c r="T188" s="93" t="n"/>
      <c r="U188" s="93" t="n"/>
      <c r="V188" s="93" t="n"/>
      <c r="W188" s="93" t="n"/>
      <c r="X188" s="93" t="n"/>
      <c r="Y188" s="93" t="n"/>
      <c r="Z188" s="93" t="n"/>
    </row>
    <row r="189">
      <c r="A189" s="93" t="n"/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93" t="n"/>
      <c r="P189" s="93" t="n"/>
      <c r="Q189" s="93" t="n"/>
      <c r="R189" s="93" t="n"/>
      <c r="S189" s="93" t="n"/>
      <c r="T189" s="93" t="n"/>
      <c r="U189" s="93" t="n"/>
      <c r="V189" s="93" t="n"/>
      <c r="W189" s="93" t="n"/>
      <c r="X189" s="93" t="n"/>
      <c r="Y189" s="93" t="n"/>
      <c r="Z189" s="93" t="n"/>
    </row>
    <row r="190">
      <c r="A190" s="93" t="n"/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93" t="n"/>
      <c r="P190" s="93" t="n"/>
      <c r="Q190" s="93" t="n"/>
      <c r="R190" s="93" t="n"/>
      <c r="S190" s="93" t="n"/>
      <c r="T190" s="93" t="n"/>
      <c r="U190" s="93" t="n"/>
      <c r="V190" s="93" t="n"/>
      <c r="W190" s="93" t="n"/>
      <c r="X190" s="93" t="n"/>
      <c r="Y190" s="93" t="n"/>
      <c r="Z190" s="93" t="n"/>
    </row>
    <row r="191">
      <c r="A191" s="93" t="n"/>
      <c r="B191" s="93" t="n"/>
      <c r="C191" s="93" t="n"/>
      <c r="D191" s="93" t="n"/>
      <c r="E191" s="93" t="n"/>
      <c r="F191" s="93" t="n"/>
      <c r="G191" s="93" t="n"/>
      <c r="H191" s="93" t="n"/>
      <c r="I191" s="93" t="n"/>
      <c r="J191" s="93" t="n"/>
      <c r="K191" s="93" t="n"/>
      <c r="L191" s="93" t="n"/>
      <c r="M191" s="93" t="n"/>
      <c r="N191" s="93" t="n"/>
      <c r="O191" s="93" t="n"/>
      <c r="P191" s="93" t="n"/>
      <c r="Q191" s="93" t="n"/>
      <c r="R191" s="93" t="n"/>
      <c r="S191" s="93" t="n"/>
      <c r="T191" s="93" t="n"/>
      <c r="U191" s="93" t="n"/>
      <c r="V191" s="93" t="n"/>
      <c r="W191" s="93" t="n"/>
      <c r="X191" s="93" t="n"/>
      <c r="Y191" s="93" t="n"/>
      <c r="Z191" s="93" t="n"/>
    </row>
    <row r="192">
      <c r="A192" s="93" t="n"/>
      <c r="B192" s="93" t="n"/>
      <c r="C192" s="93" t="n"/>
      <c r="D192" s="93" t="n"/>
      <c r="E192" s="93" t="n"/>
      <c r="F192" s="93" t="n"/>
      <c r="G192" s="93" t="n"/>
      <c r="H192" s="93" t="n"/>
      <c r="I192" s="93" t="n"/>
      <c r="J192" s="93" t="n"/>
      <c r="K192" s="93" t="n"/>
      <c r="L192" s="93" t="n"/>
      <c r="M192" s="93" t="n"/>
      <c r="N192" s="93" t="n"/>
      <c r="O192" s="93" t="n"/>
      <c r="P192" s="93" t="n"/>
      <c r="Q192" s="93" t="n"/>
      <c r="R192" s="93" t="n"/>
      <c r="S192" s="93" t="n"/>
      <c r="T192" s="93" t="n"/>
      <c r="U192" s="93" t="n"/>
      <c r="V192" s="93" t="n"/>
      <c r="W192" s="93" t="n"/>
      <c r="X192" s="93" t="n"/>
      <c r="Y192" s="93" t="n"/>
      <c r="Z192" s="93" t="n"/>
    </row>
    <row r="193">
      <c r="A193" s="93" t="n"/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93" t="n"/>
      <c r="P193" s="93" t="n"/>
      <c r="Q193" s="93" t="n"/>
      <c r="R193" s="93" t="n"/>
      <c r="S193" s="93" t="n"/>
      <c r="T193" s="93" t="n"/>
      <c r="U193" s="93" t="n"/>
      <c r="V193" s="93" t="n"/>
      <c r="W193" s="93" t="n"/>
      <c r="X193" s="93" t="n"/>
      <c r="Y193" s="93" t="n"/>
      <c r="Z193" s="93" t="n"/>
    </row>
    <row r="194">
      <c r="A194" s="93" t="n"/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93" t="n"/>
      <c r="P194" s="93" t="n"/>
      <c r="Q194" s="93" t="n"/>
      <c r="R194" s="93" t="n"/>
      <c r="S194" s="93" t="n"/>
      <c r="T194" s="93" t="n"/>
      <c r="U194" s="93" t="n"/>
      <c r="V194" s="93" t="n"/>
      <c r="W194" s="93" t="n"/>
      <c r="X194" s="93" t="n"/>
      <c r="Y194" s="93" t="n"/>
      <c r="Z194" s="93" t="n"/>
    </row>
    <row r="195">
      <c r="A195" s="93" t="n"/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93" t="n"/>
      <c r="P195" s="93" t="n"/>
      <c r="Q195" s="93" t="n"/>
      <c r="R195" s="93" t="n"/>
      <c r="S195" s="93" t="n"/>
      <c r="T195" s="93" t="n"/>
      <c r="U195" s="93" t="n"/>
      <c r="V195" s="93" t="n"/>
      <c r="W195" s="93" t="n"/>
      <c r="X195" s="93" t="n"/>
      <c r="Y195" s="93" t="n"/>
      <c r="Z195" s="93" t="n"/>
    </row>
    <row r="196">
      <c r="A196" s="93" t="n"/>
      <c r="B196" s="93" t="n"/>
      <c r="C196" s="93" t="n"/>
      <c r="D196" s="93" t="n"/>
      <c r="E196" s="93" t="n"/>
      <c r="F196" s="93" t="n"/>
      <c r="G196" s="93" t="n"/>
      <c r="H196" s="93" t="n"/>
      <c r="I196" s="93" t="n"/>
      <c r="J196" s="93" t="n"/>
      <c r="K196" s="93" t="n"/>
      <c r="L196" s="93" t="n"/>
      <c r="M196" s="93" t="n"/>
      <c r="N196" s="93" t="n"/>
      <c r="O196" s="93" t="n"/>
      <c r="P196" s="93" t="n"/>
      <c r="Q196" s="93" t="n"/>
      <c r="R196" s="93" t="n"/>
      <c r="S196" s="93" t="n"/>
      <c r="T196" s="93" t="n"/>
      <c r="U196" s="93" t="n"/>
      <c r="V196" s="93" t="n"/>
      <c r="W196" s="93" t="n"/>
      <c r="X196" s="93" t="n"/>
      <c r="Y196" s="93" t="n"/>
      <c r="Z196" s="93" t="n"/>
    </row>
    <row r="197">
      <c r="A197" s="93" t="n"/>
      <c r="B197" s="93" t="n"/>
      <c r="C197" s="93" t="n"/>
      <c r="D197" s="93" t="n"/>
      <c r="E197" s="93" t="n"/>
      <c r="F197" s="93" t="n"/>
      <c r="G197" s="93" t="n"/>
      <c r="H197" s="93" t="n"/>
      <c r="I197" s="93" t="n"/>
      <c r="J197" s="93" t="n"/>
      <c r="K197" s="93" t="n"/>
      <c r="L197" s="93" t="n"/>
      <c r="M197" s="93" t="n"/>
      <c r="N197" s="93" t="n"/>
      <c r="O197" s="93" t="n"/>
      <c r="P197" s="93" t="n"/>
      <c r="Q197" s="93" t="n"/>
      <c r="R197" s="93" t="n"/>
      <c r="S197" s="93" t="n"/>
      <c r="T197" s="93" t="n"/>
      <c r="U197" s="93" t="n"/>
      <c r="V197" s="93" t="n"/>
      <c r="W197" s="93" t="n"/>
      <c r="X197" s="93" t="n"/>
      <c r="Y197" s="93" t="n"/>
      <c r="Z197" s="93" t="n"/>
    </row>
    <row r="198">
      <c r="A198" s="93" t="n"/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93" t="n"/>
      <c r="P198" s="93" t="n"/>
      <c r="Q198" s="93" t="n"/>
      <c r="R198" s="93" t="n"/>
      <c r="S198" s="93" t="n"/>
      <c r="T198" s="93" t="n"/>
      <c r="U198" s="93" t="n"/>
      <c r="V198" s="93" t="n"/>
      <c r="W198" s="93" t="n"/>
      <c r="X198" s="93" t="n"/>
      <c r="Y198" s="93" t="n"/>
      <c r="Z198" s="93" t="n"/>
    </row>
    <row r="199">
      <c r="A199" s="93" t="n"/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93" t="n"/>
      <c r="P199" s="93" t="n"/>
      <c r="Q199" s="93" t="n"/>
      <c r="R199" s="93" t="n"/>
      <c r="S199" s="93" t="n"/>
      <c r="T199" s="93" t="n"/>
      <c r="U199" s="93" t="n"/>
      <c r="V199" s="93" t="n"/>
      <c r="W199" s="93" t="n"/>
      <c r="X199" s="93" t="n"/>
      <c r="Y199" s="93" t="n"/>
      <c r="Z199" s="93" t="n"/>
    </row>
    <row r="200">
      <c r="A200" s="93" t="n"/>
      <c r="B200" s="93" t="n"/>
      <c r="C200" s="93" t="n"/>
      <c r="D200" s="93" t="n"/>
      <c r="E200" s="93" t="n"/>
      <c r="F200" s="93" t="n"/>
      <c r="G200" s="93" t="n"/>
      <c r="H200" s="93" t="n"/>
      <c r="I200" s="93" t="n"/>
      <c r="J200" s="93" t="n"/>
      <c r="K200" s="93" t="n"/>
      <c r="L200" s="93" t="n"/>
      <c r="M200" s="93" t="n"/>
      <c r="N200" s="93" t="n"/>
      <c r="O200" s="93" t="n"/>
      <c r="P200" s="93" t="n"/>
      <c r="Q200" s="93" t="n"/>
      <c r="R200" s="93" t="n"/>
      <c r="S200" s="93" t="n"/>
      <c r="T200" s="93" t="n"/>
      <c r="U200" s="93" t="n"/>
      <c r="V200" s="93" t="n"/>
      <c r="W200" s="93" t="n"/>
      <c r="X200" s="93" t="n"/>
      <c r="Y200" s="93" t="n"/>
      <c r="Z200" s="93" t="n"/>
    </row>
    <row r="201">
      <c r="A201" s="93" t="n"/>
      <c r="B201" s="93" t="n"/>
      <c r="C201" s="93" t="n"/>
      <c r="D201" s="93" t="n"/>
      <c r="E201" s="93" t="n"/>
      <c r="F201" s="93" t="n"/>
      <c r="G201" s="93" t="n"/>
      <c r="H201" s="93" t="n"/>
      <c r="I201" s="93" t="n"/>
      <c r="J201" s="93" t="n"/>
      <c r="K201" s="93" t="n"/>
      <c r="L201" s="93" t="n"/>
      <c r="M201" s="93" t="n"/>
      <c r="N201" s="93" t="n"/>
      <c r="O201" s="93" t="n"/>
      <c r="P201" s="93" t="n"/>
      <c r="Q201" s="93" t="n"/>
      <c r="R201" s="93" t="n"/>
      <c r="S201" s="93" t="n"/>
      <c r="T201" s="93" t="n"/>
      <c r="U201" s="93" t="n"/>
      <c r="V201" s="93" t="n"/>
      <c r="W201" s="93" t="n"/>
      <c r="X201" s="93" t="n"/>
      <c r="Y201" s="93" t="n"/>
      <c r="Z201" s="93" t="n"/>
    </row>
    <row r="202">
      <c r="A202" s="93" t="n"/>
      <c r="B202" s="93" t="n"/>
      <c r="C202" s="93" t="n"/>
      <c r="D202" s="93" t="n"/>
      <c r="E202" s="93" t="n"/>
      <c r="F202" s="93" t="n"/>
      <c r="G202" s="93" t="n"/>
      <c r="H202" s="93" t="n"/>
      <c r="I202" s="93" t="n"/>
      <c r="J202" s="93" t="n"/>
      <c r="K202" s="93" t="n"/>
      <c r="L202" s="93" t="n"/>
      <c r="M202" s="93" t="n"/>
      <c r="N202" s="93" t="n"/>
      <c r="O202" s="93" t="n"/>
      <c r="P202" s="93" t="n"/>
      <c r="Q202" s="93" t="n"/>
      <c r="R202" s="93" t="n"/>
      <c r="S202" s="93" t="n"/>
      <c r="T202" s="93" t="n"/>
      <c r="U202" s="93" t="n"/>
      <c r="V202" s="93" t="n"/>
      <c r="W202" s="93" t="n"/>
      <c r="X202" s="93" t="n"/>
      <c r="Y202" s="93" t="n"/>
      <c r="Z202" s="93" t="n"/>
    </row>
    <row r="203">
      <c r="A203" s="93" t="n"/>
      <c r="B203" s="93" t="n"/>
      <c r="C203" s="93" t="n"/>
      <c r="D203" s="93" t="n"/>
      <c r="E203" s="93" t="n"/>
      <c r="F203" s="93" t="n"/>
      <c r="G203" s="93" t="n"/>
      <c r="H203" s="93" t="n"/>
      <c r="I203" s="93" t="n"/>
      <c r="J203" s="93" t="n"/>
      <c r="K203" s="93" t="n"/>
      <c r="L203" s="93" t="n"/>
      <c r="M203" s="93" t="n"/>
      <c r="N203" s="93" t="n"/>
      <c r="O203" s="93" t="n"/>
      <c r="P203" s="93" t="n"/>
      <c r="Q203" s="93" t="n"/>
      <c r="R203" s="93" t="n"/>
      <c r="S203" s="93" t="n"/>
      <c r="T203" s="93" t="n"/>
      <c r="U203" s="93" t="n"/>
      <c r="V203" s="93" t="n"/>
      <c r="W203" s="93" t="n"/>
      <c r="X203" s="93" t="n"/>
      <c r="Y203" s="93" t="n"/>
      <c r="Z203" s="93" t="n"/>
    </row>
    <row r="204">
      <c r="A204" s="93" t="n"/>
      <c r="B204" s="93" t="n"/>
      <c r="C204" s="93" t="n"/>
      <c r="D204" s="93" t="n"/>
      <c r="E204" s="93" t="n"/>
      <c r="F204" s="93" t="n"/>
      <c r="G204" s="93" t="n"/>
      <c r="H204" s="93" t="n"/>
      <c r="I204" s="93" t="n"/>
      <c r="J204" s="93" t="n"/>
      <c r="K204" s="93" t="n"/>
      <c r="L204" s="93" t="n"/>
      <c r="M204" s="93" t="n"/>
      <c r="N204" s="93" t="n"/>
      <c r="O204" s="93" t="n"/>
      <c r="P204" s="93" t="n"/>
      <c r="Q204" s="93" t="n"/>
      <c r="R204" s="93" t="n"/>
      <c r="S204" s="93" t="n"/>
      <c r="T204" s="93" t="n"/>
      <c r="U204" s="93" t="n"/>
      <c r="V204" s="93" t="n"/>
      <c r="W204" s="93" t="n"/>
      <c r="X204" s="93" t="n"/>
      <c r="Y204" s="93" t="n"/>
      <c r="Z204" s="93" t="n"/>
    </row>
    <row r="205">
      <c r="A205" s="93" t="n"/>
      <c r="B205" s="93" t="n"/>
      <c r="C205" s="93" t="n"/>
      <c r="D205" s="93" t="n"/>
      <c r="E205" s="93" t="n"/>
      <c r="F205" s="93" t="n"/>
      <c r="G205" s="93" t="n"/>
      <c r="H205" s="93" t="n"/>
      <c r="I205" s="93" t="n"/>
      <c r="J205" s="93" t="n"/>
      <c r="K205" s="93" t="n"/>
      <c r="L205" s="93" t="n"/>
      <c r="M205" s="93" t="n"/>
      <c r="N205" s="93" t="n"/>
      <c r="O205" s="93" t="n"/>
      <c r="P205" s="93" t="n"/>
      <c r="Q205" s="93" t="n"/>
      <c r="R205" s="93" t="n"/>
      <c r="S205" s="93" t="n"/>
      <c r="T205" s="93" t="n"/>
      <c r="U205" s="93" t="n"/>
      <c r="V205" s="93" t="n"/>
      <c r="W205" s="93" t="n"/>
      <c r="X205" s="93" t="n"/>
      <c r="Y205" s="93" t="n"/>
      <c r="Z205" s="93" t="n"/>
    </row>
    <row r="206">
      <c r="A206" s="93" t="n"/>
      <c r="B206" s="93" t="n"/>
      <c r="C206" s="93" t="n"/>
      <c r="D206" s="93" t="n"/>
      <c r="E206" s="93" t="n"/>
      <c r="F206" s="93" t="n"/>
      <c r="G206" s="93" t="n"/>
      <c r="H206" s="93" t="n"/>
      <c r="I206" s="93" t="n"/>
      <c r="J206" s="93" t="n"/>
      <c r="K206" s="93" t="n"/>
      <c r="L206" s="93" t="n"/>
      <c r="M206" s="93" t="n"/>
      <c r="N206" s="93" t="n"/>
      <c r="O206" s="93" t="n"/>
      <c r="P206" s="93" t="n"/>
      <c r="Q206" s="93" t="n"/>
      <c r="R206" s="93" t="n"/>
      <c r="S206" s="93" t="n"/>
      <c r="T206" s="93" t="n"/>
      <c r="U206" s="93" t="n"/>
      <c r="V206" s="93" t="n"/>
      <c r="W206" s="93" t="n"/>
      <c r="X206" s="93" t="n"/>
      <c r="Y206" s="93" t="n"/>
      <c r="Z206" s="93" t="n"/>
    </row>
    <row r="207">
      <c r="A207" s="93" t="n"/>
      <c r="B207" s="93" t="n"/>
      <c r="C207" s="93" t="n"/>
      <c r="D207" s="93" t="n"/>
      <c r="E207" s="93" t="n"/>
      <c r="F207" s="93" t="n"/>
      <c r="G207" s="93" t="n"/>
      <c r="H207" s="93" t="n"/>
      <c r="I207" s="93" t="n"/>
      <c r="J207" s="93" t="n"/>
      <c r="K207" s="93" t="n"/>
      <c r="L207" s="93" t="n"/>
      <c r="M207" s="93" t="n"/>
      <c r="N207" s="93" t="n"/>
      <c r="O207" s="93" t="n"/>
      <c r="P207" s="93" t="n"/>
      <c r="Q207" s="93" t="n"/>
      <c r="R207" s="93" t="n"/>
      <c r="S207" s="93" t="n"/>
      <c r="T207" s="93" t="n"/>
      <c r="U207" s="93" t="n"/>
      <c r="V207" s="93" t="n"/>
      <c r="W207" s="93" t="n"/>
      <c r="X207" s="93" t="n"/>
      <c r="Y207" s="93" t="n"/>
      <c r="Z207" s="93" t="n"/>
    </row>
    <row r="208">
      <c r="A208" s="93" t="n"/>
      <c r="B208" s="93" t="n"/>
      <c r="C208" s="93" t="n"/>
      <c r="D208" s="93" t="n"/>
      <c r="E208" s="93" t="n"/>
      <c r="F208" s="93" t="n"/>
      <c r="G208" s="93" t="n"/>
      <c r="H208" s="93" t="n"/>
      <c r="I208" s="93" t="n"/>
      <c r="J208" s="93" t="n"/>
      <c r="K208" s="93" t="n"/>
      <c r="L208" s="93" t="n"/>
      <c r="M208" s="93" t="n"/>
      <c r="N208" s="93" t="n"/>
      <c r="O208" s="93" t="n"/>
      <c r="P208" s="93" t="n"/>
      <c r="Q208" s="93" t="n"/>
      <c r="R208" s="93" t="n"/>
      <c r="S208" s="93" t="n"/>
      <c r="T208" s="93" t="n"/>
      <c r="U208" s="93" t="n"/>
      <c r="V208" s="93" t="n"/>
      <c r="W208" s="93" t="n"/>
      <c r="X208" s="93" t="n"/>
      <c r="Y208" s="93" t="n"/>
      <c r="Z208" s="93" t="n"/>
    </row>
    <row r="209">
      <c r="A209" s="93" t="n"/>
      <c r="B209" s="93" t="n"/>
      <c r="C209" s="93" t="n"/>
      <c r="D209" s="93" t="n"/>
      <c r="E209" s="93" t="n"/>
      <c r="F209" s="93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93" t="n"/>
      <c r="P209" s="93" t="n"/>
      <c r="Q209" s="93" t="n"/>
      <c r="R209" s="93" t="n"/>
      <c r="S209" s="93" t="n"/>
      <c r="T209" s="93" t="n"/>
      <c r="U209" s="93" t="n"/>
      <c r="V209" s="93" t="n"/>
      <c r="W209" s="93" t="n"/>
      <c r="X209" s="93" t="n"/>
      <c r="Y209" s="93" t="n"/>
      <c r="Z209" s="93" t="n"/>
    </row>
    <row r="210">
      <c r="A210" s="93" t="n"/>
      <c r="B210" s="93" t="n"/>
      <c r="C210" s="93" t="n"/>
      <c r="D210" s="93" t="n"/>
      <c r="E210" s="93" t="n"/>
      <c r="F210" s="93" t="n"/>
      <c r="G210" s="93" t="n"/>
      <c r="H210" s="93" t="n"/>
      <c r="I210" s="93" t="n"/>
      <c r="J210" s="93" t="n"/>
      <c r="K210" s="93" t="n"/>
      <c r="L210" s="93" t="n"/>
      <c r="M210" s="93" t="n"/>
      <c r="N210" s="93" t="n"/>
      <c r="O210" s="93" t="n"/>
      <c r="P210" s="93" t="n"/>
      <c r="Q210" s="93" t="n"/>
      <c r="R210" s="93" t="n"/>
      <c r="S210" s="93" t="n"/>
      <c r="T210" s="93" t="n"/>
      <c r="U210" s="93" t="n"/>
      <c r="V210" s="93" t="n"/>
      <c r="W210" s="93" t="n"/>
      <c r="X210" s="93" t="n"/>
      <c r="Y210" s="93" t="n"/>
      <c r="Z210" s="93" t="n"/>
    </row>
    <row r="211">
      <c r="A211" s="93" t="n"/>
      <c r="B211" s="93" t="n"/>
      <c r="C211" s="93" t="n"/>
      <c r="D211" s="93" t="n"/>
      <c r="E211" s="93" t="n"/>
      <c r="F211" s="93" t="n"/>
      <c r="G211" s="93" t="n"/>
      <c r="H211" s="93" t="n"/>
      <c r="I211" s="93" t="n"/>
      <c r="J211" s="93" t="n"/>
      <c r="K211" s="93" t="n"/>
      <c r="L211" s="93" t="n"/>
      <c r="M211" s="93" t="n"/>
      <c r="N211" s="93" t="n"/>
      <c r="O211" s="93" t="n"/>
      <c r="P211" s="93" t="n"/>
      <c r="Q211" s="93" t="n"/>
      <c r="R211" s="93" t="n"/>
      <c r="S211" s="93" t="n"/>
      <c r="T211" s="93" t="n"/>
      <c r="U211" s="93" t="n"/>
      <c r="V211" s="93" t="n"/>
      <c r="W211" s="93" t="n"/>
      <c r="X211" s="93" t="n"/>
      <c r="Y211" s="93" t="n"/>
      <c r="Z211" s="93" t="n"/>
    </row>
    <row r="212">
      <c r="A212" s="93" t="n"/>
      <c r="B212" s="93" t="n"/>
      <c r="C212" s="93" t="n"/>
      <c r="D212" s="93" t="n"/>
      <c r="E212" s="93" t="n"/>
      <c r="F212" s="93" t="n"/>
      <c r="G212" s="93" t="n"/>
      <c r="H212" s="93" t="n"/>
      <c r="I212" s="93" t="n"/>
      <c r="J212" s="93" t="n"/>
      <c r="K212" s="93" t="n"/>
      <c r="L212" s="93" t="n"/>
      <c r="M212" s="93" t="n"/>
      <c r="N212" s="93" t="n"/>
      <c r="O212" s="93" t="n"/>
      <c r="P212" s="93" t="n"/>
      <c r="Q212" s="93" t="n"/>
      <c r="R212" s="93" t="n"/>
      <c r="S212" s="93" t="n"/>
      <c r="T212" s="93" t="n"/>
      <c r="U212" s="93" t="n"/>
      <c r="V212" s="93" t="n"/>
      <c r="W212" s="93" t="n"/>
      <c r="X212" s="93" t="n"/>
      <c r="Y212" s="93" t="n"/>
      <c r="Z212" s="93" t="n"/>
    </row>
    <row r="213">
      <c r="A213" s="93" t="n"/>
      <c r="B213" s="93" t="n"/>
      <c r="C213" s="93" t="n"/>
      <c r="D213" s="93" t="n"/>
      <c r="E213" s="93" t="n"/>
      <c r="F213" s="93" t="n"/>
      <c r="G213" s="93" t="n"/>
      <c r="H213" s="93" t="n"/>
      <c r="I213" s="93" t="n"/>
      <c r="J213" s="93" t="n"/>
      <c r="K213" s="93" t="n"/>
      <c r="L213" s="93" t="n"/>
      <c r="M213" s="93" t="n"/>
      <c r="N213" s="93" t="n"/>
      <c r="O213" s="93" t="n"/>
      <c r="P213" s="93" t="n"/>
      <c r="Q213" s="93" t="n"/>
      <c r="R213" s="93" t="n"/>
      <c r="S213" s="93" t="n"/>
      <c r="T213" s="93" t="n"/>
      <c r="U213" s="93" t="n"/>
      <c r="V213" s="93" t="n"/>
      <c r="W213" s="93" t="n"/>
      <c r="X213" s="93" t="n"/>
      <c r="Y213" s="93" t="n"/>
      <c r="Z213" s="93" t="n"/>
    </row>
    <row r="214">
      <c r="A214" s="93" t="n"/>
      <c r="B214" s="93" t="n"/>
      <c r="C214" s="93" t="n"/>
      <c r="D214" s="93" t="n"/>
      <c r="E214" s="93" t="n"/>
      <c r="F214" s="93" t="n"/>
      <c r="G214" s="93" t="n"/>
      <c r="H214" s="93" t="n"/>
      <c r="I214" s="93" t="n"/>
      <c r="J214" s="93" t="n"/>
      <c r="K214" s="93" t="n"/>
      <c r="L214" s="93" t="n"/>
      <c r="M214" s="93" t="n"/>
      <c r="N214" s="93" t="n"/>
      <c r="O214" s="93" t="n"/>
      <c r="P214" s="93" t="n"/>
      <c r="Q214" s="93" t="n"/>
      <c r="R214" s="93" t="n"/>
      <c r="S214" s="93" t="n"/>
      <c r="T214" s="93" t="n"/>
      <c r="U214" s="93" t="n"/>
      <c r="V214" s="93" t="n"/>
      <c r="W214" s="93" t="n"/>
      <c r="X214" s="93" t="n"/>
      <c r="Y214" s="93" t="n"/>
      <c r="Z214" s="93" t="n"/>
    </row>
    <row r="215">
      <c r="A215" s="93" t="n"/>
      <c r="B215" s="93" t="n"/>
      <c r="C215" s="93" t="n"/>
      <c r="D215" s="93" t="n"/>
      <c r="E215" s="93" t="n"/>
      <c r="F215" s="93" t="n"/>
      <c r="G215" s="93" t="n"/>
      <c r="H215" s="93" t="n"/>
      <c r="I215" s="93" t="n"/>
      <c r="J215" s="93" t="n"/>
      <c r="K215" s="93" t="n"/>
      <c r="L215" s="93" t="n"/>
      <c r="M215" s="93" t="n"/>
      <c r="N215" s="93" t="n"/>
      <c r="O215" s="93" t="n"/>
      <c r="P215" s="93" t="n"/>
      <c r="Q215" s="93" t="n"/>
      <c r="R215" s="93" t="n"/>
      <c r="S215" s="93" t="n"/>
      <c r="T215" s="93" t="n"/>
      <c r="U215" s="93" t="n"/>
      <c r="V215" s="93" t="n"/>
      <c r="W215" s="93" t="n"/>
      <c r="X215" s="93" t="n"/>
      <c r="Y215" s="93" t="n"/>
      <c r="Z215" s="93" t="n"/>
    </row>
    <row r="216">
      <c r="A216" s="93" t="n"/>
      <c r="B216" s="93" t="n"/>
      <c r="C216" s="93" t="n"/>
      <c r="D216" s="93" t="n"/>
      <c r="E216" s="93" t="n"/>
      <c r="F216" s="93" t="n"/>
      <c r="G216" s="93" t="n"/>
      <c r="H216" s="93" t="n"/>
      <c r="I216" s="93" t="n"/>
      <c r="J216" s="93" t="n"/>
      <c r="K216" s="93" t="n"/>
      <c r="L216" s="93" t="n"/>
      <c r="M216" s="93" t="n"/>
      <c r="N216" s="93" t="n"/>
      <c r="O216" s="93" t="n"/>
      <c r="P216" s="93" t="n"/>
      <c r="Q216" s="93" t="n"/>
      <c r="R216" s="93" t="n"/>
      <c r="S216" s="93" t="n"/>
      <c r="T216" s="93" t="n"/>
      <c r="U216" s="93" t="n"/>
      <c r="V216" s="93" t="n"/>
      <c r="W216" s="93" t="n"/>
      <c r="X216" s="93" t="n"/>
      <c r="Y216" s="93" t="n"/>
      <c r="Z216" s="93" t="n"/>
    </row>
    <row r="217">
      <c r="A217" s="93" t="n"/>
      <c r="B217" s="93" t="n"/>
      <c r="C217" s="93" t="n"/>
      <c r="D217" s="93" t="n"/>
      <c r="E217" s="93" t="n"/>
      <c r="F217" s="93" t="n"/>
      <c r="G217" s="93" t="n"/>
      <c r="H217" s="93" t="n"/>
      <c r="I217" s="93" t="n"/>
      <c r="J217" s="93" t="n"/>
      <c r="K217" s="93" t="n"/>
      <c r="L217" s="93" t="n"/>
      <c r="M217" s="93" t="n"/>
      <c r="N217" s="93" t="n"/>
      <c r="O217" s="93" t="n"/>
      <c r="P217" s="93" t="n"/>
      <c r="Q217" s="93" t="n"/>
      <c r="R217" s="93" t="n"/>
      <c r="S217" s="93" t="n"/>
      <c r="T217" s="93" t="n"/>
      <c r="U217" s="93" t="n"/>
      <c r="V217" s="93" t="n"/>
      <c r="W217" s="93" t="n"/>
      <c r="X217" s="93" t="n"/>
      <c r="Y217" s="93" t="n"/>
      <c r="Z217" s="93" t="n"/>
    </row>
    <row r="218">
      <c r="A218" s="93" t="n"/>
      <c r="B218" s="93" t="n"/>
      <c r="C218" s="93" t="n"/>
      <c r="D218" s="93" t="n"/>
      <c r="E218" s="93" t="n"/>
      <c r="F218" s="93" t="n"/>
      <c r="G218" s="93" t="n"/>
      <c r="H218" s="93" t="n"/>
      <c r="I218" s="93" t="n"/>
      <c r="J218" s="93" t="n"/>
      <c r="K218" s="93" t="n"/>
      <c r="L218" s="93" t="n"/>
      <c r="M218" s="93" t="n"/>
      <c r="N218" s="93" t="n"/>
      <c r="O218" s="93" t="n"/>
      <c r="P218" s="93" t="n"/>
      <c r="Q218" s="93" t="n"/>
      <c r="R218" s="93" t="n"/>
      <c r="S218" s="93" t="n"/>
      <c r="T218" s="93" t="n"/>
      <c r="U218" s="93" t="n"/>
      <c r="V218" s="93" t="n"/>
      <c r="W218" s="93" t="n"/>
      <c r="X218" s="93" t="n"/>
      <c r="Y218" s="93" t="n"/>
      <c r="Z218" s="93" t="n"/>
    </row>
    <row r="219">
      <c r="A219" s="93" t="n"/>
      <c r="B219" s="93" t="n"/>
      <c r="C219" s="93" t="n"/>
      <c r="D219" s="93" t="n"/>
      <c r="E219" s="93" t="n"/>
      <c r="F219" s="93" t="n"/>
      <c r="G219" s="93" t="n"/>
      <c r="H219" s="93" t="n"/>
      <c r="I219" s="93" t="n"/>
      <c r="J219" s="93" t="n"/>
      <c r="K219" s="93" t="n"/>
      <c r="L219" s="93" t="n"/>
      <c r="M219" s="93" t="n"/>
      <c r="N219" s="93" t="n"/>
      <c r="O219" s="93" t="n"/>
      <c r="P219" s="93" t="n"/>
      <c r="Q219" s="93" t="n"/>
      <c r="R219" s="93" t="n"/>
      <c r="S219" s="93" t="n"/>
      <c r="T219" s="93" t="n"/>
      <c r="U219" s="93" t="n"/>
      <c r="V219" s="93" t="n"/>
      <c r="W219" s="93" t="n"/>
      <c r="X219" s="93" t="n"/>
      <c r="Y219" s="93" t="n"/>
      <c r="Z219" s="93" t="n"/>
    </row>
    <row r="220">
      <c r="A220" s="93" t="n"/>
      <c r="B220" s="93" t="n"/>
      <c r="C220" s="93" t="n"/>
      <c r="D220" s="93" t="n"/>
      <c r="E220" s="93" t="n"/>
      <c r="F220" s="93" t="n"/>
      <c r="G220" s="93" t="n"/>
      <c r="H220" s="93" t="n"/>
      <c r="I220" s="93" t="n"/>
      <c r="J220" s="93" t="n"/>
      <c r="K220" s="93" t="n"/>
      <c r="L220" s="93" t="n"/>
      <c r="M220" s="93" t="n"/>
      <c r="N220" s="93" t="n"/>
      <c r="O220" s="93" t="n"/>
      <c r="P220" s="93" t="n"/>
      <c r="Q220" s="93" t="n"/>
      <c r="R220" s="93" t="n"/>
      <c r="S220" s="93" t="n"/>
      <c r="T220" s="93" t="n"/>
      <c r="U220" s="93" t="n"/>
      <c r="V220" s="93" t="n"/>
      <c r="W220" s="93" t="n"/>
      <c r="X220" s="93" t="n"/>
      <c r="Y220" s="93" t="n"/>
      <c r="Z220" s="93" t="n"/>
    </row>
    <row r="221">
      <c r="A221" s="93" t="n"/>
      <c r="B221" s="93" t="n"/>
      <c r="C221" s="93" t="n"/>
      <c r="D221" s="93" t="n"/>
      <c r="E221" s="93" t="n"/>
      <c r="F221" s="93" t="n"/>
      <c r="G221" s="93" t="n"/>
      <c r="H221" s="93" t="n"/>
      <c r="I221" s="93" t="n"/>
      <c r="J221" s="93" t="n"/>
      <c r="K221" s="93" t="n"/>
      <c r="L221" s="93" t="n"/>
      <c r="M221" s="93" t="n"/>
      <c r="N221" s="93" t="n"/>
      <c r="O221" s="93" t="n"/>
      <c r="P221" s="93" t="n"/>
      <c r="Q221" s="93" t="n"/>
      <c r="R221" s="93" t="n"/>
      <c r="S221" s="93" t="n"/>
      <c r="T221" s="93" t="n"/>
      <c r="U221" s="93" t="n"/>
      <c r="V221" s="93" t="n"/>
      <c r="W221" s="93" t="n"/>
      <c r="X221" s="93" t="n"/>
      <c r="Y221" s="93" t="n"/>
      <c r="Z221" s="93" t="n"/>
    </row>
    <row r="222">
      <c r="A222" s="93" t="n"/>
      <c r="B222" s="93" t="n"/>
      <c r="C222" s="93" t="n"/>
      <c r="D222" s="93" t="n"/>
      <c r="E222" s="93" t="n"/>
      <c r="F222" s="93" t="n"/>
      <c r="G222" s="93" t="n"/>
      <c r="H222" s="93" t="n"/>
      <c r="I222" s="93" t="n"/>
      <c r="J222" s="93" t="n"/>
      <c r="K222" s="93" t="n"/>
      <c r="L222" s="93" t="n"/>
      <c r="M222" s="93" t="n"/>
      <c r="N222" s="93" t="n"/>
      <c r="O222" s="93" t="n"/>
      <c r="P222" s="93" t="n"/>
      <c r="Q222" s="93" t="n"/>
      <c r="R222" s="93" t="n"/>
      <c r="S222" s="93" t="n"/>
      <c r="T222" s="93" t="n"/>
      <c r="U222" s="93" t="n"/>
      <c r="V222" s="93" t="n"/>
      <c r="W222" s="93" t="n"/>
      <c r="X222" s="93" t="n"/>
      <c r="Y222" s="93" t="n"/>
      <c r="Z222" s="93" t="n"/>
    </row>
    <row r="223">
      <c r="A223" s="93" t="n"/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93" t="n"/>
      <c r="K223" s="93" t="n"/>
      <c r="L223" s="93" t="n"/>
      <c r="M223" s="93" t="n"/>
      <c r="N223" s="93" t="n"/>
      <c r="O223" s="93" t="n"/>
      <c r="P223" s="93" t="n"/>
      <c r="Q223" s="93" t="n"/>
      <c r="R223" s="93" t="n"/>
      <c r="S223" s="93" t="n"/>
      <c r="T223" s="93" t="n"/>
      <c r="U223" s="93" t="n"/>
      <c r="V223" s="93" t="n"/>
      <c r="W223" s="93" t="n"/>
      <c r="X223" s="93" t="n"/>
      <c r="Y223" s="93" t="n"/>
      <c r="Z223" s="93" t="n"/>
    </row>
    <row r="224">
      <c r="A224" s="93" t="n"/>
      <c r="B224" s="93" t="n"/>
      <c r="C224" s="93" t="n"/>
      <c r="D224" s="93" t="n"/>
      <c r="E224" s="93" t="n"/>
      <c r="F224" s="93" t="n"/>
      <c r="G224" s="93" t="n"/>
      <c r="H224" s="93" t="n"/>
      <c r="I224" s="93" t="n"/>
      <c r="J224" s="93" t="n"/>
      <c r="K224" s="93" t="n"/>
      <c r="L224" s="93" t="n"/>
      <c r="M224" s="93" t="n"/>
      <c r="N224" s="93" t="n"/>
      <c r="O224" s="93" t="n"/>
      <c r="P224" s="93" t="n"/>
      <c r="Q224" s="93" t="n"/>
      <c r="R224" s="93" t="n"/>
      <c r="S224" s="93" t="n"/>
      <c r="T224" s="93" t="n"/>
      <c r="U224" s="93" t="n"/>
      <c r="V224" s="93" t="n"/>
      <c r="W224" s="93" t="n"/>
      <c r="X224" s="93" t="n"/>
      <c r="Y224" s="93" t="n"/>
      <c r="Z224" s="93" t="n"/>
    </row>
    <row r="225">
      <c r="A225" s="93" t="n"/>
      <c r="B225" s="93" t="n"/>
      <c r="C225" s="93" t="n"/>
      <c r="D225" s="93" t="n"/>
      <c r="E225" s="93" t="n"/>
      <c r="F225" s="93" t="n"/>
      <c r="G225" s="93" t="n"/>
      <c r="H225" s="93" t="n"/>
      <c r="I225" s="93" t="n"/>
      <c r="J225" s="93" t="n"/>
      <c r="K225" s="93" t="n"/>
      <c r="L225" s="93" t="n"/>
      <c r="M225" s="93" t="n"/>
      <c r="N225" s="93" t="n"/>
      <c r="O225" s="93" t="n"/>
      <c r="P225" s="93" t="n"/>
      <c r="Q225" s="93" t="n"/>
      <c r="R225" s="93" t="n"/>
      <c r="S225" s="93" t="n"/>
      <c r="T225" s="93" t="n"/>
      <c r="U225" s="93" t="n"/>
      <c r="V225" s="93" t="n"/>
      <c r="W225" s="93" t="n"/>
      <c r="X225" s="93" t="n"/>
      <c r="Y225" s="93" t="n"/>
      <c r="Z225" s="93" t="n"/>
    </row>
    <row r="226">
      <c r="A226" s="93" t="n"/>
      <c r="B226" s="93" t="n"/>
      <c r="C226" s="93" t="n"/>
      <c r="D226" s="93" t="n"/>
      <c r="E226" s="93" t="n"/>
      <c r="F226" s="93" t="n"/>
      <c r="G226" s="93" t="n"/>
      <c r="H226" s="93" t="n"/>
      <c r="I226" s="93" t="n"/>
      <c r="J226" s="93" t="n"/>
      <c r="K226" s="93" t="n"/>
      <c r="L226" s="93" t="n"/>
      <c r="M226" s="93" t="n"/>
      <c r="N226" s="93" t="n"/>
      <c r="O226" s="93" t="n"/>
      <c r="P226" s="93" t="n"/>
      <c r="Q226" s="93" t="n"/>
      <c r="R226" s="93" t="n"/>
      <c r="S226" s="93" t="n"/>
      <c r="T226" s="93" t="n"/>
      <c r="U226" s="93" t="n"/>
      <c r="V226" s="93" t="n"/>
      <c r="W226" s="93" t="n"/>
      <c r="X226" s="93" t="n"/>
      <c r="Y226" s="93" t="n"/>
      <c r="Z226" s="93" t="n"/>
    </row>
    <row r="227">
      <c r="A227" s="93" t="n"/>
      <c r="B227" s="93" t="n"/>
      <c r="C227" s="93" t="n"/>
      <c r="D227" s="93" t="n"/>
      <c r="E227" s="93" t="n"/>
      <c r="F227" s="93" t="n"/>
      <c r="G227" s="93" t="n"/>
      <c r="H227" s="93" t="n"/>
      <c r="I227" s="93" t="n"/>
      <c r="J227" s="93" t="n"/>
      <c r="K227" s="93" t="n"/>
      <c r="L227" s="93" t="n"/>
      <c r="M227" s="93" t="n"/>
      <c r="N227" s="93" t="n"/>
      <c r="O227" s="93" t="n"/>
      <c r="P227" s="93" t="n"/>
      <c r="Q227" s="93" t="n"/>
      <c r="R227" s="93" t="n"/>
      <c r="S227" s="93" t="n"/>
      <c r="T227" s="93" t="n"/>
      <c r="U227" s="93" t="n"/>
      <c r="V227" s="93" t="n"/>
      <c r="W227" s="93" t="n"/>
      <c r="X227" s="93" t="n"/>
      <c r="Y227" s="93" t="n"/>
      <c r="Z227" s="93" t="n"/>
    </row>
    <row r="228">
      <c r="A228" s="93" t="n"/>
      <c r="B228" s="93" t="n"/>
      <c r="C228" s="93" t="n"/>
      <c r="D228" s="93" t="n"/>
      <c r="E228" s="93" t="n"/>
      <c r="F228" s="93" t="n"/>
      <c r="G228" s="93" t="n"/>
      <c r="H228" s="93" t="n"/>
      <c r="I228" s="93" t="n"/>
      <c r="J228" s="93" t="n"/>
      <c r="K228" s="93" t="n"/>
      <c r="L228" s="93" t="n"/>
      <c r="M228" s="93" t="n"/>
      <c r="N228" s="93" t="n"/>
      <c r="O228" s="93" t="n"/>
      <c r="P228" s="93" t="n"/>
      <c r="Q228" s="93" t="n"/>
      <c r="R228" s="93" t="n"/>
      <c r="S228" s="93" t="n"/>
      <c r="T228" s="93" t="n"/>
      <c r="U228" s="93" t="n"/>
      <c r="V228" s="93" t="n"/>
      <c r="W228" s="93" t="n"/>
      <c r="X228" s="93" t="n"/>
      <c r="Y228" s="93" t="n"/>
      <c r="Z228" s="93" t="n"/>
    </row>
    <row r="229">
      <c r="A229" s="93" t="n"/>
      <c r="B229" s="93" t="n"/>
      <c r="C229" s="93" t="n"/>
      <c r="D229" s="93" t="n"/>
      <c r="E229" s="93" t="n"/>
      <c r="F229" s="93" t="n"/>
      <c r="G229" s="93" t="n"/>
      <c r="H229" s="93" t="n"/>
      <c r="I229" s="93" t="n"/>
      <c r="J229" s="93" t="n"/>
      <c r="K229" s="93" t="n"/>
      <c r="L229" s="93" t="n"/>
      <c r="M229" s="93" t="n"/>
      <c r="N229" s="93" t="n"/>
      <c r="O229" s="93" t="n"/>
      <c r="P229" s="93" t="n"/>
      <c r="Q229" s="93" t="n"/>
      <c r="R229" s="93" t="n"/>
      <c r="S229" s="93" t="n"/>
      <c r="T229" s="93" t="n"/>
      <c r="U229" s="93" t="n"/>
      <c r="V229" s="93" t="n"/>
      <c r="W229" s="93" t="n"/>
      <c r="X229" s="93" t="n"/>
      <c r="Y229" s="93" t="n"/>
      <c r="Z229" s="93" t="n"/>
    </row>
    <row r="230">
      <c r="A230" s="93" t="n"/>
      <c r="B230" s="93" t="n"/>
      <c r="C230" s="93" t="n"/>
      <c r="D230" s="93" t="n"/>
      <c r="E230" s="93" t="n"/>
      <c r="F230" s="93" t="n"/>
      <c r="G230" s="93" t="n"/>
      <c r="H230" s="93" t="n"/>
      <c r="I230" s="93" t="n"/>
      <c r="J230" s="93" t="n"/>
      <c r="K230" s="93" t="n"/>
      <c r="L230" s="93" t="n"/>
      <c r="M230" s="93" t="n"/>
      <c r="N230" s="93" t="n"/>
      <c r="O230" s="93" t="n"/>
      <c r="P230" s="93" t="n"/>
      <c r="Q230" s="93" t="n"/>
      <c r="R230" s="93" t="n"/>
      <c r="S230" s="93" t="n"/>
      <c r="T230" s="93" t="n"/>
      <c r="U230" s="93" t="n"/>
      <c r="V230" s="93" t="n"/>
      <c r="W230" s="93" t="n"/>
      <c r="X230" s="93" t="n"/>
      <c r="Y230" s="93" t="n"/>
      <c r="Z230" s="93" t="n"/>
    </row>
    <row r="231">
      <c r="A231" s="93" t="n"/>
      <c r="B231" s="93" t="n"/>
      <c r="C231" s="93" t="n"/>
      <c r="D231" s="93" t="n"/>
      <c r="E231" s="93" t="n"/>
      <c r="F231" s="93" t="n"/>
      <c r="G231" s="93" t="n"/>
      <c r="H231" s="93" t="n"/>
      <c r="I231" s="93" t="n"/>
      <c r="J231" s="93" t="n"/>
      <c r="K231" s="93" t="n"/>
      <c r="L231" s="93" t="n"/>
      <c r="M231" s="93" t="n"/>
      <c r="N231" s="93" t="n"/>
      <c r="O231" s="93" t="n"/>
      <c r="P231" s="93" t="n"/>
      <c r="Q231" s="93" t="n"/>
      <c r="R231" s="93" t="n"/>
      <c r="S231" s="93" t="n"/>
      <c r="T231" s="93" t="n"/>
      <c r="U231" s="93" t="n"/>
      <c r="V231" s="93" t="n"/>
      <c r="W231" s="93" t="n"/>
      <c r="X231" s="93" t="n"/>
      <c r="Y231" s="93" t="n"/>
      <c r="Z231" s="93" t="n"/>
    </row>
    <row r="232">
      <c r="A232" s="93" t="n"/>
      <c r="B232" s="93" t="n"/>
      <c r="C232" s="93" t="n"/>
      <c r="D232" s="93" t="n"/>
      <c r="E232" s="93" t="n"/>
      <c r="F232" s="93" t="n"/>
      <c r="G232" s="93" t="n"/>
      <c r="H232" s="93" t="n"/>
      <c r="I232" s="93" t="n"/>
      <c r="J232" s="93" t="n"/>
      <c r="K232" s="93" t="n"/>
      <c r="L232" s="93" t="n"/>
      <c r="M232" s="93" t="n"/>
      <c r="N232" s="93" t="n"/>
      <c r="O232" s="93" t="n"/>
      <c r="P232" s="93" t="n"/>
      <c r="Q232" s="93" t="n"/>
      <c r="R232" s="93" t="n"/>
      <c r="S232" s="93" t="n"/>
      <c r="T232" s="93" t="n"/>
      <c r="U232" s="93" t="n"/>
      <c r="V232" s="93" t="n"/>
      <c r="W232" s="93" t="n"/>
      <c r="X232" s="93" t="n"/>
      <c r="Y232" s="93" t="n"/>
      <c r="Z232" s="93" t="n"/>
    </row>
    <row r="233">
      <c r="A233" s="93" t="n"/>
      <c r="B233" s="93" t="n"/>
      <c r="C233" s="93" t="n"/>
      <c r="D233" s="93" t="n"/>
      <c r="E233" s="93" t="n"/>
      <c r="F233" s="93" t="n"/>
      <c r="G233" s="93" t="n"/>
      <c r="H233" s="93" t="n"/>
      <c r="I233" s="93" t="n"/>
      <c r="J233" s="93" t="n"/>
      <c r="K233" s="93" t="n"/>
      <c r="L233" s="93" t="n"/>
      <c r="M233" s="93" t="n"/>
      <c r="N233" s="93" t="n"/>
      <c r="O233" s="93" t="n"/>
      <c r="P233" s="93" t="n"/>
      <c r="Q233" s="93" t="n"/>
      <c r="R233" s="93" t="n"/>
      <c r="S233" s="93" t="n"/>
      <c r="T233" s="93" t="n"/>
      <c r="U233" s="93" t="n"/>
      <c r="V233" s="93" t="n"/>
      <c r="W233" s="93" t="n"/>
      <c r="X233" s="93" t="n"/>
      <c r="Y233" s="93" t="n"/>
      <c r="Z233" s="93" t="n"/>
    </row>
    <row r="234">
      <c r="A234" s="93" t="n"/>
      <c r="B234" s="93" t="n"/>
      <c r="C234" s="93" t="n"/>
      <c r="D234" s="93" t="n"/>
      <c r="E234" s="93" t="n"/>
      <c r="F234" s="93" t="n"/>
      <c r="G234" s="93" t="n"/>
      <c r="H234" s="93" t="n"/>
      <c r="I234" s="93" t="n"/>
      <c r="J234" s="93" t="n"/>
      <c r="K234" s="93" t="n"/>
      <c r="L234" s="93" t="n"/>
      <c r="M234" s="93" t="n"/>
      <c r="N234" s="93" t="n"/>
      <c r="O234" s="93" t="n"/>
      <c r="P234" s="93" t="n"/>
      <c r="Q234" s="93" t="n"/>
      <c r="R234" s="93" t="n"/>
      <c r="S234" s="93" t="n"/>
      <c r="T234" s="93" t="n"/>
      <c r="U234" s="93" t="n"/>
      <c r="V234" s="93" t="n"/>
      <c r="W234" s="93" t="n"/>
      <c r="X234" s="93" t="n"/>
      <c r="Y234" s="93" t="n"/>
      <c r="Z234" s="93" t="n"/>
    </row>
    <row r="235">
      <c r="A235" s="93" t="n"/>
      <c r="B235" s="93" t="n"/>
      <c r="C235" s="93" t="n"/>
      <c r="D235" s="93" t="n"/>
      <c r="E235" s="93" t="n"/>
      <c r="F235" s="93" t="n"/>
      <c r="G235" s="93" t="n"/>
      <c r="H235" s="93" t="n"/>
      <c r="I235" s="93" t="n"/>
      <c r="J235" s="93" t="n"/>
      <c r="K235" s="93" t="n"/>
      <c r="L235" s="93" t="n"/>
      <c r="M235" s="93" t="n"/>
      <c r="N235" s="93" t="n"/>
      <c r="O235" s="93" t="n"/>
      <c r="P235" s="93" t="n"/>
      <c r="Q235" s="93" t="n"/>
      <c r="R235" s="93" t="n"/>
      <c r="S235" s="93" t="n"/>
      <c r="T235" s="93" t="n"/>
      <c r="U235" s="93" t="n"/>
      <c r="V235" s="93" t="n"/>
      <c r="W235" s="93" t="n"/>
      <c r="X235" s="93" t="n"/>
      <c r="Y235" s="93" t="n"/>
      <c r="Z235" s="93" t="n"/>
    </row>
    <row r="236">
      <c r="A236" s="93" t="n"/>
      <c r="B236" s="93" t="n"/>
      <c r="C236" s="93" t="n"/>
      <c r="D236" s="93" t="n"/>
      <c r="E236" s="93" t="n"/>
      <c r="F236" s="93" t="n"/>
      <c r="G236" s="93" t="n"/>
      <c r="H236" s="93" t="n"/>
      <c r="I236" s="93" t="n"/>
      <c r="J236" s="93" t="n"/>
      <c r="K236" s="93" t="n"/>
      <c r="L236" s="93" t="n"/>
      <c r="M236" s="93" t="n"/>
      <c r="N236" s="93" t="n"/>
      <c r="O236" s="93" t="n"/>
      <c r="P236" s="93" t="n"/>
      <c r="Q236" s="93" t="n"/>
      <c r="R236" s="93" t="n"/>
      <c r="S236" s="93" t="n"/>
      <c r="T236" s="93" t="n"/>
      <c r="U236" s="93" t="n"/>
      <c r="V236" s="93" t="n"/>
      <c r="W236" s="93" t="n"/>
      <c r="X236" s="93" t="n"/>
      <c r="Y236" s="93" t="n"/>
      <c r="Z236" s="93" t="n"/>
    </row>
    <row r="237">
      <c r="A237" s="93" t="n"/>
      <c r="B237" s="93" t="n"/>
      <c r="C237" s="93" t="n"/>
      <c r="D237" s="93" t="n"/>
      <c r="E237" s="93" t="n"/>
      <c r="F237" s="93" t="n"/>
      <c r="G237" s="93" t="n"/>
      <c r="H237" s="93" t="n"/>
      <c r="I237" s="93" t="n"/>
      <c r="J237" s="93" t="n"/>
      <c r="K237" s="93" t="n"/>
      <c r="L237" s="93" t="n"/>
      <c r="M237" s="93" t="n"/>
      <c r="N237" s="93" t="n"/>
      <c r="O237" s="93" t="n"/>
      <c r="P237" s="93" t="n"/>
      <c r="Q237" s="93" t="n"/>
      <c r="R237" s="93" t="n"/>
      <c r="S237" s="93" t="n"/>
      <c r="T237" s="93" t="n"/>
      <c r="U237" s="93" t="n"/>
      <c r="V237" s="93" t="n"/>
      <c r="W237" s="93" t="n"/>
      <c r="X237" s="93" t="n"/>
      <c r="Y237" s="93" t="n"/>
      <c r="Z237" s="93" t="n"/>
    </row>
    <row r="238">
      <c r="A238" s="93" t="n"/>
      <c r="B238" s="93" t="n"/>
      <c r="C238" s="93" t="n"/>
      <c r="D238" s="93" t="n"/>
      <c r="E238" s="93" t="n"/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93" t="n"/>
      <c r="P238" s="93" t="n"/>
      <c r="Q238" s="93" t="n"/>
      <c r="R238" s="93" t="n"/>
      <c r="S238" s="93" t="n"/>
      <c r="T238" s="93" t="n"/>
      <c r="U238" s="93" t="n"/>
      <c r="V238" s="93" t="n"/>
      <c r="W238" s="93" t="n"/>
      <c r="X238" s="93" t="n"/>
      <c r="Y238" s="93" t="n"/>
      <c r="Z238" s="93" t="n"/>
    </row>
    <row r="239">
      <c r="A239" s="93" t="n"/>
      <c r="B239" s="93" t="n"/>
      <c r="C239" s="93" t="n"/>
      <c r="D239" s="93" t="n"/>
      <c r="E239" s="93" t="n"/>
      <c r="F239" s="93" t="n"/>
      <c r="G239" s="93" t="n"/>
      <c r="H239" s="93" t="n"/>
      <c r="I239" s="93" t="n"/>
      <c r="J239" s="93" t="n"/>
      <c r="K239" s="93" t="n"/>
      <c r="L239" s="93" t="n"/>
      <c r="M239" s="93" t="n"/>
      <c r="N239" s="93" t="n"/>
      <c r="O239" s="93" t="n"/>
      <c r="P239" s="93" t="n"/>
      <c r="Q239" s="93" t="n"/>
      <c r="R239" s="93" t="n"/>
      <c r="S239" s="93" t="n"/>
      <c r="T239" s="93" t="n"/>
      <c r="U239" s="93" t="n"/>
      <c r="V239" s="93" t="n"/>
      <c r="W239" s="93" t="n"/>
      <c r="X239" s="93" t="n"/>
      <c r="Y239" s="93" t="n"/>
      <c r="Z239" s="93" t="n"/>
    </row>
    <row r="240">
      <c r="A240" s="93" t="n"/>
      <c r="B240" s="93" t="n"/>
      <c r="C240" s="93" t="n"/>
      <c r="D240" s="93" t="n"/>
      <c r="E240" s="93" t="n"/>
      <c r="F240" s="93" t="n"/>
      <c r="G240" s="93" t="n"/>
      <c r="H240" s="93" t="n"/>
      <c r="I240" s="93" t="n"/>
      <c r="J240" s="93" t="n"/>
      <c r="K240" s="93" t="n"/>
      <c r="L240" s="93" t="n"/>
      <c r="M240" s="93" t="n"/>
      <c r="N240" s="93" t="n"/>
      <c r="O240" s="93" t="n"/>
      <c r="P240" s="93" t="n"/>
      <c r="Q240" s="93" t="n"/>
      <c r="R240" s="93" t="n"/>
      <c r="S240" s="93" t="n"/>
      <c r="T240" s="93" t="n"/>
      <c r="U240" s="93" t="n"/>
      <c r="V240" s="93" t="n"/>
      <c r="W240" s="93" t="n"/>
      <c r="X240" s="93" t="n"/>
      <c r="Y240" s="93" t="n"/>
      <c r="Z240" s="93" t="n"/>
    </row>
    <row r="241">
      <c r="A241" s="93" t="n"/>
      <c r="B241" s="93" t="n"/>
      <c r="C241" s="93" t="n"/>
      <c r="D241" s="93" t="n"/>
      <c r="E241" s="93" t="n"/>
      <c r="F241" s="93" t="n"/>
      <c r="G241" s="93" t="n"/>
      <c r="H241" s="93" t="n"/>
      <c r="I241" s="93" t="n"/>
      <c r="J241" s="93" t="n"/>
      <c r="K241" s="93" t="n"/>
      <c r="L241" s="93" t="n"/>
      <c r="M241" s="93" t="n"/>
      <c r="N241" s="93" t="n"/>
      <c r="O241" s="93" t="n"/>
      <c r="P241" s="93" t="n"/>
      <c r="Q241" s="93" t="n"/>
      <c r="R241" s="93" t="n"/>
      <c r="S241" s="93" t="n"/>
      <c r="T241" s="93" t="n"/>
      <c r="U241" s="93" t="n"/>
      <c r="V241" s="93" t="n"/>
      <c r="W241" s="93" t="n"/>
      <c r="X241" s="93" t="n"/>
      <c r="Y241" s="93" t="n"/>
      <c r="Z241" s="93" t="n"/>
    </row>
    <row r="242">
      <c r="A242" s="93" t="n"/>
      <c r="B242" s="93" t="n"/>
      <c r="C242" s="93" t="n"/>
      <c r="D242" s="93" t="n"/>
      <c r="E242" s="93" t="n"/>
      <c r="F242" s="93" t="n"/>
      <c r="G242" s="93" t="n"/>
      <c r="H242" s="93" t="n"/>
      <c r="I242" s="93" t="n"/>
      <c r="J242" s="93" t="n"/>
      <c r="K242" s="93" t="n"/>
      <c r="L242" s="93" t="n"/>
      <c r="M242" s="93" t="n"/>
      <c r="N242" s="93" t="n"/>
      <c r="O242" s="93" t="n"/>
      <c r="P242" s="93" t="n"/>
      <c r="Q242" s="93" t="n"/>
      <c r="R242" s="93" t="n"/>
      <c r="S242" s="93" t="n"/>
      <c r="T242" s="93" t="n"/>
      <c r="U242" s="93" t="n"/>
      <c r="V242" s="93" t="n"/>
      <c r="W242" s="93" t="n"/>
      <c r="X242" s="93" t="n"/>
      <c r="Y242" s="93" t="n"/>
      <c r="Z242" s="93" t="n"/>
    </row>
    <row r="243">
      <c r="A243" s="93" t="n"/>
      <c r="B243" s="93" t="n"/>
      <c r="C243" s="93" t="n"/>
      <c r="D243" s="93" t="n"/>
      <c r="E243" s="93" t="n"/>
      <c r="F243" s="93" t="n"/>
      <c r="G243" s="93" t="n"/>
      <c r="H243" s="93" t="n"/>
      <c r="I243" s="93" t="n"/>
      <c r="J243" s="93" t="n"/>
      <c r="K243" s="93" t="n"/>
      <c r="L243" s="93" t="n"/>
      <c r="M243" s="93" t="n"/>
      <c r="N243" s="93" t="n"/>
      <c r="O243" s="93" t="n"/>
      <c r="P243" s="93" t="n"/>
      <c r="Q243" s="93" t="n"/>
      <c r="R243" s="93" t="n"/>
      <c r="S243" s="93" t="n"/>
      <c r="T243" s="93" t="n"/>
      <c r="U243" s="93" t="n"/>
      <c r="V243" s="93" t="n"/>
      <c r="W243" s="93" t="n"/>
      <c r="X243" s="93" t="n"/>
      <c r="Y243" s="93" t="n"/>
      <c r="Z243" s="93" t="n"/>
    </row>
    <row r="244">
      <c r="A244" s="93" t="n"/>
      <c r="B244" s="93" t="n"/>
      <c r="C244" s="93" t="n"/>
      <c r="D244" s="93" t="n"/>
      <c r="E244" s="93" t="n"/>
      <c r="F244" s="93" t="n"/>
      <c r="G244" s="93" t="n"/>
      <c r="H244" s="93" t="n"/>
      <c r="I244" s="93" t="n"/>
      <c r="J244" s="93" t="n"/>
      <c r="K244" s="93" t="n"/>
      <c r="L244" s="93" t="n"/>
      <c r="M244" s="93" t="n"/>
      <c r="N244" s="93" t="n"/>
      <c r="O244" s="93" t="n"/>
      <c r="P244" s="93" t="n"/>
      <c r="Q244" s="93" t="n"/>
      <c r="R244" s="93" t="n"/>
      <c r="S244" s="93" t="n"/>
      <c r="T244" s="93" t="n"/>
      <c r="U244" s="93" t="n"/>
      <c r="V244" s="93" t="n"/>
      <c r="W244" s="93" t="n"/>
      <c r="X244" s="93" t="n"/>
      <c r="Y244" s="93" t="n"/>
      <c r="Z244" s="93" t="n"/>
    </row>
    <row r="245">
      <c r="A245" s="93" t="n"/>
      <c r="B245" s="93" t="n"/>
      <c r="C245" s="93" t="n"/>
      <c r="D245" s="93" t="n"/>
      <c r="E245" s="93" t="n"/>
      <c r="F245" s="93" t="n"/>
      <c r="G245" s="93" t="n"/>
      <c r="H245" s="93" t="n"/>
      <c r="I245" s="93" t="n"/>
      <c r="J245" s="93" t="n"/>
      <c r="K245" s="93" t="n"/>
      <c r="L245" s="93" t="n"/>
      <c r="M245" s="93" t="n"/>
      <c r="N245" s="93" t="n"/>
      <c r="O245" s="93" t="n"/>
      <c r="P245" s="93" t="n"/>
      <c r="Q245" s="93" t="n"/>
      <c r="R245" s="93" t="n"/>
      <c r="S245" s="93" t="n"/>
      <c r="T245" s="93" t="n"/>
      <c r="U245" s="93" t="n"/>
      <c r="V245" s="93" t="n"/>
      <c r="W245" s="93" t="n"/>
      <c r="X245" s="93" t="n"/>
      <c r="Y245" s="93" t="n"/>
      <c r="Z245" s="93" t="n"/>
    </row>
    <row r="246">
      <c r="A246" s="93" t="n"/>
      <c r="B246" s="93" t="n"/>
      <c r="C246" s="93" t="n"/>
      <c r="D246" s="93" t="n"/>
      <c r="E246" s="93" t="n"/>
      <c r="F246" s="93" t="n"/>
      <c r="G246" s="93" t="n"/>
      <c r="H246" s="93" t="n"/>
      <c r="I246" s="93" t="n"/>
      <c r="J246" s="93" t="n"/>
      <c r="K246" s="93" t="n"/>
      <c r="L246" s="93" t="n"/>
      <c r="M246" s="93" t="n"/>
      <c r="N246" s="93" t="n"/>
      <c r="O246" s="93" t="n"/>
      <c r="P246" s="93" t="n"/>
      <c r="Q246" s="93" t="n"/>
      <c r="R246" s="93" t="n"/>
      <c r="S246" s="93" t="n"/>
      <c r="T246" s="93" t="n"/>
      <c r="U246" s="93" t="n"/>
      <c r="V246" s="93" t="n"/>
      <c r="W246" s="93" t="n"/>
      <c r="X246" s="93" t="n"/>
      <c r="Y246" s="93" t="n"/>
      <c r="Z246" s="93" t="n"/>
    </row>
    <row r="247">
      <c r="A247" s="93" t="n"/>
      <c r="B247" s="93" t="n"/>
      <c r="C247" s="93" t="n"/>
      <c r="D247" s="93" t="n"/>
      <c r="E247" s="93" t="n"/>
      <c r="F247" s="93" t="n"/>
      <c r="G247" s="93" t="n"/>
      <c r="H247" s="93" t="n"/>
      <c r="I247" s="93" t="n"/>
      <c r="J247" s="93" t="n"/>
      <c r="K247" s="93" t="n"/>
      <c r="L247" s="93" t="n"/>
      <c r="M247" s="93" t="n"/>
      <c r="N247" s="93" t="n"/>
      <c r="O247" s="93" t="n"/>
      <c r="P247" s="93" t="n"/>
      <c r="Q247" s="93" t="n"/>
      <c r="R247" s="93" t="n"/>
      <c r="S247" s="93" t="n"/>
      <c r="T247" s="93" t="n"/>
      <c r="U247" s="93" t="n"/>
      <c r="V247" s="93" t="n"/>
      <c r="W247" s="93" t="n"/>
      <c r="X247" s="93" t="n"/>
      <c r="Y247" s="93" t="n"/>
      <c r="Z247" s="93" t="n"/>
    </row>
    <row r="248">
      <c r="A248" s="93" t="n"/>
      <c r="B248" s="93" t="n"/>
      <c r="C248" s="93" t="n"/>
      <c r="D248" s="93" t="n"/>
      <c r="E248" s="93" t="n"/>
      <c r="F248" s="93" t="n"/>
      <c r="G248" s="93" t="n"/>
      <c r="H248" s="93" t="n"/>
      <c r="I248" s="93" t="n"/>
      <c r="J248" s="93" t="n"/>
      <c r="K248" s="93" t="n"/>
      <c r="L248" s="93" t="n"/>
      <c r="M248" s="93" t="n"/>
      <c r="N248" s="93" t="n"/>
      <c r="O248" s="93" t="n"/>
      <c r="P248" s="93" t="n"/>
      <c r="Q248" s="93" t="n"/>
      <c r="R248" s="93" t="n"/>
      <c r="S248" s="93" t="n"/>
      <c r="T248" s="93" t="n"/>
      <c r="U248" s="93" t="n"/>
      <c r="V248" s="93" t="n"/>
      <c r="W248" s="93" t="n"/>
      <c r="X248" s="93" t="n"/>
      <c r="Y248" s="93" t="n"/>
      <c r="Z248" s="93" t="n"/>
    </row>
    <row r="249">
      <c r="A249" s="93" t="n"/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93" t="n"/>
      <c r="K249" s="93" t="n"/>
      <c r="L249" s="93" t="n"/>
      <c r="M249" s="93" t="n"/>
      <c r="N249" s="93" t="n"/>
      <c r="O249" s="93" t="n"/>
      <c r="P249" s="93" t="n"/>
      <c r="Q249" s="93" t="n"/>
      <c r="R249" s="93" t="n"/>
      <c r="S249" s="93" t="n"/>
      <c r="T249" s="93" t="n"/>
      <c r="U249" s="93" t="n"/>
      <c r="V249" s="93" t="n"/>
      <c r="W249" s="93" t="n"/>
      <c r="X249" s="93" t="n"/>
      <c r="Y249" s="93" t="n"/>
      <c r="Z249" s="93" t="n"/>
    </row>
    <row r="250">
      <c r="A250" s="93" t="n"/>
      <c r="B250" s="93" t="n"/>
      <c r="C250" s="93" t="n"/>
      <c r="D250" s="93" t="n"/>
      <c r="E250" s="93" t="n"/>
      <c r="F250" s="93" t="n"/>
      <c r="G250" s="93" t="n"/>
      <c r="H250" s="93" t="n"/>
      <c r="I250" s="93" t="n"/>
      <c r="J250" s="93" t="n"/>
      <c r="K250" s="93" t="n"/>
      <c r="L250" s="93" t="n"/>
      <c r="M250" s="93" t="n"/>
      <c r="N250" s="93" t="n"/>
      <c r="O250" s="93" t="n"/>
      <c r="P250" s="93" t="n"/>
      <c r="Q250" s="93" t="n"/>
      <c r="R250" s="93" t="n"/>
      <c r="S250" s="93" t="n"/>
      <c r="T250" s="93" t="n"/>
      <c r="U250" s="93" t="n"/>
      <c r="V250" s="93" t="n"/>
      <c r="W250" s="93" t="n"/>
      <c r="X250" s="93" t="n"/>
      <c r="Y250" s="93" t="n"/>
      <c r="Z250" s="93" t="n"/>
    </row>
    <row r="251">
      <c r="A251" s="93" t="n"/>
      <c r="B251" s="93" t="n"/>
      <c r="C251" s="93" t="n"/>
      <c r="D251" s="93" t="n"/>
      <c r="E251" s="93" t="n"/>
      <c r="F251" s="93" t="n"/>
      <c r="G251" s="93" t="n"/>
      <c r="H251" s="93" t="n"/>
      <c r="I251" s="93" t="n"/>
      <c r="J251" s="93" t="n"/>
      <c r="K251" s="93" t="n"/>
      <c r="L251" s="93" t="n"/>
      <c r="M251" s="93" t="n"/>
      <c r="N251" s="93" t="n"/>
      <c r="O251" s="93" t="n"/>
      <c r="P251" s="93" t="n"/>
      <c r="Q251" s="93" t="n"/>
      <c r="R251" s="93" t="n"/>
      <c r="S251" s="93" t="n"/>
      <c r="T251" s="93" t="n"/>
      <c r="U251" s="93" t="n"/>
      <c r="V251" s="93" t="n"/>
      <c r="W251" s="93" t="n"/>
      <c r="X251" s="93" t="n"/>
      <c r="Y251" s="93" t="n"/>
      <c r="Z251" s="93" t="n"/>
    </row>
    <row r="252">
      <c r="A252" s="93" t="n"/>
      <c r="B252" s="93" t="n"/>
      <c r="C252" s="93" t="n"/>
      <c r="D252" s="93" t="n"/>
      <c r="E252" s="93" t="n"/>
      <c r="F252" s="93" t="n"/>
      <c r="G252" s="93" t="n"/>
      <c r="H252" s="93" t="n"/>
      <c r="I252" s="93" t="n"/>
      <c r="J252" s="93" t="n"/>
      <c r="K252" s="93" t="n"/>
      <c r="L252" s="93" t="n"/>
      <c r="M252" s="93" t="n"/>
      <c r="N252" s="93" t="n"/>
      <c r="O252" s="93" t="n"/>
      <c r="P252" s="93" t="n"/>
      <c r="Q252" s="93" t="n"/>
      <c r="R252" s="93" t="n"/>
      <c r="S252" s="93" t="n"/>
      <c r="T252" s="93" t="n"/>
      <c r="U252" s="93" t="n"/>
      <c r="V252" s="93" t="n"/>
      <c r="W252" s="93" t="n"/>
      <c r="X252" s="93" t="n"/>
      <c r="Y252" s="93" t="n"/>
      <c r="Z252" s="93" t="n"/>
    </row>
    <row r="253">
      <c r="A253" s="93" t="n"/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93" t="n"/>
      <c r="K253" s="93" t="n"/>
      <c r="L253" s="93" t="n"/>
      <c r="M253" s="93" t="n"/>
      <c r="N253" s="93" t="n"/>
      <c r="O253" s="93" t="n"/>
      <c r="P253" s="93" t="n"/>
      <c r="Q253" s="93" t="n"/>
      <c r="R253" s="93" t="n"/>
      <c r="S253" s="93" t="n"/>
      <c r="T253" s="93" t="n"/>
      <c r="U253" s="93" t="n"/>
      <c r="V253" s="93" t="n"/>
      <c r="W253" s="93" t="n"/>
      <c r="X253" s="93" t="n"/>
      <c r="Y253" s="93" t="n"/>
      <c r="Z253" s="93" t="n"/>
    </row>
    <row r="254">
      <c r="A254" s="93" t="n"/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93" t="n"/>
      <c r="K254" s="93" t="n"/>
      <c r="L254" s="93" t="n"/>
      <c r="M254" s="93" t="n"/>
      <c r="N254" s="93" t="n"/>
      <c r="O254" s="93" t="n"/>
      <c r="P254" s="93" t="n"/>
      <c r="Q254" s="93" t="n"/>
      <c r="R254" s="93" t="n"/>
      <c r="S254" s="93" t="n"/>
      <c r="T254" s="93" t="n"/>
      <c r="U254" s="93" t="n"/>
      <c r="V254" s="93" t="n"/>
      <c r="W254" s="93" t="n"/>
      <c r="X254" s="93" t="n"/>
      <c r="Y254" s="93" t="n"/>
      <c r="Z254" s="93" t="n"/>
    </row>
    <row r="255">
      <c r="A255" s="93" t="n"/>
      <c r="B255" s="93" t="n"/>
      <c r="C255" s="93" t="n"/>
      <c r="D255" s="93" t="n"/>
      <c r="E255" s="93" t="n"/>
      <c r="F255" s="93" t="n"/>
      <c r="G255" s="93" t="n"/>
      <c r="H255" s="93" t="n"/>
      <c r="I255" s="93" t="n"/>
      <c r="J255" s="93" t="n"/>
      <c r="K255" s="93" t="n"/>
      <c r="L255" s="93" t="n"/>
      <c r="M255" s="93" t="n"/>
      <c r="N255" s="93" t="n"/>
      <c r="O255" s="93" t="n"/>
      <c r="P255" s="93" t="n"/>
      <c r="Q255" s="93" t="n"/>
      <c r="R255" s="93" t="n"/>
      <c r="S255" s="93" t="n"/>
      <c r="T255" s="93" t="n"/>
      <c r="U255" s="93" t="n"/>
      <c r="V255" s="93" t="n"/>
      <c r="W255" s="93" t="n"/>
      <c r="X255" s="93" t="n"/>
      <c r="Y255" s="93" t="n"/>
      <c r="Z255" s="93" t="n"/>
    </row>
    <row r="256">
      <c r="A256" s="93" t="n"/>
      <c r="B256" s="93" t="n"/>
      <c r="C256" s="93" t="n"/>
      <c r="D256" s="93" t="n"/>
      <c r="E256" s="93" t="n"/>
      <c r="F256" s="93" t="n"/>
      <c r="G256" s="93" t="n"/>
      <c r="H256" s="93" t="n"/>
      <c r="I256" s="93" t="n"/>
      <c r="J256" s="93" t="n"/>
      <c r="K256" s="93" t="n"/>
      <c r="L256" s="93" t="n"/>
      <c r="M256" s="93" t="n"/>
      <c r="N256" s="93" t="n"/>
      <c r="O256" s="93" t="n"/>
      <c r="P256" s="93" t="n"/>
      <c r="Q256" s="93" t="n"/>
      <c r="R256" s="93" t="n"/>
      <c r="S256" s="93" t="n"/>
      <c r="T256" s="93" t="n"/>
      <c r="U256" s="93" t="n"/>
      <c r="V256" s="93" t="n"/>
      <c r="W256" s="93" t="n"/>
      <c r="X256" s="93" t="n"/>
      <c r="Y256" s="93" t="n"/>
      <c r="Z256" s="93" t="n"/>
    </row>
    <row r="257">
      <c r="A257" s="93" t="n"/>
      <c r="B257" s="93" t="n"/>
      <c r="C257" s="93" t="n"/>
      <c r="D257" s="93" t="n"/>
      <c r="E257" s="93" t="n"/>
      <c r="F257" s="93" t="n"/>
      <c r="G257" s="93" t="n"/>
      <c r="H257" s="93" t="n"/>
      <c r="I257" s="93" t="n"/>
      <c r="J257" s="93" t="n"/>
      <c r="K257" s="93" t="n"/>
      <c r="L257" s="93" t="n"/>
      <c r="M257" s="93" t="n"/>
      <c r="N257" s="93" t="n"/>
      <c r="O257" s="93" t="n"/>
      <c r="P257" s="93" t="n"/>
      <c r="Q257" s="93" t="n"/>
      <c r="R257" s="93" t="n"/>
      <c r="S257" s="93" t="n"/>
      <c r="T257" s="93" t="n"/>
      <c r="U257" s="93" t="n"/>
      <c r="V257" s="93" t="n"/>
      <c r="W257" s="93" t="n"/>
      <c r="X257" s="93" t="n"/>
      <c r="Y257" s="93" t="n"/>
      <c r="Z257" s="93" t="n"/>
    </row>
    <row r="258">
      <c r="A258" s="93" t="n"/>
      <c r="B258" s="93" t="n"/>
      <c r="C258" s="93" t="n"/>
      <c r="D258" s="93" t="n"/>
      <c r="E258" s="93" t="n"/>
      <c r="F258" s="93" t="n"/>
      <c r="G258" s="93" t="n"/>
      <c r="H258" s="93" t="n"/>
      <c r="I258" s="93" t="n"/>
      <c r="J258" s="93" t="n"/>
      <c r="K258" s="93" t="n"/>
      <c r="L258" s="93" t="n"/>
      <c r="M258" s="93" t="n"/>
      <c r="N258" s="93" t="n"/>
      <c r="O258" s="93" t="n"/>
      <c r="P258" s="93" t="n"/>
      <c r="Q258" s="93" t="n"/>
      <c r="R258" s="93" t="n"/>
      <c r="S258" s="93" t="n"/>
      <c r="T258" s="93" t="n"/>
      <c r="U258" s="93" t="n"/>
      <c r="V258" s="93" t="n"/>
      <c r="W258" s="93" t="n"/>
      <c r="X258" s="93" t="n"/>
      <c r="Y258" s="93" t="n"/>
      <c r="Z258" s="93" t="n"/>
    </row>
    <row r="259">
      <c r="A259" s="93" t="n"/>
      <c r="B259" s="93" t="n"/>
      <c r="C259" s="93" t="n"/>
      <c r="D259" s="93" t="n"/>
      <c r="E259" s="93" t="n"/>
      <c r="F259" s="93" t="n"/>
      <c r="G259" s="93" t="n"/>
      <c r="H259" s="93" t="n"/>
      <c r="I259" s="93" t="n"/>
      <c r="J259" s="93" t="n"/>
      <c r="K259" s="93" t="n"/>
      <c r="L259" s="93" t="n"/>
      <c r="M259" s="93" t="n"/>
      <c r="N259" s="93" t="n"/>
      <c r="O259" s="93" t="n"/>
      <c r="P259" s="93" t="n"/>
      <c r="Q259" s="93" t="n"/>
      <c r="R259" s="93" t="n"/>
      <c r="S259" s="93" t="n"/>
      <c r="T259" s="93" t="n"/>
      <c r="U259" s="93" t="n"/>
      <c r="V259" s="93" t="n"/>
      <c r="W259" s="93" t="n"/>
      <c r="X259" s="93" t="n"/>
      <c r="Y259" s="93" t="n"/>
      <c r="Z259" s="93" t="n"/>
    </row>
    <row r="260">
      <c r="A260" s="93" t="n"/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93" t="n"/>
      <c r="K260" s="93" t="n"/>
      <c r="L260" s="93" t="n"/>
      <c r="M260" s="93" t="n"/>
      <c r="N260" s="93" t="n"/>
      <c r="O260" s="93" t="n"/>
      <c r="P260" s="93" t="n"/>
      <c r="Q260" s="93" t="n"/>
      <c r="R260" s="93" t="n"/>
      <c r="S260" s="93" t="n"/>
      <c r="T260" s="93" t="n"/>
      <c r="U260" s="93" t="n"/>
      <c r="V260" s="93" t="n"/>
      <c r="W260" s="93" t="n"/>
      <c r="X260" s="93" t="n"/>
      <c r="Y260" s="93" t="n"/>
      <c r="Z260" s="93" t="n"/>
    </row>
    <row r="261">
      <c r="A261" s="93" t="n"/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93" t="n"/>
      <c r="K261" s="93" t="n"/>
      <c r="L261" s="93" t="n"/>
      <c r="M261" s="93" t="n"/>
      <c r="N261" s="93" t="n"/>
      <c r="O261" s="93" t="n"/>
      <c r="P261" s="93" t="n"/>
      <c r="Q261" s="93" t="n"/>
      <c r="R261" s="93" t="n"/>
      <c r="S261" s="93" t="n"/>
      <c r="T261" s="93" t="n"/>
      <c r="U261" s="93" t="n"/>
      <c r="V261" s="93" t="n"/>
      <c r="W261" s="93" t="n"/>
      <c r="X261" s="93" t="n"/>
      <c r="Y261" s="93" t="n"/>
      <c r="Z261" s="93" t="n"/>
    </row>
    <row r="262">
      <c r="A262" s="93" t="n"/>
      <c r="B262" s="93" t="n"/>
      <c r="C262" s="93" t="n"/>
      <c r="D262" s="93" t="n"/>
      <c r="E262" s="93" t="n"/>
      <c r="F262" s="93" t="n"/>
      <c r="G262" s="93" t="n"/>
      <c r="H262" s="93" t="n"/>
      <c r="I262" s="93" t="n"/>
      <c r="J262" s="93" t="n"/>
      <c r="K262" s="93" t="n"/>
      <c r="L262" s="93" t="n"/>
      <c r="M262" s="93" t="n"/>
      <c r="N262" s="93" t="n"/>
      <c r="O262" s="93" t="n"/>
      <c r="P262" s="93" t="n"/>
      <c r="Q262" s="93" t="n"/>
      <c r="R262" s="93" t="n"/>
      <c r="S262" s="93" t="n"/>
      <c r="T262" s="93" t="n"/>
      <c r="U262" s="93" t="n"/>
      <c r="V262" s="93" t="n"/>
      <c r="W262" s="93" t="n"/>
      <c r="X262" s="93" t="n"/>
      <c r="Y262" s="93" t="n"/>
      <c r="Z262" s="93" t="n"/>
    </row>
    <row r="263">
      <c r="A263" s="93" t="n"/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93" t="n"/>
      <c r="K263" s="93" t="n"/>
      <c r="L263" s="93" t="n"/>
      <c r="M263" s="93" t="n"/>
      <c r="N263" s="93" t="n"/>
      <c r="O263" s="93" t="n"/>
      <c r="P263" s="93" t="n"/>
      <c r="Q263" s="93" t="n"/>
      <c r="R263" s="93" t="n"/>
      <c r="S263" s="93" t="n"/>
      <c r="T263" s="93" t="n"/>
      <c r="U263" s="93" t="n"/>
      <c r="V263" s="93" t="n"/>
      <c r="W263" s="93" t="n"/>
      <c r="X263" s="93" t="n"/>
      <c r="Y263" s="93" t="n"/>
      <c r="Z263" s="93" t="n"/>
    </row>
    <row r="264">
      <c r="A264" s="93" t="n"/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93" t="n"/>
      <c r="K264" s="93" t="n"/>
      <c r="L264" s="93" t="n"/>
      <c r="M264" s="93" t="n"/>
      <c r="N264" s="93" t="n"/>
      <c r="O264" s="93" t="n"/>
      <c r="P264" s="93" t="n"/>
      <c r="Q264" s="93" t="n"/>
      <c r="R264" s="93" t="n"/>
      <c r="S264" s="93" t="n"/>
      <c r="T264" s="93" t="n"/>
      <c r="U264" s="93" t="n"/>
      <c r="V264" s="93" t="n"/>
      <c r="W264" s="93" t="n"/>
      <c r="X264" s="93" t="n"/>
      <c r="Y264" s="93" t="n"/>
      <c r="Z264" s="93" t="n"/>
    </row>
    <row r="265">
      <c r="A265" s="93" t="n"/>
      <c r="B265" s="93" t="n"/>
      <c r="C265" s="93" t="n"/>
      <c r="D265" s="93" t="n"/>
      <c r="E265" s="93" t="n"/>
      <c r="F265" s="93" t="n"/>
      <c r="G265" s="93" t="n"/>
      <c r="H265" s="93" t="n"/>
      <c r="I265" s="93" t="n"/>
      <c r="J265" s="93" t="n"/>
      <c r="K265" s="93" t="n"/>
      <c r="L265" s="93" t="n"/>
      <c r="M265" s="93" t="n"/>
      <c r="N265" s="93" t="n"/>
      <c r="O265" s="93" t="n"/>
      <c r="P265" s="93" t="n"/>
      <c r="Q265" s="93" t="n"/>
      <c r="R265" s="93" t="n"/>
      <c r="S265" s="93" t="n"/>
      <c r="T265" s="93" t="n"/>
      <c r="U265" s="93" t="n"/>
      <c r="V265" s="93" t="n"/>
      <c r="W265" s="93" t="n"/>
      <c r="X265" s="93" t="n"/>
      <c r="Y265" s="93" t="n"/>
      <c r="Z265" s="93" t="n"/>
    </row>
    <row r="266">
      <c r="A266" s="93" t="n"/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93" t="n"/>
      <c r="K266" s="93" t="n"/>
      <c r="L266" s="93" t="n"/>
      <c r="M266" s="93" t="n"/>
      <c r="N266" s="93" t="n"/>
      <c r="O266" s="93" t="n"/>
      <c r="P266" s="93" t="n"/>
      <c r="Q266" s="93" t="n"/>
      <c r="R266" s="93" t="n"/>
      <c r="S266" s="93" t="n"/>
      <c r="T266" s="93" t="n"/>
      <c r="U266" s="93" t="n"/>
      <c r="V266" s="93" t="n"/>
      <c r="W266" s="93" t="n"/>
      <c r="X266" s="93" t="n"/>
      <c r="Y266" s="93" t="n"/>
      <c r="Z266" s="93" t="n"/>
    </row>
    <row r="267">
      <c r="A267" s="93" t="n"/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93" t="n"/>
      <c r="K267" s="93" t="n"/>
      <c r="L267" s="93" t="n"/>
      <c r="M267" s="93" t="n"/>
      <c r="N267" s="93" t="n"/>
      <c r="O267" s="93" t="n"/>
      <c r="P267" s="93" t="n"/>
      <c r="Q267" s="93" t="n"/>
      <c r="R267" s="93" t="n"/>
      <c r="S267" s="93" t="n"/>
      <c r="T267" s="93" t="n"/>
      <c r="U267" s="93" t="n"/>
      <c r="V267" s="93" t="n"/>
      <c r="W267" s="93" t="n"/>
      <c r="X267" s="93" t="n"/>
      <c r="Y267" s="93" t="n"/>
      <c r="Z267" s="93" t="n"/>
    </row>
    <row r="268">
      <c r="A268" s="93" t="n"/>
      <c r="B268" s="93" t="n"/>
      <c r="C268" s="93" t="n"/>
      <c r="D268" s="93" t="n"/>
      <c r="E268" s="93" t="n"/>
      <c r="F268" s="93" t="n"/>
      <c r="G268" s="93" t="n"/>
      <c r="H268" s="93" t="n"/>
      <c r="I268" s="93" t="n"/>
      <c r="J268" s="93" t="n"/>
      <c r="K268" s="93" t="n"/>
      <c r="L268" s="93" t="n"/>
      <c r="M268" s="93" t="n"/>
      <c r="N268" s="93" t="n"/>
      <c r="O268" s="93" t="n"/>
      <c r="P268" s="93" t="n"/>
      <c r="Q268" s="93" t="n"/>
      <c r="R268" s="93" t="n"/>
      <c r="S268" s="93" t="n"/>
      <c r="T268" s="93" t="n"/>
      <c r="U268" s="93" t="n"/>
      <c r="V268" s="93" t="n"/>
      <c r="W268" s="93" t="n"/>
      <c r="X268" s="93" t="n"/>
      <c r="Y268" s="93" t="n"/>
      <c r="Z268" s="93" t="n"/>
    </row>
    <row r="269">
      <c r="A269" s="93" t="n"/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93" t="n"/>
      <c r="K269" s="93" t="n"/>
      <c r="L269" s="93" t="n"/>
      <c r="M269" s="93" t="n"/>
      <c r="N269" s="93" t="n"/>
      <c r="O269" s="93" t="n"/>
      <c r="P269" s="93" t="n"/>
      <c r="Q269" s="93" t="n"/>
      <c r="R269" s="93" t="n"/>
      <c r="S269" s="93" t="n"/>
      <c r="T269" s="93" t="n"/>
      <c r="U269" s="93" t="n"/>
      <c r="V269" s="93" t="n"/>
      <c r="W269" s="93" t="n"/>
      <c r="X269" s="93" t="n"/>
      <c r="Y269" s="93" t="n"/>
      <c r="Z269" s="93" t="n"/>
    </row>
    <row r="270">
      <c r="A270" s="93" t="n"/>
      <c r="B270" s="93" t="n"/>
      <c r="C270" s="93" t="n"/>
      <c r="D270" s="93" t="n"/>
      <c r="E270" s="93" t="n"/>
      <c r="F270" s="93" t="n"/>
      <c r="G270" s="93" t="n"/>
      <c r="H270" s="93" t="n"/>
      <c r="I270" s="93" t="n"/>
      <c r="J270" s="93" t="n"/>
      <c r="K270" s="93" t="n"/>
      <c r="L270" s="93" t="n"/>
      <c r="M270" s="93" t="n"/>
      <c r="N270" s="93" t="n"/>
      <c r="O270" s="93" t="n"/>
      <c r="P270" s="93" t="n"/>
      <c r="Q270" s="93" t="n"/>
      <c r="R270" s="93" t="n"/>
      <c r="S270" s="93" t="n"/>
      <c r="T270" s="93" t="n"/>
      <c r="U270" s="93" t="n"/>
      <c r="V270" s="93" t="n"/>
      <c r="W270" s="93" t="n"/>
      <c r="X270" s="93" t="n"/>
      <c r="Y270" s="93" t="n"/>
      <c r="Z270" s="93" t="n"/>
    </row>
    <row r="271">
      <c r="A271" s="93" t="n"/>
      <c r="B271" s="93" t="n"/>
      <c r="C271" s="93" t="n"/>
      <c r="D271" s="93" t="n"/>
      <c r="E271" s="93" t="n"/>
      <c r="F271" s="93" t="n"/>
      <c r="G271" s="93" t="n"/>
      <c r="H271" s="93" t="n"/>
      <c r="I271" s="93" t="n"/>
      <c r="J271" s="93" t="n"/>
      <c r="K271" s="93" t="n"/>
      <c r="L271" s="93" t="n"/>
      <c r="M271" s="93" t="n"/>
      <c r="N271" s="93" t="n"/>
      <c r="O271" s="93" t="n"/>
      <c r="P271" s="93" t="n"/>
      <c r="Q271" s="93" t="n"/>
      <c r="R271" s="93" t="n"/>
      <c r="S271" s="93" t="n"/>
      <c r="T271" s="93" t="n"/>
      <c r="U271" s="93" t="n"/>
      <c r="V271" s="93" t="n"/>
      <c r="W271" s="93" t="n"/>
      <c r="X271" s="93" t="n"/>
      <c r="Y271" s="93" t="n"/>
      <c r="Z271" s="93" t="n"/>
    </row>
    <row r="272">
      <c r="A272" s="93" t="n"/>
      <c r="B272" s="93" t="n"/>
      <c r="C272" s="93" t="n"/>
      <c r="D272" s="93" t="n"/>
      <c r="E272" s="93" t="n"/>
      <c r="F272" s="93" t="n"/>
      <c r="G272" s="93" t="n"/>
      <c r="H272" s="93" t="n"/>
      <c r="I272" s="93" t="n"/>
      <c r="J272" s="93" t="n"/>
      <c r="K272" s="93" t="n"/>
      <c r="L272" s="93" t="n"/>
      <c r="M272" s="93" t="n"/>
      <c r="N272" s="93" t="n"/>
      <c r="O272" s="93" t="n"/>
      <c r="P272" s="93" t="n"/>
      <c r="Q272" s="93" t="n"/>
      <c r="R272" s="93" t="n"/>
      <c r="S272" s="93" t="n"/>
      <c r="T272" s="93" t="n"/>
      <c r="U272" s="93" t="n"/>
      <c r="V272" s="93" t="n"/>
      <c r="W272" s="93" t="n"/>
      <c r="X272" s="93" t="n"/>
      <c r="Y272" s="93" t="n"/>
      <c r="Z272" s="93" t="n"/>
    </row>
    <row r="273">
      <c r="A273" s="93" t="n"/>
      <c r="B273" s="93" t="n"/>
      <c r="C273" s="93" t="n"/>
      <c r="D273" s="93" t="n"/>
      <c r="E273" s="93" t="n"/>
      <c r="F273" s="93" t="n"/>
      <c r="G273" s="93" t="n"/>
      <c r="H273" s="93" t="n"/>
      <c r="I273" s="93" t="n"/>
      <c r="J273" s="93" t="n"/>
      <c r="K273" s="93" t="n"/>
      <c r="L273" s="93" t="n"/>
      <c r="M273" s="93" t="n"/>
      <c r="N273" s="93" t="n"/>
      <c r="O273" s="93" t="n"/>
      <c r="P273" s="93" t="n"/>
      <c r="Q273" s="93" t="n"/>
      <c r="R273" s="93" t="n"/>
      <c r="S273" s="93" t="n"/>
      <c r="T273" s="93" t="n"/>
      <c r="U273" s="93" t="n"/>
      <c r="V273" s="93" t="n"/>
      <c r="W273" s="93" t="n"/>
      <c r="X273" s="93" t="n"/>
      <c r="Y273" s="93" t="n"/>
      <c r="Z273" s="93" t="n"/>
    </row>
    <row r="274">
      <c r="A274" s="93" t="n"/>
      <c r="B274" s="93" t="n"/>
      <c r="C274" s="93" t="n"/>
      <c r="D274" s="93" t="n"/>
      <c r="E274" s="93" t="n"/>
      <c r="F274" s="93" t="n"/>
      <c r="G274" s="93" t="n"/>
      <c r="H274" s="93" t="n"/>
      <c r="I274" s="93" t="n"/>
      <c r="J274" s="93" t="n"/>
      <c r="K274" s="93" t="n"/>
      <c r="L274" s="93" t="n"/>
      <c r="M274" s="93" t="n"/>
      <c r="N274" s="93" t="n"/>
      <c r="O274" s="93" t="n"/>
      <c r="P274" s="93" t="n"/>
      <c r="Q274" s="93" t="n"/>
      <c r="R274" s="93" t="n"/>
      <c r="S274" s="93" t="n"/>
      <c r="T274" s="93" t="n"/>
      <c r="U274" s="93" t="n"/>
      <c r="V274" s="93" t="n"/>
      <c r="W274" s="93" t="n"/>
      <c r="X274" s="93" t="n"/>
      <c r="Y274" s="93" t="n"/>
      <c r="Z274" s="93" t="n"/>
    </row>
    <row r="275">
      <c r="A275" s="93" t="n"/>
      <c r="B275" s="93" t="n"/>
      <c r="C275" s="93" t="n"/>
      <c r="D275" s="93" t="n"/>
      <c r="E275" s="93" t="n"/>
      <c r="F275" s="93" t="n"/>
      <c r="G275" s="93" t="n"/>
      <c r="H275" s="93" t="n"/>
      <c r="I275" s="93" t="n"/>
      <c r="J275" s="93" t="n"/>
      <c r="K275" s="93" t="n"/>
      <c r="L275" s="93" t="n"/>
      <c r="M275" s="93" t="n"/>
      <c r="N275" s="93" t="n"/>
      <c r="O275" s="93" t="n"/>
      <c r="P275" s="93" t="n"/>
      <c r="Q275" s="93" t="n"/>
      <c r="R275" s="93" t="n"/>
      <c r="S275" s="93" t="n"/>
      <c r="T275" s="93" t="n"/>
      <c r="U275" s="93" t="n"/>
      <c r="V275" s="93" t="n"/>
      <c r="W275" s="93" t="n"/>
      <c r="X275" s="93" t="n"/>
      <c r="Y275" s="93" t="n"/>
      <c r="Z275" s="93" t="n"/>
    </row>
    <row r="276">
      <c r="A276" s="93" t="n"/>
      <c r="B276" s="93" t="n"/>
      <c r="C276" s="93" t="n"/>
      <c r="D276" s="93" t="n"/>
      <c r="E276" s="93" t="n"/>
      <c r="F276" s="93" t="n"/>
      <c r="G276" s="93" t="n"/>
      <c r="H276" s="93" t="n"/>
      <c r="I276" s="93" t="n"/>
      <c r="J276" s="93" t="n"/>
      <c r="K276" s="93" t="n"/>
      <c r="L276" s="93" t="n"/>
      <c r="M276" s="93" t="n"/>
      <c r="N276" s="93" t="n"/>
      <c r="O276" s="93" t="n"/>
      <c r="P276" s="93" t="n"/>
      <c r="Q276" s="93" t="n"/>
      <c r="R276" s="93" t="n"/>
      <c r="S276" s="93" t="n"/>
      <c r="T276" s="93" t="n"/>
      <c r="U276" s="93" t="n"/>
      <c r="V276" s="93" t="n"/>
      <c r="W276" s="93" t="n"/>
      <c r="X276" s="93" t="n"/>
      <c r="Y276" s="93" t="n"/>
      <c r="Z276" s="93" t="n"/>
    </row>
    <row r="277">
      <c r="A277" s="93" t="n"/>
      <c r="B277" s="93" t="n"/>
      <c r="C277" s="93" t="n"/>
      <c r="D277" s="93" t="n"/>
      <c r="E277" s="93" t="n"/>
      <c r="F277" s="93" t="n"/>
      <c r="G277" s="93" t="n"/>
      <c r="H277" s="93" t="n"/>
      <c r="I277" s="93" t="n"/>
      <c r="J277" s="93" t="n"/>
      <c r="K277" s="93" t="n"/>
      <c r="L277" s="93" t="n"/>
      <c r="M277" s="93" t="n"/>
      <c r="N277" s="93" t="n"/>
      <c r="O277" s="93" t="n"/>
      <c r="P277" s="93" t="n"/>
      <c r="Q277" s="93" t="n"/>
      <c r="R277" s="93" t="n"/>
      <c r="S277" s="93" t="n"/>
      <c r="T277" s="93" t="n"/>
      <c r="U277" s="93" t="n"/>
      <c r="V277" s="93" t="n"/>
      <c r="W277" s="93" t="n"/>
      <c r="X277" s="93" t="n"/>
      <c r="Y277" s="93" t="n"/>
      <c r="Z277" s="93" t="n"/>
    </row>
    <row r="278">
      <c r="A278" s="93" t="n"/>
      <c r="B278" s="93" t="n"/>
      <c r="C278" s="93" t="n"/>
      <c r="D278" s="93" t="n"/>
      <c r="E278" s="93" t="n"/>
      <c r="F278" s="93" t="n"/>
      <c r="G278" s="93" t="n"/>
      <c r="H278" s="93" t="n"/>
      <c r="I278" s="93" t="n"/>
      <c r="J278" s="93" t="n"/>
      <c r="K278" s="93" t="n"/>
      <c r="L278" s="93" t="n"/>
      <c r="M278" s="93" t="n"/>
      <c r="N278" s="93" t="n"/>
      <c r="O278" s="93" t="n"/>
      <c r="P278" s="93" t="n"/>
      <c r="Q278" s="93" t="n"/>
      <c r="R278" s="93" t="n"/>
      <c r="S278" s="93" t="n"/>
      <c r="T278" s="93" t="n"/>
      <c r="U278" s="93" t="n"/>
      <c r="V278" s="93" t="n"/>
      <c r="W278" s="93" t="n"/>
      <c r="X278" s="93" t="n"/>
      <c r="Y278" s="93" t="n"/>
      <c r="Z278" s="93" t="n"/>
    </row>
    <row r="279">
      <c r="A279" s="93" t="n"/>
      <c r="B279" s="93" t="n"/>
      <c r="C279" s="93" t="n"/>
      <c r="D279" s="93" t="n"/>
      <c r="E279" s="93" t="n"/>
      <c r="F279" s="93" t="n"/>
      <c r="G279" s="93" t="n"/>
      <c r="H279" s="93" t="n"/>
      <c r="I279" s="93" t="n"/>
      <c r="J279" s="93" t="n"/>
      <c r="K279" s="93" t="n"/>
      <c r="L279" s="93" t="n"/>
      <c r="M279" s="93" t="n"/>
      <c r="N279" s="93" t="n"/>
      <c r="O279" s="93" t="n"/>
      <c r="P279" s="93" t="n"/>
      <c r="Q279" s="93" t="n"/>
      <c r="R279" s="93" t="n"/>
      <c r="S279" s="93" t="n"/>
      <c r="T279" s="93" t="n"/>
      <c r="U279" s="93" t="n"/>
      <c r="V279" s="93" t="n"/>
      <c r="W279" s="93" t="n"/>
      <c r="X279" s="93" t="n"/>
      <c r="Y279" s="93" t="n"/>
      <c r="Z279" s="93" t="n"/>
    </row>
    <row r="280">
      <c r="A280" s="93" t="n"/>
      <c r="B280" s="93" t="n"/>
      <c r="C280" s="93" t="n"/>
      <c r="D280" s="93" t="n"/>
      <c r="E280" s="93" t="n"/>
      <c r="F280" s="93" t="n"/>
      <c r="G280" s="93" t="n"/>
      <c r="H280" s="93" t="n"/>
      <c r="I280" s="93" t="n"/>
      <c r="J280" s="93" t="n"/>
      <c r="K280" s="93" t="n"/>
      <c r="L280" s="93" t="n"/>
      <c r="M280" s="93" t="n"/>
      <c r="N280" s="93" t="n"/>
      <c r="O280" s="93" t="n"/>
      <c r="P280" s="93" t="n"/>
      <c r="Q280" s="93" t="n"/>
      <c r="R280" s="93" t="n"/>
      <c r="S280" s="93" t="n"/>
      <c r="T280" s="93" t="n"/>
      <c r="U280" s="93" t="n"/>
      <c r="V280" s="93" t="n"/>
      <c r="W280" s="93" t="n"/>
      <c r="X280" s="93" t="n"/>
      <c r="Y280" s="93" t="n"/>
      <c r="Z280" s="93" t="n"/>
    </row>
    <row r="281">
      <c r="A281" s="93" t="n"/>
      <c r="B281" s="93" t="n"/>
      <c r="C281" s="93" t="n"/>
      <c r="D281" s="93" t="n"/>
      <c r="E281" s="93" t="n"/>
      <c r="F281" s="93" t="n"/>
      <c r="G281" s="93" t="n"/>
      <c r="H281" s="93" t="n"/>
      <c r="I281" s="93" t="n"/>
      <c r="J281" s="93" t="n"/>
      <c r="K281" s="93" t="n"/>
      <c r="L281" s="93" t="n"/>
      <c r="M281" s="93" t="n"/>
      <c r="N281" s="93" t="n"/>
      <c r="O281" s="93" t="n"/>
      <c r="P281" s="93" t="n"/>
      <c r="Q281" s="93" t="n"/>
      <c r="R281" s="93" t="n"/>
      <c r="S281" s="93" t="n"/>
      <c r="T281" s="93" t="n"/>
      <c r="U281" s="93" t="n"/>
      <c r="V281" s="93" t="n"/>
      <c r="W281" s="93" t="n"/>
      <c r="X281" s="93" t="n"/>
      <c r="Y281" s="93" t="n"/>
      <c r="Z281" s="93" t="n"/>
    </row>
    <row r="282">
      <c r="A282" s="93" t="n"/>
      <c r="B282" s="93" t="n"/>
      <c r="C282" s="93" t="n"/>
      <c r="D282" s="93" t="n"/>
      <c r="E282" s="93" t="n"/>
      <c r="F282" s="93" t="n"/>
      <c r="G282" s="93" t="n"/>
      <c r="H282" s="93" t="n"/>
      <c r="I282" s="93" t="n"/>
      <c r="J282" s="93" t="n"/>
      <c r="K282" s="93" t="n"/>
      <c r="L282" s="93" t="n"/>
      <c r="M282" s="93" t="n"/>
      <c r="N282" s="93" t="n"/>
      <c r="O282" s="93" t="n"/>
      <c r="P282" s="93" t="n"/>
      <c r="Q282" s="93" t="n"/>
      <c r="R282" s="93" t="n"/>
      <c r="S282" s="93" t="n"/>
      <c r="T282" s="93" t="n"/>
      <c r="U282" s="93" t="n"/>
      <c r="V282" s="93" t="n"/>
      <c r="W282" s="93" t="n"/>
      <c r="X282" s="93" t="n"/>
      <c r="Y282" s="93" t="n"/>
      <c r="Z282" s="93" t="n"/>
    </row>
    <row r="283">
      <c r="A283" s="93" t="n"/>
      <c r="B283" s="93" t="n"/>
      <c r="C283" s="93" t="n"/>
      <c r="D283" s="93" t="n"/>
      <c r="E283" s="93" t="n"/>
      <c r="F283" s="93" t="n"/>
      <c r="G283" s="93" t="n"/>
      <c r="H283" s="93" t="n"/>
      <c r="I283" s="93" t="n"/>
      <c r="J283" s="93" t="n"/>
      <c r="K283" s="93" t="n"/>
      <c r="L283" s="93" t="n"/>
      <c r="M283" s="93" t="n"/>
      <c r="N283" s="93" t="n"/>
      <c r="O283" s="93" t="n"/>
      <c r="P283" s="93" t="n"/>
      <c r="Q283" s="93" t="n"/>
      <c r="R283" s="93" t="n"/>
      <c r="S283" s="93" t="n"/>
      <c r="T283" s="93" t="n"/>
      <c r="U283" s="93" t="n"/>
      <c r="V283" s="93" t="n"/>
      <c r="W283" s="93" t="n"/>
      <c r="X283" s="93" t="n"/>
      <c r="Y283" s="93" t="n"/>
      <c r="Z283" s="93" t="n"/>
    </row>
    <row r="284">
      <c r="A284" s="93" t="n"/>
      <c r="B284" s="93" t="n"/>
      <c r="C284" s="93" t="n"/>
      <c r="D284" s="93" t="n"/>
      <c r="E284" s="93" t="n"/>
      <c r="F284" s="93" t="n"/>
      <c r="G284" s="93" t="n"/>
      <c r="H284" s="93" t="n"/>
      <c r="I284" s="93" t="n"/>
      <c r="J284" s="93" t="n"/>
      <c r="K284" s="93" t="n"/>
      <c r="L284" s="93" t="n"/>
      <c r="M284" s="93" t="n"/>
      <c r="N284" s="93" t="n"/>
      <c r="O284" s="93" t="n"/>
      <c r="P284" s="93" t="n"/>
      <c r="Q284" s="93" t="n"/>
      <c r="R284" s="93" t="n"/>
      <c r="S284" s="93" t="n"/>
      <c r="T284" s="93" t="n"/>
      <c r="U284" s="93" t="n"/>
      <c r="V284" s="93" t="n"/>
      <c r="W284" s="93" t="n"/>
      <c r="X284" s="93" t="n"/>
      <c r="Y284" s="93" t="n"/>
      <c r="Z284" s="93" t="n"/>
    </row>
    <row r="285">
      <c r="A285" s="93" t="n"/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93" t="n"/>
      <c r="K285" s="93" t="n"/>
      <c r="L285" s="93" t="n"/>
      <c r="M285" s="93" t="n"/>
      <c r="N285" s="93" t="n"/>
      <c r="O285" s="93" t="n"/>
      <c r="P285" s="93" t="n"/>
      <c r="Q285" s="93" t="n"/>
      <c r="R285" s="93" t="n"/>
      <c r="S285" s="93" t="n"/>
      <c r="T285" s="93" t="n"/>
      <c r="U285" s="93" t="n"/>
      <c r="V285" s="93" t="n"/>
      <c r="W285" s="93" t="n"/>
      <c r="X285" s="93" t="n"/>
      <c r="Y285" s="93" t="n"/>
      <c r="Z285" s="93" t="n"/>
    </row>
    <row r="286">
      <c r="A286" s="93" t="n"/>
      <c r="B286" s="93" t="n"/>
      <c r="C286" s="93" t="n"/>
      <c r="D286" s="93" t="n"/>
      <c r="E286" s="93" t="n"/>
      <c r="F286" s="93" t="n"/>
      <c r="G286" s="93" t="n"/>
      <c r="H286" s="93" t="n"/>
      <c r="I286" s="93" t="n"/>
      <c r="J286" s="93" t="n"/>
      <c r="K286" s="93" t="n"/>
      <c r="L286" s="93" t="n"/>
      <c r="M286" s="93" t="n"/>
      <c r="N286" s="93" t="n"/>
      <c r="O286" s="93" t="n"/>
      <c r="P286" s="93" t="n"/>
      <c r="Q286" s="93" t="n"/>
      <c r="R286" s="93" t="n"/>
      <c r="S286" s="93" t="n"/>
      <c r="T286" s="93" t="n"/>
      <c r="U286" s="93" t="n"/>
      <c r="V286" s="93" t="n"/>
      <c r="W286" s="93" t="n"/>
      <c r="X286" s="93" t="n"/>
      <c r="Y286" s="93" t="n"/>
      <c r="Z286" s="93" t="n"/>
    </row>
    <row r="287">
      <c r="A287" s="93" t="n"/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93" t="n"/>
      <c r="K287" s="93" t="n"/>
      <c r="L287" s="93" t="n"/>
      <c r="M287" s="93" t="n"/>
      <c r="N287" s="93" t="n"/>
      <c r="O287" s="93" t="n"/>
      <c r="P287" s="93" t="n"/>
      <c r="Q287" s="93" t="n"/>
      <c r="R287" s="93" t="n"/>
      <c r="S287" s="93" t="n"/>
      <c r="T287" s="93" t="n"/>
      <c r="U287" s="93" t="n"/>
      <c r="V287" s="93" t="n"/>
      <c r="W287" s="93" t="n"/>
      <c r="X287" s="93" t="n"/>
      <c r="Y287" s="93" t="n"/>
      <c r="Z287" s="93" t="n"/>
    </row>
    <row r="288">
      <c r="A288" s="93" t="n"/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93" t="n"/>
      <c r="K288" s="93" t="n"/>
      <c r="L288" s="93" t="n"/>
      <c r="M288" s="93" t="n"/>
      <c r="N288" s="93" t="n"/>
      <c r="O288" s="93" t="n"/>
      <c r="P288" s="93" t="n"/>
      <c r="Q288" s="93" t="n"/>
      <c r="R288" s="93" t="n"/>
      <c r="S288" s="93" t="n"/>
      <c r="T288" s="93" t="n"/>
      <c r="U288" s="93" t="n"/>
      <c r="V288" s="93" t="n"/>
      <c r="W288" s="93" t="n"/>
      <c r="X288" s="93" t="n"/>
      <c r="Y288" s="93" t="n"/>
      <c r="Z288" s="93" t="n"/>
    </row>
    <row r="289">
      <c r="A289" s="93" t="n"/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93" t="n"/>
      <c r="K289" s="93" t="n"/>
      <c r="L289" s="93" t="n"/>
      <c r="M289" s="93" t="n"/>
      <c r="N289" s="93" t="n"/>
      <c r="O289" s="93" t="n"/>
      <c r="P289" s="93" t="n"/>
      <c r="Q289" s="93" t="n"/>
      <c r="R289" s="93" t="n"/>
      <c r="S289" s="93" t="n"/>
      <c r="T289" s="93" t="n"/>
      <c r="U289" s="93" t="n"/>
      <c r="V289" s="93" t="n"/>
      <c r="W289" s="93" t="n"/>
      <c r="X289" s="93" t="n"/>
      <c r="Y289" s="93" t="n"/>
      <c r="Z289" s="93" t="n"/>
    </row>
    <row r="290">
      <c r="A290" s="93" t="n"/>
      <c r="B290" s="93" t="n"/>
      <c r="C290" s="93" t="n"/>
      <c r="D290" s="93" t="n"/>
      <c r="E290" s="93" t="n"/>
      <c r="F290" s="93" t="n"/>
      <c r="G290" s="93" t="n"/>
      <c r="H290" s="93" t="n"/>
      <c r="I290" s="93" t="n"/>
      <c r="J290" s="93" t="n"/>
      <c r="K290" s="93" t="n"/>
      <c r="L290" s="93" t="n"/>
      <c r="M290" s="93" t="n"/>
      <c r="N290" s="93" t="n"/>
      <c r="O290" s="93" t="n"/>
      <c r="P290" s="93" t="n"/>
      <c r="Q290" s="93" t="n"/>
      <c r="R290" s="93" t="n"/>
      <c r="S290" s="93" t="n"/>
      <c r="T290" s="93" t="n"/>
      <c r="U290" s="93" t="n"/>
      <c r="V290" s="93" t="n"/>
      <c r="W290" s="93" t="n"/>
      <c r="X290" s="93" t="n"/>
      <c r="Y290" s="93" t="n"/>
      <c r="Z290" s="93" t="n"/>
    </row>
    <row r="291">
      <c r="A291" s="93" t="n"/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93" t="n"/>
      <c r="K291" s="93" t="n"/>
      <c r="L291" s="93" t="n"/>
      <c r="M291" s="93" t="n"/>
      <c r="N291" s="93" t="n"/>
      <c r="O291" s="93" t="n"/>
      <c r="P291" s="93" t="n"/>
      <c r="Q291" s="93" t="n"/>
      <c r="R291" s="93" t="n"/>
      <c r="S291" s="93" t="n"/>
      <c r="T291" s="93" t="n"/>
      <c r="U291" s="93" t="n"/>
      <c r="V291" s="93" t="n"/>
      <c r="W291" s="93" t="n"/>
      <c r="X291" s="93" t="n"/>
      <c r="Y291" s="93" t="n"/>
      <c r="Z291" s="93" t="n"/>
    </row>
    <row r="292">
      <c r="A292" s="93" t="n"/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93" t="n"/>
      <c r="K292" s="93" t="n"/>
      <c r="L292" s="93" t="n"/>
      <c r="M292" s="93" t="n"/>
      <c r="N292" s="93" t="n"/>
      <c r="O292" s="93" t="n"/>
      <c r="P292" s="93" t="n"/>
      <c r="Q292" s="93" t="n"/>
      <c r="R292" s="93" t="n"/>
      <c r="S292" s="93" t="n"/>
      <c r="T292" s="93" t="n"/>
      <c r="U292" s="93" t="n"/>
      <c r="V292" s="93" t="n"/>
      <c r="W292" s="93" t="n"/>
      <c r="X292" s="93" t="n"/>
      <c r="Y292" s="93" t="n"/>
      <c r="Z292" s="93" t="n"/>
    </row>
    <row r="293">
      <c r="A293" s="93" t="n"/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93" t="n"/>
      <c r="K293" s="93" t="n"/>
      <c r="L293" s="93" t="n"/>
      <c r="M293" s="93" t="n"/>
      <c r="N293" s="93" t="n"/>
      <c r="O293" s="93" t="n"/>
      <c r="P293" s="93" t="n"/>
      <c r="Q293" s="93" t="n"/>
      <c r="R293" s="93" t="n"/>
      <c r="S293" s="93" t="n"/>
      <c r="T293" s="93" t="n"/>
      <c r="U293" s="93" t="n"/>
      <c r="V293" s="93" t="n"/>
      <c r="W293" s="93" t="n"/>
      <c r="X293" s="93" t="n"/>
      <c r="Y293" s="93" t="n"/>
      <c r="Z293" s="93" t="n"/>
    </row>
    <row r="294">
      <c r="A294" s="93" t="n"/>
      <c r="B294" s="93" t="n"/>
      <c r="C294" s="93" t="n"/>
      <c r="D294" s="93" t="n"/>
      <c r="E294" s="93" t="n"/>
      <c r="F294" s="93" t="n"/>
      <c r="G294" s="93" t="n"/>
      <c r="H294" s="93" t="n"/>
      <c r="I294" s="93" t="n"/>
      <c r="J294" s="93" t="n"/>
      <c r="K294" s="93" t="n"/>
      <c r="L294" s="93" t="n"/>
      <c r="M294" s="93" t="n"/>
      <c r="N294" s="93" t="n"/>
      <c r="O294" s="93" t="n"/>
      <c r="P294" s="93" t="n"/>
      <c r="Q294" s="93" t="n"/>
      <c r="R294" s="93" t="n"/>
      <c r="S294" s="93" t="n"/>
      <c r="T294" s="93" t="n"/>
      <c r="U294" s="93" t="n"/>
      <c r="V294" s="93" t="n"/>
      <c r="W294" s="93" t="n"/>
      <c r="X294" s="93" t="n"/>
      <c r="Y294" s="93" t="n"/>
      <c r="Z294" s="93" t="n"/>
    </row>
    <row r="295">
      <c r="A295" s="93" t="n"/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93" t="n"/>
      <c r="K295" s="93" t="n"/>
      <c r="L295" s="93" t="n"/>
      <c r="M295" s="93" t="n"/>
      <c r="N295" s="93" t="n"/>
      <c r="O295" s="93" t="n"/>
      <c r="P295" s="93" t="n"/>
      <c r="Q295" s="93" t="n"/>
      <c r="R295" s="93" t="n"/>
      <c r="S295" s="93" t="n"/>
      <c r="T295" s="93" t="n"/>
      <c r="U295" s="93" t="n"/>
      <c r="V295" s="93" t="n"/>
      <c r="W295" s="93" t="n"/>
      <c r="X295" s="93" t="n"/>
      <c r="Y295" s="93" t="n"/>
      <c r="Z295" s="93" t="n"/>
    </row>
    <row r="296">
      <c r="A296" s="93" t="n"/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93" t="n"/>
      <c r="K296" s="93" t="n"/>
      <c r="L296" s="93" t="n"/>
      <c r="M296" s="93" t="n"/>
      <c r="N296" s="93" t="n"/>
      <c r="O296" s="93" t="n"/>
      <c r="P296" s="93" t="n"/>
      <c r="Q296" s="93" t="n"/>
      <c r="R296" s="93" t="n"/>
      <c r="S296" s="93" t="n"/>
      <c r="T296" s="93" t="n"/>
      <c r="U296" s="93" t="n"/>
      <c r="V296" s="93" t="n"/>
      <c r="W296" s="93" t="n"/>
      <c r="X296" s="93" t="n"/>
      <c r="Y296" s="93" t="n"/>
      <c r="Z296" s="93" t="n"/>
    </row>
    <row r="297">
      <c r="A297" s="93" t="n"/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93" t="n"/>
      <c r="K297" s="93" t="n"/>
      <c r="L297" s="93" t="n"/>
      <c r="M297" s="93" t="n"/>
      <c r="N297" s="93" t="n"/>
      <c r="O297" s="93" t="n"/>
      <c r="P297" s="93" t="n"/>
      <c r="Q297" s="93" t="n"/>
      <c r="R297" s="93" t="n"/>
      <c r="S297" s="93" t="n"/>
      <c r="T297" s="93" t="n"/>
      <c r="U297" s="93" t="n"/>
      <c r="V297" s="93" t="n"/>
      <c r="W297" s="93" t="n"/>
      <c r="X297" s="93" t="n"/>
      <c r="Y297" s="93" t="n"/>
      <c r="Z297" s="93" t="n"/>
    </row>
    <row r="298">
      <c r="A298" s="93" t="n"/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93" t="n"/>
      <c r="K298" s="93" t="n"/>
      <c r="L298" s="93" t="n"/>
      <c r="M298" s="93" t="n"/>
      <c r="N298" s="93" t="n"/>
      <c r="O298" s="93" t="n"/>
      <c r="P298" s="93" t="n"/>
      <c r="Q298" s="93" t="n"/>
      <c r="R298" s="93" t="n"/>
      <c r="S298" s="93" t="n"/>
      <c r="T298" s="93" t="n"/>
      <c r="U298" s="93" t="n"/>
      <c r="V298" s="93" t="n"/>
      <c r="W298" s="93" t="n"/>
      <c r="X298" s="93" t="n"/>
      <c r="Y298" s="93" t="n"/>
      <c r="Z298" s="93" t="n"/>
    </row>
    <row r="299">
      <c r="A299" s="93" t="n"/>
      <c r="B299" s="93" t="n"/>
      <c r="C299" s="93" t="n"/>
      <c r="D299" s="93" t="n"/>
      <c r="E299" s="93" t="n"/>
      <c r="F299" s="93" t="n"/>
      <c r="G299" s="93" t="n"/>
      <c r="H299" s="93" t="n"/>
      <c r="I299" s="93" t="n"/>
      <c r="J299" s="93" t="n"/>
      <c r="K299" s="93" t="n"/>
      <c r="L299" s="93" t="n"/>
      <c r="M299" s="93" t="n"/>
      <c r="N299" s="93" t="n"/>
      <c r="O299" s="93" t="n"/>
      <c r="P299" s="93" t="n"/>
      <c r="Q299" s="93" t="n"/>
      <c r="R299" s="93" t="n"/>
      <c r="S299" s="93" t="n"/>
      <c r="T299" s="93" t="n"/>
      <c r="U299" s="93" t="n"/>
      <c r="V299" s="93" t="n"/>
      <c r="W299" s="93" t="n"/>
      <c r="X299" s="93" t="n"/>
      <c r="Y299" s="93" t="n"/>
      <c r="Z299" s="93" t="n"/>
    </row>
    <row r="300">
      <c r="A300" s="93" t="n"/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93" t="n"/>
      <c r="K300" s="93" t="n"/>
      <c r="L300" s="93" t="n"/>
      <c r="M300" s="93" t="n"/>
      <c r="N300" s="93" t="n"/>
      <c r="O300" s="93" t="n"/>
      <c r="P300" s="93" t="n"/>
      <c r="Q300" s="93" t="n"/>
      <c r="R300" s="93" t="n"/>
      <c r="S300" s="93" t="n"/>
      <c r="T300" s="93" t="n"/>
      <c r="U300" s="93" t="n"/>
      <c r="V300" s="93" t="n"/>
      <c r="W300" s="93" t="n"/>
      <c r="X300" s="93" t="n"/>
      <c r="Y300" s="93" t="n"/>
      <c r="Z300" s="93" t="n"/>
    </row>
    <row r="301">
      <c r="A301" s="93" t="n"/>
      <c r="B301" s="93" t="n"/>
      <c r="C301" s="93" t="n"/>
      <c r="D301" s="93" t="n"/>
      <c r="E301" s="93" t="n"/>
      <c r="F301" s="93" t="n"/>
      <c r="G301" s="93" t="n"/>
      <c r="H301" s="93" t="n"/>
      <c r="I301" s="93" t="n"/>
      <c r="J301" s="93" t="n"/>
      <c r="K301" s="93" t="n"/>
      <c r="L301" s="93" t="n"/>
      <c r="M301" s="93" t="n"/>
      <c r="N301" s="93" t="n"/>
      <c r="O301" s="93" t="n"/>
      <c r="P301" s="93" t="n"/>
      <c r="Q301" s="93" t="n"/>
      <c r="R301" s="93" t="n"/>
      <c r="S301" s="93" t="n"/>
      <c r="T301" s="93" t="n"/>
      <c r="U301" s="93" t="n"/>
      <c r="V301" s="93" t="n"/>
      <c r="W301" s="93" t="n"/>
      <c r="X301" s="93" t="n"/>
      <c r="Y301" s="93" t="n"/>
      <c r="Z301" s="93" t="n"/>
    </row>
    <row r="302">
      <c r="A302" s="93" t="n"/>
      <c r="B302" s="93" t="n"/>
      <c r="C302" s="93" t="n"/>
      <c r="D302" s="93" t="n"/>
      <c r="E302" s="93" t="n"/>
      <c r="F302" s="93" t="n"/>
      <c r="G302" s="93" t="n"/>
      <c r="H302" s="93" t="n"/>
      <c r="I302" s="93" t="n"/>
      <c r="J302" s="93" t="n"/>
      <c r="K302" s="93" t="n"/>
      <c r="L302" s="93" t="n"/>
      <c r="M302" s="93" t="n"/>
      <c r="N302" s="93" t="n"/>
      <c r="O302" s="93" t="n"/>
      <c r="P302" s="93" t="n"/>
      <c r="Q302" s="93" t="n"/>
      <c r="R302" s="93" t="n"/>
      <c r="S302" s="93" t="n"/>
      <c r="T302" s="93" t="n"/>
      <c r="U302" s="93" t="n"/>
      <c r="V302" s="93" t="n"/>
      <c r="W302" s="93" t="n"/>
      <c r="X302" s="93" t="n"/>
      <c r="Y302" s="93" t="n"/>
      <c r="Z302" s="93" t="n"/>
    </row>
    <row r="303">
      <c r="A303" s="93" t="n"/>
      <c r="B303" s="93" t="n"/>
      <c r="C303" s="93" t="n"/>
      <c r="D303" s="93" t="n"/>
      <c r="E303" s="93" t="n"/>
      <c r="F303" s="93" t="n"/>
      <c r="G303" s="93" t="n"/>
      <c r="H303" s="93" t="n"/>
      <c r="I303" s="93" t="n"/>
      <c r="J303" s="93" t="n"/>
      <c r="K303" s="93" t="n"/>
      <c r="L303" s="93" t="n"/>
      <c r="M303" s="93" t="n"/>
      <c r="N303" s="93" t="n"/>
      <c r="O303" s="93" t="n"/>
      <c r="P303" s="93" t="n"/>
      <c r="Q303" s="93" t="n"/>
      <c r="R303" s="93" t="n"/>
      <c r="S303" s="93" t="n"/>
      <c r="T303" s="93" t="n"/>
      <c r="U303" s="93" t="n"/>
      <c r="V303" s="93" t="n"/>
      <c r="W303" s="93" t="n"/>
      <c r="X303" s="93" t="n"/>
      <c r="Y303" s="93" t="n"/>
      <c r="Z303" s="93" t="n"/>
    </row>
    <row r="304">
      <c r="A304" s="93" t="n"/>
      <c r="B304" s="93" t="n"/>
      <c r="C304" s="93" t="n"/>
      <c r="D304" s="93" t="n"/>
      <c r="E304" s="93" t="n"/>
      <c r="F304" s="93" t="n"/>
      <c r="G304" s="93" t="n"/>
      <c r="H304" s="93" t="n"/>
      <c r="I304" s="93" t="n"/>
      <c r="J304" s="93" t="n"/>
      <c r="K304" s="93" t="n"/>
      <c r="L304" s="93" t="n"/>
      <c r="M304" s="93" t="n"/>
      <c r="N304" s="93" t="n"/>
      <c r="O304" s="93" t="n"/>
      <c r="P304" s="93" t="n"/>
      <c r="Q304" s="93" t="n"/>
      <c r="R304" s="93" t="n"/>
      <c r="S304" s="93" t="n"/>
      <c r="T304" s="93" t="n"/>
      <c r="U304" s="93" t="n"/>
      <c r="V304" s="93" t="n"/>
      <c r="W304" s="93" t="n"/>
      <c r="X304" s="93" t="n"/>
      <c r="Y304" s="93" t="n"/>
      <c r="Z304" s="93" t="n"/>
    </row>
    <row r="305">
      <c r="A305" s="93" t="n"/>
      <c r="B305" s="93" t="n"/>
      <c r="C305" s="93" t="n"/>
      <c r="D305" s="93" t="n"/>
      <c r="E305" s="93" t="n"/>
      <c r="F305" s="93" t="n"/>
      <c r="G305" s="93" t="n"/>
      <c r="H305" s="93" t="n"/>
      <c r="I305" s="93" t="n"/>
      <c r="J305" s="93" t="n"/>
      <c r="K305" s="93" t="n"/>
      <c r="L305" s="93" t="n"/>
      <c r="M305" s="93" t="n"/>
      <c r="N305" s="93" t="n"/>
      <c r="O305" s="93" t="n"/>
      <c r="P305" s="93" t="n"/>
      <c r="Q305" s="93" t="n"/>
      <c r="R305" s="93" t="n"/>
      <c r="S305" s="93" t="n"/>
      <c r="T305" s="93" t="n"/>
      <c r="U305" s="93" t="n"/>
      <c r="V305" s="93" t="n"/>
      <c r="W305" s="93" t="n"/>
      <c r="X305" s="93" t="n"/>
      <c r="Y305" s="93" t="n"/>
      <c r="Z305" s="93" t="n"/>
    </row>
    <row r="306">
      <c r="A306" s="93" t="n"/>
      <c r="B306" s="93" t="n"/>
      <c r="C306" s="93" t="n"/>
      <c r="D306" s="93" t="n"/>
      <c r="E306" s="93" t="n"/>
      <c r="F306" s="93" t="n"/>
      <c r="G306" s="93" t="n"/>
      <c r="H306" s="93" t="n"/>
      <c r="I306" s="93" t="n"/>
      <c r="J306" s="93" t="n"/>
      <c r="K306" s="93" t="n"/>
      <c r="L306" s="93" t="n"/>
      <c r="M306" s="93" t="n"/>
      <c r="N306" s="93" t="n"/>
      <c r="O306" s="93" t="n"/>
      <c r="P306" s="93" t="n"/>
      <c r="Q306" s="93" t="n"/>
      <c r="R306" s="93" t="n"/>
      <c r="S306" s="93" t="n"/>
      <c r="T306" s="93" t="n"/>
      <c r="U306" s="93" t="n"/>
      <c r="V306" s="93" t="n"/>
      <c r="W306" s="93" t="n"/>
      <c r="X306" s="93" t="n"/>
      <c r="Y306" s="93" t="n"/>
      <c r="Z306" s="93" t="n"/>
    </row>
    <row r="307">
      <c r="A307" s="93" t="n"/>
      <c r="B307" s="93" t="n"/>
      <c r="C307" s="93" t="n"/>
      <c r="D307" s="93" t="n"/>
      <c r="E307" s="93" t="n"/>
      <c r="F307" s="93" t="n"/>
      <c r="G307" s="93" t="n"/>
      <c r="H307" s="93" t="n"/>
      <c r="I307" s="93" t="n"/>
      <c r="J307" s="93" t="n"/>
      <c r="K307" s="93" t="n"/>
      <c r="L307" s="93" t="n"/>
      <c r="M307" s="93" t="n"/>
      <c r="N307" s="93" t="n"/>
      <c r="O307" s="93" t="n"/>
      <c r="P307" s="93" t="n"/>
      <c r="Q307" s="93" t="n"/>
      <c r="R307" s="93" t="n"/>
      <c r="S307" s="93" t="n"/>
      <c r="T307" s="93" t="n"/>
      <c r="U307" s="93" t="n"/>
      <c r="V307" s="93" t="n"/>
      <c r="W307" s="93" t="n"/>
      <c r="X307" s="93" t="n"/>
      <c r="Y307" s="93" t="n"/>
      <c r="Z307" s="93" t="n"/>
    </row>
    <row r="308">
      <c r="A308" s="93" t="n"/>
      <c r="B308" s="93" t="n"/>
      <c r="C308" s="93" t="n"/>
      <c r="D308" s="93" t="n"/>
      <c r="E308" s="93" t="n"/>
      <c r="F308" s="93" t="n"/>
      <c r="G308" s="93" t="n"/>
      <c r="H308" s="93" t="n"/>
      <c r="I308" s="93" t="n"/>
      <c r="J308" s="93" t="n"/>
      <c r="K308" s="93" t="n"/>
      <c r="L308" s="93" t="n"/>
      <c r="M308" s="93" t="n"/>
      <c r="N308" s="93" t="n"/>
      <c r="O308" s="93" t="n"/>
      <c r="P308" s="93" t="n"/>
      <c r="Q308" s="93" t="n"/>
      <c r="R308" s="93" t="n"/>
      <c r="S308" s="93" t="n"/>
      <c r="T308" s="93" t="n"/>
      <c r="U308" s="93" t="n"/>
      <c r="V308" s="93" t="n"/>
      <c r="W308" s="93" t="n"/>
      <c r="X308" s="93" t="n"/>
      <c r="Y308" s="93" t="n"/>
      <c r="Z308" s="93" t="n"/>
    </row>
    <row r="309">
      <c r="A309" s="93" t="n"/>
      <c r="B309" s="93" t="n"/>
      <c r="C309" s="93" t="n"/>
      <c r="D309" s="93" t="n"/>
      <c r="E309" s="93" t="n"/>
      <c r="F309" s="93" t="n"/>
      <c r="G309" s="93" t="n"/>
      <c r="H309" s="93" t="n"/>
      <c r="I309" s="93" t="n"/>
      <c r="J309" s="93" t="n"/>
      <c r="K309" s="93" t="n"/>
      <c r="L309" s="93" t="n"/>
      <c r="M309" s="93" t="n"/>
      <c r="N309" s="93" t="n"/>
      <c r="O309" s="93" t="n"/>
      <c r="P309" s="93" t="n"/>
      <c r="Q309" s="93" t="n"/>
      <c r="R309" s="93" t="n"/>
      <c r="S309" s="93" t="n"/>
      <c r="T309" s="93" t="n"/>
      <c r="U309" s="93" t="n"/>
      <c r="V309" s="93" t="n"/>
      <c r="W309" s="93" t="n"/>
      <c r="X309" s="93" t="n"/>
      <c r="Y309" s="93" t="n"/>
      <c r="Z309" s="93" t="n"/>
    </row>
    <row r="310">
      <c r="A310" s="93" t="n"/>
      <c r="B310" s="93" t="n"/>
      <c r="C310" s="93" t="n"/>
      <c r="D310" s="93" t="n"/>
      <c r="E310" s="93" t="n"/>
      <c r="F310" s="93" t="n"/>
      <c r="G310" s="93" t="n"/>
      <c r="H310" s="93" t="n"/>
      <c r="I310" s="93" t="n"/>
      <c r="J310" s="93" t="n"/>
      <c r="K310" s="93" t="n"/>
      <c r="L310" s="93" t="n"/>
      <c r="M310" s="93" t="n"/>
      <c r="N310" s="93" t="n"/>
      <c r="O310" s="93" t="n"/>
      <c r="P310" s="93" t="n"/>
      <c r="Q310" s="93" t="n"/>
      <c r="R310" s="93" t="n"/>
      <c r="S310" s="93" t="n"/>
      <c r="T310" s="93" t="n"/>
      <c r="U310" s="93" t="n"/>
      <c r="V310" s="93" t="n"/>
      <c r="W310" s="93" t="n"/>
      <c r="X310" s="93" t="n"/>
      <c r="Y310" s="93" t="n"/>
      <c r="Z310" s="93" t="n"/>
    </row>
    <row r="311">
      <c r="A311" s="93" t="n"/>
      <c r="B311" s="93" t="n"/>
      <c r="C311" s="93" t="n"/>
      <c r="D311" s="93" t="n"/>
      <c r="E311" s="93" t="n"/>
      <c r="F311" s="93" t="n"/>
      <c r="G311" s="93" t="n"/>
      <c r="H311" s="93" t="n"/>
      <c r="I311" s="93" t="n"/>
      <c r="J311" s="93" t="n"/>
      <c r="K311" s="93" t="n"/>
      <c r="L311" s="93" t="n"/>
      <c r="M311" s="93" t="n"/>
      <c r="N311" s="93" t="n"/>
      <c r="O311" s="93" t="n"/>
      <c r="P311" s="93" t="n"/>
      <c r="Q311" s="93" t="n"/>
      <c r="R311" s="93" t="n"/>
      <c r="S311" s="93" t="n"/>
      <c r="T311" s="93" t="n"/>
      <c r="U311" s="93" t="n"/>
      <c r="V311" s="93" t="n"/>
      <c r="W311" s="93" t="n"/>
      <c r="X311" s="93" t="n"/>
      <c r="Y311" s="93" t="n"/>
      <c r="Z311" s="93" t="n"/>
    </row>
    <row r="312">
      <c r="A312" s="93" t="n"/>
      <c r="B312" s="93" t="n"/>
      <c r="C312" s="93" t="n"/>
      <c r="D312" s="93" t="n"/>
      <c r="E312" s="93" t="n"/>
      <c r="F312" s="93" t="n"/>
      <c r="G312" s="93" t="n"/>
      <c r="H312" s="93" t="n"/>
      <c r="I312" s="93" t="n"/>
      <c r="J312" s="93" t="n"/>
      <c r="K312" s="93" t="n"/>
      <c r="L312" s="93" t="n"/>
      <c r="M312" s="93" t="n"/>
      <c r="N312" s="93" t="n"/>
      <c r="O312" s="93" t="n"/>
      <c r="P312" s="93" t="n"/>
      <c r="Q312" s="93" t="n"/>
      <c r="R312" s="93" t="n"/>
      <c r="S312" s="93" t="n"/>
      <c r="T312" s="93" t="n"/>
      <c r="U312" s="93" t="n"/>
      <c r="V312" s="93" t="n"/>
      <c r="W312" s="93" t="n"/>
      <c r="X312" s="93" t="n"/>
      <c r="Y312" s="93" t="n"/>
      <c r="Z312" s="93" t="n"/>
    </row>
    <row r="313">
      <c r="A313" s="93" t="n"/>
      <c r="B313" s="93" t="n"/>
      <c r="C313" s="93" t="n"/>
      <c r="D313" s="93" t="n"/>
      <c r="E313" s="93" t="n"/>
      <c r="F313" s="93" t="n"/>
      <c r="G313" s="93" t="n"/>
      <c r="H313" s="93" t="n"/>
      <c r="I313" s="93" t="n"/>
      <c r="J313" s="93" t="n"/>
      <c r="K313" s="93" t="n"/>
      <c r="L313" s="93" t="n"/>
      <c r="M313" s="93" t="n"/>
      <c r="N313" s="93" t="n"/>
      <c r="O313" s="93" t="n"/>
      <c r="P313" s="93" t="n"/>
      <c r="Q313" s="93" t="n"/>
      <c r="R313" s="93" t="n"/>
      <c r="S313" s="93" t="n"/>
      <c r="T313" s="93" t="n"/>
      <c r="U313" s="93" t="n"/>
      <c r="V313" s="93" t="n"/>
      <c r="W313" s="93" t="n"/>
      <c r="X313" s="93" t="n"/>
      <c r="Y313" s="93" t="n"/>
      <c r="Z313" s="93" t="n"/>
    </row>
    <row r="314">
      <c r="A314" s="93" t="n"/>
      <c r="B314" s="93" t="n"/>
      <c r="C314" s="93" t="n"/>
      <c r="D314" s="93" t="n"/>
      <c r="E314" s="93" t="n"/>
      <c r="F314" s="93" t="n"/>
      <c r="G314" s="93" t="n"/>
      <c r="H314" s="93" t="n"/>
      <c r="I314" s="93" t="n"/>
      <c r="J314" s="93" t="n"/>
      <c r="K314" s="93" t="n"/>
      <c r="L314" s="93" t="n"/>
      <c r="M314" s="93" t="n"/>
      <c r="N314" s="93" t="n"/>
      <c r="O314" s="93" t="n"/>
      <c r="P314" s="93" t="n"/>
      <c r="Q314" s="93" t="n"/>
      <c r="R314" s="93" t="n"/>
      <c r="S314" s="93" t="n"/>
      <c r="T314" s="93" t="n"/>
      <c r="U314" s="93" t="n"/>
      <c r="V314" s="93" t="n"/>
      <c r="W314" s="93" t="n"/>
      <c r="X314" s="93" t="n"/>
      <c r="Y314" s="93" t="n"/>
      <c r="Z314" s="93" t="n"/>
    </row>
    <row r="315">
      <c r="A315" s="93" t="n"/>
      <c r="B315" s="93" t="n"/>
      <c r="C315" s="93" t="n"/>
      <c r="D315" s="93" t="n"/>
      <c r="E315" s="93" t="n"/>
      <c r="F315" s="93" t="n"/>
      <c r="G315" s="93" t="n"/>
      <c r="H315" s="93" t="n"/>
      <c r="I315" s="93" t="n"/>
      <c r="J315" s="93" t="n"/>
      <c r="K315" s="93" t="n"/>
      <c r="L315" s="93" t="n"/>
      <c r="M315" s="93" t="n"/>
      <c r="N315" s="93" t="n"/>
      <c r="O315" s="93" t="n"/>
      <c r="P315" s="93" t="n"/>
      <c r="Q315" s="93" t="n"/>
      <c r="R315" s="93" t="n"/>
      <c r="S315" s="93" t="n"/>
      <c r="T315" s="93" t="n"/>
      <c r="U315" s="93" t="n"/>
      <c r="V315" s="93" t="n"/>
      <c r="W315" s="93" t="n"/>
      <c r="X315" s="93" t="n"/>
      <c r="Y315" s="93" t="n"/>
      <c r="Z315" s="93" t="n"/>
    </row>
    <row r="316">
      <c r="A316" s="93" t="n"/>
      <c r="B316" s="93" t="n"/>
      <c r="C316" s="93" t="n"/>
      <c r="D316" s="93" t="n"/>
      <c r="E316" s="93" t="n"/>
      <c r="F316" s="93" t="n"/>
      <c r="G316" s="93" t="n"/>
      <c r="H316" s="93" t="n"/>
      <c r="I316" s="93" t="n"/>
      <c r="J316" s="93" t="n"/>
      <c r="K316" s="93" t="n"/>
      <c r="L316" s="93" t="n"/>
      <c r="M316" s="93" t="n"/>
      <c r="N316" s="93" t="n"/>
      <c r="O316" s="93" t="n"/>
      <c r="P316" s="93" t="n"/>
      <c r="Q316" s="93" t="n"/>
      <c r="R316" s="93" t="n"/>
      <c r="S316" s="93" t="n"/>
      <c r="T316" s="93" t="n"/>
      <c r="U316" s="93" t="n"/>
      <c r="V316" s="93" t="n"/>
      <c r="W316" s="93" t="n"/>
      <c r="X316" s="93" t="n"/>
      <c r="Y316" s="93" t="n"/>
      <c r="Z316" s="93" t="n"/>
    </row>
    <row r="317">
      <c r="A317" s="93" t="n"/>
      <c r="B317" s="93" t="n"/>
      <c r="C317" s="93" t="n"/>
      <c r="D317" s="93" t="n"/>
      <c r="E317" s="93" t="n"/>
      <c r="F317" s="93" t="n"/>
      <c r="G317" s="93" t="n"/>
      <c r="H317" s="93" t="n"/>
      <c r="I317" s="93" t="n"/>
      <c r="J317" s="93" t="n"/>
      <c r="K317" s="93" t="n"/>
      <c r="L317" s="93" t="n"/>
      <c r="M317" s="93" t="n"/>
      <c r="N317" s="93" t="n"/>
      <c r="O317" s="93" t="n"/>
      <c r="P317" s="93" t="n"/>
      <c r="Q317" s="93" t="n"/>
      <c r="R317" s="93" t="n"/>
      <c r="S317" s="93" t="n"/>
      <c r="T317" s="93" t="n"/>
      <c r="U317" s="93" t="n"/>
      <c r="V317" s="93" t="n"/>
      <c r="W317" s="93" t="n"/>
      <c r="X317" s="93" t="n"/>
      <c r="Y317" s="93" t="n"/>
      <c r="Z317" s="93" t="n"/>
    </row>
    <row r="318">
      <c r="A318" s="93" t="n"/>
      <c r="B318" s="93" t="n"/>
      <c r="C318" s="93" t="n"/>
      <c r="D318" s="93" t="n"/>
      <c r="E318" s="93" t="n"/>
      <c r="F318" s="93" t="n"/>
      <c r="G318" s="93" t="n"/>
      <c r="H318" s="93" t="n"/>
      <c r="I318" s="93" t="n"/>
      <c r="J318" s="93" t="n"/>
      <c r="K318" s="93" t="n"/>
      <c r="L318" s="93" t="n"/>
      <c r="M318" s="93" t="n"/>
      <c r="N318" s="93" t="n"/>
      <c r="O318" s="93" t="n"/>
      <c r="P318" s="93" t="n"/>
      <c r="Q318" s="93" t="n"/>
      <c r="R318" s="93" t="n"/>
      <c r="S318" s="93" t="n"/>
      <c r="T318" s="93" t="n"/>
      <c r="U318" s="93" t="n"/>
      <c r="V318" s="93" t="n"/>
      <c r="W318" s="93" t="n"/>
      <c r="X318" s="93" t="n"/>
      <c r="Y318" s="93" t="n"/>
      <c r="Z318" s="93" t="n"/>
    </row>
    <row r="319">
      <c r="A319" s="93" t="n"/>
      <c r="B319" s="93" t="n"/>
      <c r="C319" s="93" t="n"/>
      <c r="D319" s="93" t="n"/>
      <c r="E319" s="93" t="n"/>
      <c r="F319" s="93" t="n"/>
      <c r="G319" s="93" t="n"/>
      <c r="H319" s="93" t="n"/>
      <c r="I319" s="93" t="n"/>
      <c r="J319" s="93" t="n"/>
      <c r="K319" s="93" t="n"/>
      <c r="L319" s="93" t="n"/>
      <c r="M319" s="93" t="n"/>
      <c r="N319" s="93" t="n"/>
      <c r="O319" s="93" t="n"/>
      <c r="P319" s="93" t="n"/>
      <c r="Q319" s="93" t="n"/>
      <c r="R319" s="93" t="n"/>
      <c r="S319" s="93" t="n"/>
      <c r="T319" s="93" t="n"/>
      <c r="U319" s="93" t="n"/>
      <c r="V319" s="93" t="n"/>
      <c r="W319" s="93" t="n"/>
      <c r="X319" s="93" t="n"/>
      <c r="Y319" s="93" t="n"/>
      <c r="Z319" s="93" t="n"/>
    </row>
    <row r="320">
      <c r="A320" s="93" t="n"/>
      <c r="B320" s="93" t="n"/>
      <c r="C320" s="93" t="n"/>
      <c r="D320" s="93" t="n"/>
      <c r="E320" s="93" t="n"/>
      <c r="F320" s="93" t="n"/>
      <c r="G320" s="93" t="n"/>
      <c r="H320" s="93" t="n"/>
      <c r="I320" s="93" t="n"/>
      <c r="J320" s="93" t="n"/>
      <c r="K320" s="93" t="n"/>
      <c r="L320" s="93" t="n"/>
      <c r="M320" s="93" t="n"/>
      <c r="N320" s="93" t="n"/>
      <c r="O320" s="93" t="n"/>
      <c r="P320" s="93" t="n"/>
      <c r="Q320" s="93" t="n"/>
      <c r="R320" s="93" t="n"/>
      <c r="S320" s="93" t="n"/>
      <c r="T320" s="93" t="n"/>
      <c r="U320" s="93" t="n"/>
      <c r="V320" s="93" t="n"/>
      <c r="W320" s="93" t="n"/>
      <c r="X320" s="93" t="n"/>
      <c r="Y320" s="93" t="n"/>
      <c r="Z320" s="93" t="n"/>
    </row>
    <row r="321">
      <c r="A321" s="93" t="n"/>
      <c r="B321" s="93" t="n"/>
      <c r="C321" s="93" t="n"/>
      <c r="D321" s="93" t="n"/>
      <c r="E321" s="93" t="n"/>
      <c r="F321" s="93" t="n"/>
      <c r="G321" s="93" t="n"/>
      <c r="H321" s="93" t="n"/>
      <c r="I321" s="93" t="n"/>
      <c r="J321" s="93" t="n"/>
      <c r="K321" s="93" t="n"/>
      <c r="L321" s="93" t="n"/>
      <c r="M321" s="93" t="n"/>
      <c r="N321" s="93" t="n"/>
      <c r="O321" s="93" t="n"/>
      <c r="P321" s="93" t="n"/>
      <c r="Q321" s="93" t="n"/>
      <c r="R321" s="93" t="n"/>
      <c r="S321" s="93" t="n"/>
      <c r="T321" s="93" t="n"/>
      <c r="U321" s="93" t="n"/>
      <c r="V321" s="93" t="n"/>
      <c r="W321" s="93" t="n"/>
      <c r="X321" s="93" t="n"/>
      <c r="Y321" s="93" t="n"/>
      <c r="Z321" s="93" t="n"/>
    </row>
    <row r="322">
      <c r="A322" s="93" t="n"/>
      <c r="B322" s="93" t="n"/>
      <c r="C322" s="93" t="n"/>
      <c r="D322" s="93" t="n"/>
      <c r="E322" s="93" t="n"/>
      <c r="F322" s="93" t="n"/>
      <c r="G322" s="93" t="n"/>
      <c r="H322" s="93" t="n"/>
      <c r="I322" s="93" t="n"/>
      <c r="J322" s="93" t="n"/>
      <c r="K322" s="93" t="n"/>
      <c r="L322" s="93" t="n"/>
      <c r="M322" s="93" t="n"/>
      <c r="N322" s="93" t="n"/>
      <c r="O322" s="93" t="n"/>
      <c r="P322" s="93" t="n"/>
      <c r="Q322" s="93" t="n"/>
      <c r="R322" s="93" t="n"/>
      <c r="S322" s="93" t="n"/>
      <c r="T322" s="93" t="n"/>
      <c r="U322" s="93" t="n"/>
      <c r="V322" s="93" t="n"/>
      <c r="W322" s="93" t="n"/>
      <c r="X322" s="93" t="n"/>
      <c r="Y322" s="93" t="n"/>
      <c r="Z322" s="93" t="n"/>
    </row>
    <row r="323">
      <c r="A323" s="93" t="n"/>
      <c r="B323" s="93" t="n"/>
      <c r="C323" s="93" t="n"/>
      <c r="D323" s="93" t="n"/>
      <c r="E323" s="93" t="n"/>
      <c r="F323" s="93" t="n"/>
      <c r="G323" s="93" t="n"/>
      <c r="H323" s="93" t="n"/>
      <c r="I323" s="93" t="n"/>
      <c r="J323" s="93" t="n"/>
      <c r="K323" s="93" t="n"/>
      <c r="L323" s="93" t="n"/>
      <c r="M323" s="93" t="n"/>
      <c r="N323" s="93" t="n"/>
      <c r="O323" s="93" t="n"/>
      <c r="P323" s="93" t="n"/>
      <c r="Q323" s="93" t="n"/>
      <c r="R323" s="93" t="n"/>
      <c r="S323" s="93" t="n"/>
      <c r="T323" s="93" t="n"/>
      <c r="U323" s="93" t="n"/>
      <c r="V323" s="93" t="n"/>
      <c r="W323" s="93" t="n"/>
      <c r="X323" s="93" t="n"/>
      <c r="Y323" s="93" t="n"/>
      <c r="Z323" s="93" t="n"/>
    </row>
    <row r="324">
      <c r="A324" s="93" t="n"/>
      <c r="B324" s="93" t="n"/>
      <c r="C324" s="93" t="n"/>
      <c r="D324" s="93" t="n"/>
      <c r="E324" s="93" t="n"/>
      <c r="F324" s="93" t="n"/>
      <c r="G324" s="93" t="n"/>
      <c r="H324" s="93" t="n"/>
      <c r="I324" s="93" t="n"/>
      <c r="J324" s="93" t="n"/>
      <c r="K324" s="93" t="n"/>
      <c r="L324" s="93" t="n"/>
      <c r="M324" s="93" t="n"/>
      <c r="N324" s="93" t="n"/>
      <c r="O324" s="93" t="n"/>
      <c r="P324" s="93" t="n"/>
      <c r="Q324" s="93" t="n"/>
      <c r="R324" s="93" t="n"/>
      <c r="S324" s="93" t="n"/>
      <c r="T324" s="93" t="n"/>
      <c r="U324" s="93" t="n"/>
      <c r="V324" s="93" t="n"/>
      <c r="W324" s="93" t="n"/>
      <c r="X324" s="93" t="n"/>
      <c r="Y324" s="93" t="n"/>
      <c r="Z324" s="93" t="n"/>
    </row>
    <row r="325">
      <c r="A325" s="93" t="n"/>
      <c r="B325" s="93" t="n"/>
      <c r="C325" s="93" t="n"/>
      <c r="D325" s="93" t="n"/>
      <c r="E325" s="93" t="n"/>
      <c r="F325" s="93" t="n"/>
      <c r="G325" s="93" t="n"/>
      <c r="H325" s="93" t="n"/>
      <c r="I325" s="93" t="n"/>
      <c r="J325" s="93" t="n"/>
      <c r="K325" s="93" t="n"/>
      <c r="L325" s="93" t="n"/>
      <c r="M325" s="93" t="n"/>
      <c r="N325" s="93" t="n"/>
      <c r="O325" s="93" t="n"/>
      <c r="P325" s="93" t="n"/>
      <c r="Q325" s="93" t="n"/>
      <c r="R325" s="93" t="n"/>
      <c r="S325" s="93" t="n"/>
      <c r="T325" s="93" t="n"/>
      <c r="U325" s="93" t="n"/>
      <c r="V325" s="93" t="n"/>
      <c r="W325" s="93" t="n"/>
      <c r="X325" s="93" t="n"/>
      <c r="Y325" s="93" t="n"/>
      <c r="Z325" s="93" t="n"/>
    </row>
    <row r="326">
      <c r="A326" s="93" t="n"/>
      <c r="B326" s="93" t="n"/>
      <c r="C326" s="93" t="n"/>
      <c r="D326" s="93" t="n"/>
      <c r="E326" s="93" t="n"/>
      <c r="F326" s="93" t="n"/>
      <c r="G326" s="93" t="n"/>
      <c r="H326" s="93" t="n"/>
      <c r="I326" s="93" t="n"/>
      <c r="J326" s="93" t="n"/>
      <c r="K326" s="93" t="n"/>
      <c r="L326" s="93" t="n"/>
      <c r="M326" s="93" t="n"/>
      <c r="N326" s="93" t="n"/>
      <c r="O326" s="93" t="n"/>
      <c r="P326" s="93" t="n"/>
      <c r="Q326" s="93" t="n"/>
      <c r="R326" s="93" t="n"/>
      <c r="S326" s="93" t="n"/>
      <c r="T326" s="93" t="n"/>
      <c r="U326" s="93" t="n"/>
      <c r="V326" s="93" t="n"/>
      <c r="W326" s="93" t="n"/>
      <c r="X326" s="93" t="n"/>
      <c r="Y326" s="93" t="n"/>
      <c r="Z326" s="93" t="n"/>
    </row>
    <row r="327">
      <c r="A327" s="93" t="n"/>
      <c r="B327" s="93" t="n"/>
      <c r="C327" s="93" t="n"/>
      <c r="D327" s="93" t="n"/>
      <c r="E327" s="93" t="n"/>
      <c r="F327" s="93" t="n"/>
      <c r="G327" s="93" t="n"/>
      <c r="H327" s="93" t="n"/>
      <c r="I327" s="93" t="n"/>
      <c r="J327" s="93" t="n"/>
      <c r="K327" s="93" t="n"/>
      <c r="L327" s="93" t="n"/>
      <c r="M327" s="93" t="n"/>
      <c r="N327" s="93" t="n"/>
      <c r="O327" s="93" t="n"/>
      <c r="P327" s="93" t="n"/>
      <c r="Q327" s="93" t="n"/>
      <c r="R327" s="93" t="n"/>
      <c r="S327" s="93" t="n"/>
      <c r="T327" s="93" t="n"/>
      <c r="U327" s="93" t="n"/>
      <c r="V327" s="93" t="n"/>
      <c r="W327" s="93" t="n"/>
      <c r="X327" s="93" t="n"/>
      <c r="Y327" s="93" t="n"/>
      <c r="Z327" s="93" t="n"/>
    </row>
    <row r="328">
      <c r="A328" s="93" t="n"/>
      <c r="B328" s="93" t="n"/>
      <c r="C328" s="93" t="n"/>
      <c r="D328" s="93" t="n"/>
      <c r="E328" s="93" t="n"/>
      <c r="F328" s="93" t="n"/>
      <c r="G328" s="93" t="n"/>
      <c r="H328" s="93" t="n"/>
      <c r="I328" s="93" t="n"/>
      <c r="J328" s="93" t="n"/>
      <c r="K328" s="93" t="n"/>
      <c r="L328" s="93" t="n"/>
      <c r="M328" s="93" t="n"/>
      <c r="N328" s="93" t="n"/>
      <c r="O328" s="93" t="n"/>
      <c r="P328" s="93" t="n"/>
      <c r="Q328" s="93" t="n"/>
      <c r="R328" s="93" t="n"/>
      <c r="S328" s="93" t="n"/>
      <c r="T328" s="93" t="n"/>
      <c r="U328" s="93" t="n"/>
      <c r="V328" s="93" t="n"/>
      <c r="W328" s="93" t="n"/>
      <c r="X328" s="93" t="n"/>
      <c r="Y328" s="93" t="n"/>
      <c r="Z328" s="93" t="n"/>
    </row>
    <row r="329">
      <c r="A329" s="93" t="n"/>
      <c r="B329" s="93" t="n"/>
      <c r="C329" s="93" t="n"/>
      <c r="D329" s="93" t="n"/>
      <c r="E329" s="93" t="n"/>
      <c r="F329" s="93" t="n"/>
      <c r="G329" s="93" t="n"/>
      <c r="H329" s="93" t="n"/>
      <c r="I329" s="93" t="n"/>
      <c r="J329" s="93" t="n"/>
      <c r="K329" s="93" t="n"/>
      <c r="L329" s="93" t="n"/>
      <c r="M329" s="93" t="n"/>
      <c r="N329" s="93" t="n"/>
      <c r="O329" s="93" t="n"/>
      <c r="P329" s="93" t="n"/>
      <c r="Q329" s="93" t="n"/>
      <c r="R329" s="93" t="n"/>
      <c r="S329" s="93" t="n"/>
      <c r="T329" s="93" t="n"/>
      <c r="U329" s="93" t="n"/>
      <c r="V329" s="93" t="n"/>
      <c r="W329" s="93" t="n"/>
      <c r="X329" s="93" t="n"/>
      <c r="Y329" s="93" t="n"/>
      <c r="Z329" s="93" t="n"/>
    </row>
    <row r="330">
      <c r="A330" s="93" t="n"/>
      <c r="B330" s="93" t="n"/>
      <c r="C330" s="93" t="n"/>
      <c r="D330" s="93" t="n"/>
      <c r="E330" s="93" t="n"/>
      <c r="F330" s="93" t="n"/>
      <c r="G330" s="93" t="n"/>
      <c r="H330" s="93" t="n"/>
      <c r="I330" s="93" t="n"/>
      <c r="J330" s="93" t="n"/>
      <c r="K330" s="93" t="n"/>
      <c r="L330" s="93" t="n"/>
      <c r="M330" s="93" t="n"/>
      <c r="N330" s="93" t="n"/>
      <c r="O330" s="93" t="n"/>
      <c r="P330" s="93" t="n"/>
      <c r="Q330" s="93" t="n"/>
      <c r="R330" s="93" t="n"/>
      <c r="S330" s="93" t="n"/>
      <c r="T330" s="93" t="n"/>
      <c r="U330" s="93" t="n"/>
      <c r="V330" s="93" t="n"/>
      <c r="W330" s="93" t="n"/>
      <c r="X330" s="93" t="n"/>
      <c r="Y330" s="93" t="n"/>
      <c r="Z330" s="93" t="n"/>
    </row>
    <row r="331">
      <c r="A331" s="93" t="n"/>
      <c r="B331" s="93" t="n"/>
      <c r="C331" s="93" t="n"/>
      <c r="D331" s="93" t="n"/>
      <c r="E331" s="93" t="n"/>
      <c r="F331" s="93" t="n"/>
      <c r="G331" s="93" t="n"/>
      <c r="H331" s="93" t="n"/>
      <c r="I331" s="93" t="n"/>
      <c r="J331" s="93" t="n"/>
      <c r="K331" s="93" t="n"/>
      <c r="L331" s="93" t="n"/>
      <c r="M331" s="93" t="n"/>
      <c r="N331" s="93" t="n"/>
      <c r="O331" s="93" t="n"/>
      <c r="P331" s="93" t="n"/>
      <c r="Q331" s="93" t="n"/>
      <c r="R331" s="93" t="n"/>
      <c r="S331" s="93" t="n"/>
      <c r="T331" s="93" t="n"/>
      <c r="U331" s="93" t="n"/>
      <c r="V331" s="93" t="n"/>
      <c r="W331" s="93" t="n"/>
      <c r="X331" s="93" t="n"/>
      <c r="Y331" s="93" t="n"/>
      <c r="Z331" s="93" t="n"/>
    </row>
    <row r="332">
      <c r="A332" s="93" t="n"/>
      <c r="B332" s="93" t="n"/>
      <c r="C332" s="93" t="n"/>
      <c r="D332" s="93" t="n"/>
      <c r="E332" s="93" t="n"/>
      <c r="F332" s="93" t="n"/>
      <c r="G332" s="93" t="n"/>
      <c r="H332" s="93" t="n"/>
      <c r="I332" s="93" t="n"/>
      <c r="J332" s="93" t="n"/>
      <c r="K332" s="93" t="n"/>
      <c r="L332" s="93" t="n"/>
      <c r="M332" s="93" t="n"/>
      <c r="N332" s="93" t="n"/>
      <c r="O332" s="93" t="n"/>
      <c r="P332" s="93" t="n"/>
      <c r="Q332" s="93" t="n"/>
      <c r="R332" s="93" t="n"/>
      <c r="S332" s="93" t="n"/>
      <c r="T332" s="93" t="n"/>
      <c r="U332" s="93" t="n"/>
      <c r="V332" s="93" t="n"/>
      <c r="W332" s="93" t="n"/>
      <c r="X332" s="93" t="n"/>
      <c r="Y332" s="93" t="n"/>
      <c r="Z332" s="93" t="n"/>
    </row>
    <row r="333">
      <c r="A333" s="93" t="n"/>
      <c r="B333" s="93" t="n"/>
      <c r="C333" s="93" t="n"/>
      <c r="D333" s="93" t="n"/>
      <c r="E333" s="93" t="n"/>
      <c r="F333" s="93" t="n"/>
      <c r="G333" s="93" t="n"/>
      <c r="H333" s="93" t="n"/>
      <c r="I333" s="93" t="n"/>
      <c r="J333" s="93" t="n"/>
      <c r="K333" s="93" t="n"/>
      <c r="L333" s="93" t="n"/>
      <c r="M333" s="93" t="n"/>
      <c r="N333" s="93" t="n"/>
      <c r="O333" s="93" t="n"/>
      <c r="P333" s="93" t="n"/>
      <c r="Q333" s="93" t="n"/>
      <c r="R333" s="93" t="n"/>
      <c r="S333" s="93" t="n"/>
      <c r="T333" s="93" t="n"/>
      <c r="U333" s="93" t="n"/>
      <c r="V333" s="93" t="n"/>
      <c r="W333" s="93" t="n"/>
      <c r="X333" s="93" t="n"/>
      <c r="Y333" s="93" t="n"/>
      <c r="Z333" s="93" t="n"/>
    </row>
    <row r="334">
      <c r="A334" s="93" t="n"/>
      <c r="B334" s="93" t="n"/>
      <c r="C334" s="93" t="n"/>
      <c r="D334" s="93" t="n"/>
      <c r="E334" s="93" t="n"/>
      <c r="F334" s="93" t="n"/>
      <c r="G334" s="93" t="n"/>
      <c r="H334" s="93" t="n"/>
      <c r="I334" s="93" t="n"/>
      <c r="J334" s="93" t="n"/>
      <c r="K334" s="93" t="n"/>
      <c r="L334" s="93" t="n"/>
      <c r="M334" s="93" t="n"/>
      <c r="N334" s="93" t="n"/>
      <c r="O334" s="93" t="n"/>
      <c r="P334" s="93" t="n"/>
      <c r="Q334" s="93" t="n"/>
      <c r="R334" s="93" t="n"/>
      <c r="S334" s="93" t="n"/>
      <c r="T334" s="93" t="n"/>
      <c r="U334" s="93" t="n"/>
      <c r="V334" s="93" t="n"/>
      <c r="W334" s="93" t="n"/>
      <c r="X334" s="93" t="n"/>
      <c r="Y334" s="93" t="n"/>
      <c r="Z334" s="93" t="n"/>
    </row>
    <row r="335">
      <c r="A335" s="93" t="n"/>
      <c r="B335" s="93" t="n"/>
      <c r="C335" s="93" t="n"/>
      <c r="D335" s="93" t="n"/>
      <c r="E335" s="93" t="n"/>
      <c r="F335" s="93" t="n"/>
      <c r="G335" s="93" t="n"/>
      <c r="H335" s="93" t="n"/>
      <c r="I335" s="93" t="n"/>
      <c r="J335" s="93" t="n"/>
      <c r="K335" s="93" t="n"/>
      <c r="L335" s="93" t="n"/>
      <c r="M335" s="93" t="n"/>
      <c r="N335" s="93" t="n"/>
      <c r="O335" s="93" t="n"/>
      <c r="P335" s="93" t="n"/>
      <c r="Q335" s="93" t="n"/>
      <c r="R335" s="93" t="n"/>
      <c r="S335" s="93" t="n"/>
      <c r="T335" s="93" t="n"/>
      <c r="U335" s="93" t="n"/>
      <c r="V335" s="93" t="n"/>
      <c r="W335" s="93" t="n"/>
      <c r="X335" s="93" t="n"/>
      <c r="Y335" s="93" t="n"/>
      <c r="Z335" s="93" t="n"/>
    </row>
    <row r="336">
      <c r="A336" s="93" t="n"/>
      <c r="B336" s="93" t="n"/>
      <c r="C336" s="93" t="n"/>
      <c r="D336" s="93" t="n"/>
      <c r="E336" s="93" t="n"/>
      <c r="F336" s="93" t="n"/>
      <c r="G336" s="93" t="n"/>
      <c r="H336" s="93" t="n"/>
      <c r="I336" s="93" t="n"/>
      <c r="J336" s="93" t="n"/>
      <c r="K336" s="93" t="n"/>
      <c r="L336" s="93" t="n"/>
      <c r="M336" s="93" t="n"/>
      <c r="N336" s="93" t="n"/>
      <c r="O336" s="93" t="n"/>
      <c r="P336" s="93" t="n"/>
      <c r="Q336" s="93" t="n"/>
      <c r="R336" s="93" t="n"/>
      <c r="S336" s="93" t="n"/>
      <c r="T336" s="93" t="n"/>
      <c r="U336" s="93" t="n"/>
      <c r="V336" s="93" t="n"/>
      <c r="W336" s="93" t="n"/>
      <c r="X336" s="93" t="n"/>
      <c r="Y336" s="93" t="n"/>
      <c r="Z336" s="93" t="n"/>
    </row>
    <row r="337">
      <c r="A337" s="93" t="n"/>
      <c r="B337" s="93" t="n"/>
      <c r="C337" s="93" t="n"/>
      <c r="D337" s="93" t="n"/>
      <c r="E337" s="93" t="n"/>
      <c r="F337" s="93" t="n"/>
      <c r="G337" s="93" t="n"/>
      <c r="H337" s="93" t="n"/>
      <c r="I337" s="93" t="n"/>
      <c r="J337" s="93" t="n"/>
      <c r="K337" s="93" t="n"/>
      <c r="L337" s="93" t="n"/>
      <c r="M337" s="93" t="n"/>
      <c r="N337" s="93" t="n"/>
      <c r="O337" s="93" t="n"/>
      <c r="P337" s="93" t="n"/>
      <c r="Q337" s="93" t="n"/>
      <c r="R337" s="93" t="n"/>
      <c r="S337" s="93" t="n"/>
      <c r="T337" s="93" t="n"/>
      <c r="U337" s="93" t="n"/>
      <c r="V337" s="93" t="n"/>
      <c r="W337" s="93" t="n"/>
      <c r="X337" s="93" t="n"/>
      <c r="Y337" s="93" t="n"/>
      <c r="Z337" s="93" t="n"/>
    </row>
    <row r="338">
      <c r="A338" s="93" t="n"/>
      <c r="B338" s="93" t="n"/>
      <c r="C338" s="93" t="n"/>
      <c r="D338" s="93" t="n"/>
      <c r="E338" s="93" t="n"/>
      <c r="F338" s="93" t="n"/>
      <c r="G338" s="93" t="n"/>
      <c r="H338" s="93" t="n"/>
      <c r="I338" s="93" t="n"/>
      <c r="J338" s="93" t="n"/>
      <c r="K338" s="93" t="n"/>
      <c r="L338" s="93" t="n"/>
      <c r="M338" s="93" t="n"/>
      <c r="N338" s="93" t="n"/>
      <c r="O338" s="93" t="n"/>
      <c r="P338" s="93" t="n"/>
      <c r="Q338" s="93" t="n"/>
      <c r="R338" s="93" t="n"/>
      <c r="S338" s="93" t="n"/>
      <c r="T338" s="93" t="n"/>
      <c r="U338" s="93" t="n"/>
      <c r="V338" s="93" t="n"/>
      <c r="W338" s="93" t="n"/>
      <c r="X338" s="93" t="n"/>
      <c r="Y338" s="93" t="n"/>
      <c r="Z338" s="93" t="n"/>
    </row>
    <row r="339">
      <c r="A339" s="93" t="n"/>
      <c r="B339" s="93" t="n"/>
      <c r="C339" s="93" t="n"/>
      <c r="D339" s="93" t="n"/>
      <c r="E339" s="93" t="n"/>
      <c r="F339" s="93" t="n"/>
      <c r="G339" s="93" t="n"/>
      <c r="H339" s="93" t="n"/>
      <c r="I339" s="93" t="n"/>
      <c r="J339" s="93" t="n"/>
      <c r="K339" s="93" t="n"/>
      <c r="L339" s="93" t="n"/>
      <c r="M339" s="93" t="n"/>
      <c r="N339" s="93" t="n"/>
      <c r="O339" s="93" t="n"/>
      <c r="P339" s="93" t="n"/>
      <c r="Q339" s="93" t="n"/>
      <c r="R339" s="93" t="n"/>
      <c r="S339" s="93" t="n"/>
      <c r="T339" s="93" t="n"/>
      <c r="U339" s="93" t="n"/>
      <c r="V339" s="93" t="n"/>
      <c r="W339" s="93" t="n"/>
      <c r="X339" s="93" t="n"/>
      <c r="Y339" s="93" t="n"/>
      <c r="Z339" s="93" t="n"/>
    </row>
    <row r="340">
      <c r="A340" s="93" t="n"/>
      <c r="B340" s="93" t="n"/>
      <c r="C340" s="93" t="n"/>
      <c r="D340" s="93" t="n"/>
      <c r="E340" s="93" t="n"/>
      <c r="F340" s="93" t="n"/>
      <c r="G340" s="93" t="n"/>
      <c r="H340" s="93" t="n"/>
      <c r="I340" s="93" t="n"/>
      <c r="J340" s="93" t="n"/>
      <c r="K340" s="93" t="n"/>
      <c r="L340" s="93" t="n"/>
      <c r="M340" s="93" t="n"/>
      <c r="N340" s="93" t="n"/>
      <c r="O340" s="93" t="n"/>
      <c r="P340" s="93" t="n"/>
      <c r="Q340" s="93" t="n"/>
      <c r="R340" s="93" t="n"/>
      <c r="S340" s="93" t="n"/>
      <c r="T340" s="93" t="n"/>
      <c r="U340" s="93" t="n"/>
      <c r="V340" s="93" t="n"/>
      <c r="W340" s="93" t="n"/>
      <c r="X340" s="93" t="n"/>
      <c r="Y340" s="93" t="n"/>
      <c r="Z340" s="93" t="n"/>
    </row>
    <row r="341">
      <c r="A341" s="93" t="n"/>
      <c r="B341" s="93" t="n"/>
      <c r="C341" s="93" t="n"/>
      <c r="D341" s="93" t="n"/>
      <c r="E341" s="93" t="n"/>
      <c r="F341" s="93" t="n"/>
      <c r="G341" s="93" t="n"/>
      <c r="H341" s="93" t="n"/>
      <c r="I341" s="93" t="n"/>
      <c r="J341" s="93" t="n"/>
      <c r="K341" s="93" t="n"/>
      <c r="L341" s="93" t="n"/>
      <c r="M341" s="93" t="n"/>
      <c r="N341" s="93" t="n"/>
      <c r="O341" s="93" t="n"/>
      <c r="P341" s="93" t="n"/>
      <c r="Q341" s="93" t="n"/>
      <c r="R341" s="93" t="n"/>
      <c r="S341" s="93" t="n"/>
      <c r="T341" s="93" t="n"/>
      <c r="U341" s="93" t="n"/>
      <c r="V341" s="93" t="n"/>
      <c r="W341" s="93" t="n"/>
      <c r="X341" s="93" t="n"/>
      <c r="Y341" s="93" t="n"/>
      <c r="Z341" s="93" t="n"/>
    </row>
    <row r="342">
      <c r="A342" s="93" t="n"/>
      <c r="B342" s="93" t="n"/>
      <c r="C342" s="93" t="n"/>
      <c r="D342" s="93" t="n"/>
      <c r="E342" s="93" t="n"/>
      <c r="F342" s="93" t="n"/>
      <c r="G342" s="93" t="n"/>
      <c r="H342" s="93" t="n"/>
      <c r="I342" s="93" t="n"/>
      <c r="J342" s="93" t="n"/>
      <c r="K342" s="93" t="n"/>
      <c r="L342" s="93" t="n"/>
      <c r="M342" s="93" t="n"/>
      <c r="N342" s="93" t="n"/>
      <c r="O342" s="93" t="n"/>
      <c r="P342" s="93" t="n"/>
      <c r="Q342" s="93" t="n"/>
      <c r="R342" s="93" t="n"/>
      <c r="S342" s="93" t="n"/>
      <c r="T342" s="93" t="n"/>
      <c r="U342" s="93" t="n"/>
      <c r="V342" s="93" t="n"/>
      <c r="W342" s="93" t="n"/>
      <c r="X342" s="93" t="n"/>
      <c r="Y342" s="93" t="n"/>
      <c r="Z342" s="93" t="n"/>
    </row>
    <row r="343">
      <c r="A343" s="93" t="n"/>
      <c r="B343" s="93" t="n"/>
      <c r="C343" s="93" t="n"/>
      <c r="D343" s="93" t="n"/>
      <c r="E343" s="93" t="n"/>
      <c r="F343" s="93" t="n"/>
      <c r="G343" s="93" t="n"/>
      <c r="H343" s="93" t="n"/>
      <c r="I343" s="93" t="n"/>
      <c r="J343" s="93" t="n"/>
      <c r="K343" s="93" t="n"/>
      <c r="L343" s="93" t="n"/>
      <c r="M343" s="93" t="n"/>
      <c r="N343" s="93" t="n"/>
      <c r="O343" s="93" t="n"/>
      <c r="P343" s="93" t="n"/>
      <c r="Q343" s="93" t="n"/>
      <c r="R343" s="93" t="n"/>
      <c r="S343" s="93" t="n"/>
      <c r="T343" s="93" t="n"/>
      <c r="U343" s="93" t="n"/>
      <c r="V343" s="93" t="n"/>
      <c r="W343" s="93" t="n"/>
      <c r="X343" s="93" t="n"/>
      <c r="Y343" s="93" t="n"/>
      <c r="Z343" s="93" t="n"/>
    </row>
    <row r="344">
      <c r="A344" s="93" t="n"/>
      <c r="B344" s="93" t="n"/>
      <c r="C344" s="93" t="n"/>
      <c r="D344" s="93" t="n"/>
      <c r="E344" s="93" t="n"/>
      <c r="F344" s="93" t="n"/>
      <c r="G344" s="93" t="n"/>
      <c r="H344" s="93" t="n"/>
      <c r="I344" s="93" t="n"/>
      <c r="J344" s="93" t="n"/>
      <c r="K344" s="93" t="n"/>
      <c r="L344" s="93" t="n"/>
      <c r="M344" s="93" t="n"/>
      <c r="N344" s="93" t="n"/>
      <c r="O344" s="93" t="n"/>
      <c r="P344" s="93" t="n"/>
      <c r="Q344" s="93" t="n"/>
      <c r="R344" s="93" t="n"/>
      <c r="S344" s="93" t="n"/>
      <c r="T344" s="93" t="n"/>
      <c r="U344" s="93" t="n"/>
      <c r="V344" s="93" t="n"/>
      <c r="W344" s="93" t="n"/>
      <c r="X344" s="93" t="n"/>
      <c r="Y344" s="93" t="n"/>
      <c r="Z344" s="93" t="n"/>
    </row>
    <row r="345">
      <c r="A345" s="93" t="n"/>
      <c r="B345" s="93" t="n"/>
      <c r="C345" s="93" t="n"/>
      <c r="D345" s="93" t="n"/>
      <c r="E345" s="93" t="n"/>
      <c r="F345" s="93" t="n"/>
      <c r="G345" s="93" t="n"/>
      <c r="H345" s="93" t="n"/>
      <c r="I345" s="93" t="n"/>
      <c r="J345" s="93" t="n"/>
      <c r="K345" s="93" t="n"/>
      <c r="L345" s="93" t="n"/>
      <c r="M345" s="93" t="n"/>
      <c r="N345" s="93" t="n"/>
      <c r="O345" s="93" t="n"/>
      <c r="P345" s="93" t="n"/>
      <c r="Q345" s="93" t="n"/>
      <c r="R345" s="93" t="n"/>
      <c r="S345" s="93" t="n"/>
      <c r="T345" s="93" t="n"/>
      <c r="U345" s="93" t="n"/>
      <c r="V345" s="93" t="n"/>
      <c r="W345" s="93" t="n"/>
      <c r="X345" s="93" t="n"/>
      <c r="Y345" s="93" t="n"/>
      <c r="Z345" s="93" t="n"/>
    </row>
    <row r="346">
      <c r="A346" s="93" t="n"/>
      <c r="B346" s="93" t="n"/>
      <c r="C346" s="93" t="n"/>
      <c r="D346" s="93" t="n"/>
      <c r="E346" s="93" t="n"/>
      <c r="F346" s="93" t="n"/>
      <c r="G346" s="93" t="n"/>
      <c r="H346" s="93" t="n"/>
      <c r="I346" s="93" t="n"/>
      <c r="J346" s="93" t="n"/>
      <c r="K346" s="93" t="n"/>
      <c r="L346" s="93" t="n"/>
      <c r="M346" s="93" t="n"/>
      <c r="N346" s="93" t="n"/>
      <c r="O346" s="93" t="n"/>
      <c r="P346" s="93" t="n"/>
      <c r="Q346" s="93" t="n"/>
      <c r="R346" s="93" t="n"/>
      <c r="S346" s="93" t="n"/>
      <c r="T346" s="93" t="n"/>
      <c r="U346" s="93" t="n"/>
      <c r="V346" s="93" t="n"/>
      <c r="W346" s="93" t="n"/>
      <c r="X346" s="93" t="n"/>
      <c r="Y346" s="93" t="n"/>
      <c r="Z346" s="93" t="n"/>
    </row>
    <row r="347">
      <c r="A347" s="93" t="n"/>
      <c r="B347" s="93" t="n"/>
      <c r="C347" s="93" t="n"/>
      <c r="D347" s="93" t="n"/>
      <c r="E347" s="93" t="n"/>
      <c r="F347" s="93" t="n"/>
      <c r="G347" s="93" t="n"/>
      <c r="H347" s="93" t="n"/>
      <c r="I347" s="93" t="n"/>
      <c r="J347" s="93" t="n"/>
      <c r="K347" s="93" t="n"/>
      <c r="L347" s="93" t="n"/>
      <c r="M347" s="93" t="n"/>
      <c r="N347" s="93" t="n"/>
      <c r="O347" s="93" t="n"/>
      <c r="P347" s="93" t="n"/>
      <c r="Q347" s="93" t="n"/>
      <c r="R347" s="93" t="n"/>
      <c r="S347" s="93" t="n"/>
      <c r="T347" s="93" t="n"/>
      <c r="U347" s="93" t="n"/>
      <c r="V347" s="93" t="n"/>
      <c r="W347" s="93" t="n"/>
      <c r="X347" s="93" t="n"/>
      <c r="Y347" s="93" t="n"/>
      <c r="Z347" s="93" t="n"/>
    </row>
    <row r="348">
      <c r="A348" s="93" t="n"/>
      <c r="B348" s="93" t="n"/>
      <c r="C348" s="93" t="n"/>
      <c r="D348" s="93" t="n"/>
      <c r="E348" s="93" t="n"/>
      <c r="F348" s="93" t="n"/>
      <c r="G348" s="93" t="n"/>
      <c r="H348" s="93" t="n"/>
      <c r="I348" s="93" t="n"/>
      <c r="J348" s="93" t="n"/>
      <c r="K348" s="93" t="n"/>
      <c r="L348" s="93" t="n"/>
      <c r="M348" s="93" t="n"/>
      <c r="N348" s="93" t="n"/>
      <c r="O348" s="93" t="n"/>
      <c r="P348" s="93" t="n"/>
      <c r="Q348" s="93" t="n"/>
      <c r="R348" s="93" t="n"/>
      <c r="S348" s="93" t="n"/>
      <c r="T348" s="93" t="n"/>
      <c r="U348" s="93" t="n"/>
      <c r="V348" s="93" t="n"/>
      <c r="W348" s="93" t="n"/>
      <c r="X348" s="93" t="n"/>
      <c r="Y348" s="93" t="n"/>
      <c r="Z348" s="93" t="n"/>
    </row>
    <row r="349">
      <c r="A349" s="93" t="n"/>
      <c r="B349" s="93" t="n"/>
      <c r="C349" s="93" t="n"/>
      <c r="D349" s="93" t="n"/>
      <c r="E349" s="93" t="n"/>
      <c r="F349" s="93" t="n"/>
      <c r="G349" s="93" t="n"/>
      <c r="H349" s="93" t="n"/>
      <c r="I349" s="93" t="n"/>
      <c r="J349" s="93" t="n"/>
      <c r="K349" s="93" t="n"/>
      <c r="L349" s="93" t="n"/>
      <c r="M349" s="93" t="n"/>
      <c r="N349" s="93" t="n"/>
      <c r="O349" s="93" t="n"/>
      <c r="P349" s="93" t="n"/>
      <c r="Q349" s="93" t="n"/>
      <c r="R349" s="93" t="n"/>
      <c r="S349" s="93" t="n"/>
      <c r="T349" s="93" t="n"/>
      <c r="U349" s="93" t="n"/>
      <c r="V349" s="93" t="n"/>
      <c r="W349" s="93" t="n"/>
      <c r="X349" s="93" t="n"/>
      <c r="Y349" s="93" t="n"/>
      <c r="Z349" s="93" t="n"/>
    </row>
    <row r="350">
      <c r="A350" s="93" t="n"/>
      <c r="B350" s="93" t="n"/>
      <c r="C350" s="93" t="n"/>
      <c r="D350" s="93" t="n"/>
      <c r="E350" s="93" t="n"/>
      <c r="F350" s="93" t="n"/>
      <c r="G350" s="93" t="n"/>
      <c r="H350" s="93" t="n"/>
      <c r="I350" s="93" t="n"/>
      <c r="J350" s="93" t="n"/>
      <c r="K350" s="93" t="n"/>
      <c r="L350" s="93" t="n"/>
      <c r="M350" s="93" t="n"/>
      <c r="N350" s="93" t="n"/>
      <c r="O350" s="93" t="n"/>
      <c r="P350" s="93" t="n"/>
      <c r="Q350" s="93" t="n"/>
      <c r="R350" s="93" t="n"/>
      <c r="S350" s="93" t="n"/>
      <c r="T350" s="93" t="n"/>
      <c r="U350" s="93" t="n"/>
      <c r="V350" s="93" t="n"/>
      <c r="W350" s="93" t="n"/>
      <c r="X350" s="93" t="n"/>
      <c r="Y350" s="93" t="n"/>
      <c r="Z350" s="93" t="n"/>
    </row>
    <row r="351">
      <c r="A351" s="93" t="n"/>
      <c r="B351" s="93" t="n"/>
      <c r="C351" s="93" t="n"/>
      <c r="D351" s="93" t="n"/>
      <c r="E351" s="93" t="n"/>
      <c r="F351" s="93" t="n"/>
      <c r="G351" s="93" t="n"/>
      <c r="H351" s="93" t="n"/>
      <c r="I351" s="93" t="n"/>
      <c r="J351" s="93" t="n"/>
      <c r="K351" s="93" t="n"/>
      <c r="L351" s="93" t="n"/>
      <c r="M351" s="93" t="n"/>
      <c r="N351" s="93" t="n"/>
      <c r="O351" s="93" t="n"/>
      <c r="P351" s="93" t="n"/>
      <c r="Q351" s="93" t="n"/>
      <c r="R351" s="93" t="n"/>
      <c r="S351" s="93" t="n"/>
      <c r="T351" s="93" t="n"/>
      <c r="U351" s="93" t="n"/>
      <c r="V351" s="93" t="n"/>
      <c r="W351" s="93" t="n"/>
      <c r="X351" s="93" t="n"/>
      <c r="Y351" s="93" t="n"/>
      <c r="Z351" s="93" t="n"/>
    </row>
    <row r="352">
      <c r="A352" s="93" t="n"/>
      <c r="B352" s="93" t="n"/>
      <c r="C352" s="93" t="n"/>
      <c r="D352" s="93" t="n"/>
      <c r="E352" s="93" t="n"/>
      <c r="F352" s="93" t="n"/>
      <c r="G352" s="93" t="n"/>
      <c r="H352" s="93" t="n"/>
      <c r="I352" s="93" t="n"/>
      <c r="J352" s="93" t="n"/>
      <c r="K352" s="93" t="n"/>
      <c r="L352" s="93" t="n"/>
      <c r="M352" s="93" t="n"/>
      <c r="N352" s="93" t="n"/>
      <c r="O352" s="93" t="n"/>
      <c r="P352" s="93" t="n"/>
      <c r="Q352" s="93" t="n"/>
      <c r="R352" s="93" t="n"/>
      <c r="S352" s="93" t="n"/>
      <c r="T352" s="93" t="n"/>
      <c r="U352" s="93" t="n"/>
      <c r="V352" s="93" t="n"/>
      <c r="W352" s="93" t="n"/>
      <c r="X352" s="93" t="n"/>
      <c r="Y352" s="93" t="n"/>
      <c r="Z352" s="93" t="n"/>
    </row>
    <row r="353">
      <c r="A353" s="93" t="n"/>
      <c r="B353" s="93" t="n"/>
      <c r="C353" s="93" t="n"/>
      <c r="D353" s="93" t="n"/>
      <c r="E353" s="93" t="n"/>
      <c r="F353" s="93" t="n"/>
      <c r="G353" s="93" t="n"/>
      <c r="H353" s="93" t="n"/>
      <c r="I353" s="93" t="n"/>
      <c r="J353" s="93" t="n"/>
      <c r="K353" s="93" t="n"/>
      <c r="L353" s="93" t="n"/>
      <c r="M353" s="93" t="n"/>
      <c r="N353" s="93" t="n"/>
      <c r="O353" s="93" t="n"/>
      <c r="P353" s="93" t="n"/>
      <c r="Q353" s="93" t="n"/>
      <c r="R353" s="93" t="n"/>
      <c r="S353" s="93" t="n"/>
      <c r="T353" s="93" t="n"/>
      <c r="U353" s="93" t="n"/>
      <c r="V353" s="93" t="n"/>
      <c r="W353" s="93" t="n"/>
      <c r="X353" s="93" t="n"/>
      <c r="Y353" s="93" t="n"/>
      <c r="Z353" s="93" t="n"/>
    </row>
    <row r="354">
      <c r="A354" s="93" t="n"/>
      <c r="B354" s="93" t="n"/>
      <c r="C354" s="93" t="n"/>
      <c r="D354" s="93" t="n"/>
      <c r="E354" s="93" t="n"/>
      <c r="F354" s="93" t="n"/>
      <c r="G354" s="93" t="n"/>
      <c r="H354" s="93" t="n"/>
      <c r="I354" s="93" t="n"/>
      <c r="J354" s="93" t="n"/>
      <c r="K354" s="93" t="n"/>
      <c r="L354" s="93" t="n"/>
      <c r="M354" s="93" t="n"/>
      <c r="N354" s="93" t="n"/>
      <c r="O354" s="93" t="n"/>
      <c r="P354" s="93" t="n"/>
      <c r="Q354" s="93" t="n"/>
      <c r="R354" s="93" t="n"/>
      <c r="S354" s="93" t="n"/>
      <c r="T354" s="93" t="n"/>
      <c r="U354" s="93" t="n"/>
      <c r="V354" s="93" t="n"/>
      <c r="W354" s="93" t="n"/>
      <c r="X354" s="93" t="n"/>
      <c r="Y354" s="93" t="n"/>
      <c r="Z354" s="93" t="n"/>
    </row>
    <row r="355">
      <c r="A355" s="93" t="n"/>
      <c r="B355" s="93" t="n"/>
      <c r="C355" s="93" t="n"/>
      <c r="D355" s="93" t="n"/>
      <c r="E355" s="93" t="n"/>
      <c r="F355" s="93" t="n"/>
      <c r="G355" s="93" t="n"/>
      <c r="H355" s="93" t="n"/>
      <c r="I355" s="93" t="n"/>
      <c r="J355" s="93" t="n"/>
      <c r="K355" s="93" t="n"/>
      <c r="L355" s="93" t="n"/>
      <c r="M355" s="93" t="n"/>
      <c r="N355" s="93" t="n"/>
      <c r="O355" s="93" t="n"/>
      <c r="P355" s="93" t="n"/>
      <c r="Q355" s="93" t="n"/>
      <c r="R355" s="93" t="n"/>
      <c r="S355" s="93" t="n"/>
      <c r="T355" s="93" t="n"/>
      <c r="U355" s="93" t="n"/>
      <c r="V355" s="93" t="n"/>
      <c r="W355" s="93" t="n"/>
      <c r="X355" s="93" t="n"/>
      <c r="Y355" s="93" t="n"/>
      <c r="Z355" s="93" t="n"/>
    </row>
    <row r="356">
      <c r="A356" s="93" t="n"/>
      <c r="B356" s="93" t="n"/>
      <c r="C356" s="93" t="n"/>
      <c r="D356" s="93" t="n"/>
      <c r="E356" s="93" t="n"/>
      <c r="F356" s="93" t="n"/>
      <c r="G356" s="93" t="n"/>
      <c r="H356" s="93" t="n"/>
      <c r="I356" s="93" t="n"/>
      <c r="J356" s="93" t="n"/>
      <c r="K356" s="93" t="n"/>
      <c r="L356" s="93" t="n"/>
      <c r="M356" s="93" t="n"/>
      <c r="N356" s="93" t="n"/>
      <c r="O356" s="93" t="n"/>
      <c r="P356" s="93" t="n"/>
      <c r="Q356" s="93" t="n"/>
      <c r="R356" s="93" t="n"/>
      <c r="S356" s="93" t="n"/>
      <c r="T356" s="93" t="n"/>
      <c r="U356" s="93" t="n"/>
      <c r="V356" s="93" t="n"/>
      <c r="W356" s="93" t="n"/>
      <c r="X356" s="93" t="n"/>
      <c r="Y356" s="93" t="n"/>
      <c r="Z356" s="93" t="n"/>
    </row>
    <row r="357">
      <c r="A357" s="93" t="n"/>
      <c r="B357" s="93" t="n"/>
      <c r="C357" s="93" t="n"/>
      <c r="D357" s="93" t="n"/>
      <c r="E357" s="93" t="n"/>
      <c r="F357" s="93" t="n"/>
      <c r="G357" s="93" t="n"/>
      <c r="H357" s="93" t="n"/>
      <c r="I357" s="93" t="n"/>
      <c r="J357" s="93" t="n"/>
      <c r="K357" s="93" t="n"/>
      <c r="L357" s="93" t="n"/>
      <c r="M357" s="93" t="n"/>
      <c r="N357" s="93" t="n"/>
      <c r="O357" s="93" t="n"/>
      <c r="P357" s="93" t="n"/>
      <c r="Q357" s="93" t="n"/>
      <c r="R357" s="93" t="n"/>
      <c r="S357" s="93" t="n"/>
      <c r="T357" s="93" t="n"/>
      <c r="U357" s="93" t="n"/>
      <c r="V357" s="93" t="n"/>
      <c r="W357" s="93" t="n"/>
      <c r="X357" s="93" t="n"/>
      <c r="Y357" s="93" t="n"/>
      <c r="Z357" s="93" t="n"/>
    </row>
    <row r="358">
      <c r="A358" s="93" t="n"/>
      <c r="B358" s="93" t="n"/>
      <c r="C358" s="93" t="n"/>
      <c r="D358" s="93" t="n"/>
      <c r="E358" s="93" t="n"/>
      <c r="F358" s="93" t="n"/>
      <c r="G358" s="93" t="n"/>
      <c r="H358" s="93" t="n"/>
      <c r="I358" s="93" t="n"/>
      <c r="J358" s="93" t="n"/>
      <c r="K358" s="93" t="n"/>
      <c r="L358" s="93" t="n"/>
      <c r="M358" s="93" t="n"/>
      <c r="N358" s="93" t="n"/>
      <c r="O358" s="93" t="n"/>
      <c r="P358" s="93" t="n"/>
      <c r="Q358" s="93" t="n"/>
      <c r="R358" s="93" t="n"/>
      <c r="S358" s="93" t="n"/>
      <c r="T358" s="93" t="n"/>
      <c r="U358" s="93" t="n"/>
      <c r="V358" s="93" t="n"/>
      <c r="W358" s="93" t="n"/>
      <c r="X358" s="93" t="n"/>
      <c r="Y358" s="93" t="n"/>
      <c r="Z358" s="93" t="n"/>
    </row>
    <row r="359">
      <c r="A359" s="93" t="n"/>
      <c r="B359" s="93" t="n"/>
      <c r="C359" s="93" t="n"/>
      <c r="D359" s="93" t="n"/>
      <c r="E359" s="93" t="n"/>
      <c r="F359" s="93" t="n"/>
      <c r="G359" s="93" t="n"/>
      <c r="H359" s="93" t="n"/>
      <c r="I359" s="93" t="n"/>
      <c r="J359" s="93" t="n"/>
      <c r="K359" s="93" t="n"/>
      <c r="L359" s="93" t="n"/>
      <c r="M359" s="93" t="n"/>
      <c r="N359" s="93" t="n"/>
      <c r="O359" s="93" t="n"/>
      <c r="P359" s="93" t="n"/>
      <c r="Q359" s="93" t="n"/>
      <c r="R359" s="93" t="n"/>
      <c r="S359" s="93" t="n"/>
      <c r="T359" s="93" t="n"/>
      <c r="U359" s="93" t="n"/>
      <c r="V359" s="93" t="n"/>
      <c r="W359" s="93" t="n"/>
      <c r="X359" s="93" t="n"/>
      <c r="Y359" s="93" t="n"/>
      <c r="Z359" s="93" t="n"/>
    </row>
    <row r="360">
      <c r="A360" s="93" t="n"/>
      <c r="B360" s="93" t="n"/>
      <c r="C360" s="93" t="n"/>
      <c r="D360" s="93" t="n"/>
      <c r="E360" s="93" t="n"/>
      <c r="F360" s="93" t="n"/>
      <c r="G360" s="93" t="n"/>
      <c r="H360" s="93" t="n"/>
      <c r="I360" s="93" t="n"/>
      <c r="J360" s="93" t="n"/>
      <c r="K360" s="93" t="n"/>
      <c r="L360" s="93" t="n"/>
      <c r="M360" s="93" t="n"/>
      <c r="N360" s="93" t="n"/>
      <c r="O360" s="93" t="n"/>
      <c r="P360" s="93" t="n"/>
      <c r="Q360" s="93" t="n"/>
      <c r="R360" s="93" t="n"/>
      <c r="S360" s="93" t="n"/>
      <c r="T360" s="93" t="n"/>
      <c r="U360" s="93" t="n"/>
      <c r="V360" s="93" t="n"/>
      <c r="W360" s="93" t="n"/>
      <c r="X360" s="93" t="n"/>
      <c r="Y360" s="93" t="n"/>
      <c r="Z360" s="93" t="n"/>
    </row>
    <row r="361">
      <c r="A361" s="93" t="n"/>
      <c r="B361" s="93" t="n"/>
      <c r="C361" s="93" t="n"/>
      <c r="D361" s="93" t="n"/>
      <c r="E361" s="93" t="n"/>
      <c r="F361" s="93" t="n"/>
      <c r="G361" s="93" t="n"/>
      <c r="H361" s="93" t="n"/>
      <c r="I361" s="93" t="n"/>
      <c r="J361" s="93" t="n"/>
      <c r="K361" s="93" t="n"/>
      <c r="L361" s="93" t="n"/>
      <c r="M361" s="93" t="n"/>
      <c r="N361" s="93" t="n"/>
      <c r="O361" s="93" t="n"/>
      <c r="P361" s="93" t="n"/>
      <c r="Q361" s="93" t="n"/>
      <c r="R361" s="93" t="n"/>
      <c r="S361" s="93" t="n"/>
      <c r="T361" s="93" t="n"/>
      <c r="U361" s="93" t="n"/>
      <c r="V361" s="93" t="n"/>
      <c r="W361" s="93" t="n"/>
      <c r="X361" s="93" t="n"/>
      <c r="Y361" s="93" t="n"/>
      <c r="Z361" s="93" t="n"/>
    </row>
    <row r="362">
      <c r="A362" s="93" t="n"/>
      <c r="B362" s="93" t="n"/>
      <c r="C362" s="93" t="n"/>
      <c r="D362" s="93" t="n"/>
      <c r="E362" s="93" t="n"/>
      <c r="F362" s="93" t="n"/>
      <c r="G362" s="93" t="n"/>
      <c r="H362" s="93" t="n"/>
      <c r="I362" s="93" t="n"/>
      <c r="J362" s="93" t="n"/>
      <c r="K362" s="93" t="n"/>
      <c r="L362" s="93" t="n"/>
      <c r="M362" s="93" t="n"/>
      <c r="N362" s="93" t="n"/>
      <c r="O362" s="93" t="n"/>
      <c r="P362" s="93" t="n"/>
      <c r="Q362" s="93" t="n"/>
      <c r="R362" s="93" t="n"/>
      <c r="S362" s="93" t="n"/>
      <c r="T362" s="93" t="n"/>
      <c r="U362" s="93" t="n"/>
      <c r="V362" s="93" t="n"/>
      <c r="W362" s="93" t="n"/>
      <c r="X362" s="93" t="n"/>
      <c r="Y362" s="93" t="n"/>
      <c r="Z362" s="93" t="n"/>
    </row>
    <row r="363">
      <c r="A363" s="93" t="n"/>
      <c r="B363" s="93" t="n"/>
      <c r="C363" s="93" t="n"/>
      <c r="D363" s="93" t="n"/>
      <c r="E363" s="93" t="n"/>
      <c r="F363" s="93" t="n"/>
      <c r="G363" s="93" t="n"/>
      <c r="H363" s="93" t="n"/>
      <c r="I363" s="93" t="n"/>
      <c r="J363" s="93" t="n"/>
      <c r="K363" s="93" t="n"/>
      <c r="L363" s="93" t="n"/>
      <c r="M363" s="93" t="n"/>
      <c r="N363" s="93" t="n"/>
      <c r="O363" s="93" t="n"/>
      <c r="P363" s="93" t="n"/>
      <c r="Q363" s="93" t="n"/>
      <c r="R363" s="93" t="n"/>
      <c r="S363" s="93" t="n"/>
      <c r="T363" s="93" t="n"/>
      <c r="U363" s="93" t="n"/>
      <c r="V363" s="93" t="n"/>
      <c r="W363" s="93" t="n"/>
      <c r="X363" s="93" t="n"/>
      <c r="Y363" s="93" t="n"/>
      <c r="Z363" s="93" t="n"/>
    </row>
    <row r="364">
      <c r="A364" s="93" t="n"/>
      <c r="B364" s="93" t="n"/>
      <c r="C364" s="93" t="n"/>
      <c r="D364" s="93" t="n"/>
      <c r="E364" s="93" t="n"/>
      <c r="F364" s="93" t="n"/>
      <c r="G364" s="93" t="n"/>
      <c r="H364" s="93" t="n"/>
      <c r="I364" s="93" t="n"/>
      <c r="J364" s="93" t="n"/>
      <c r="K364" s="93" t="n"/>
      <c r="L364" s="93" t="n"/>
      <c r="M364" s="93" t="n"/>
      <c r="N364" s="93" t="n"/>
      <c r="O364" s="93" t="n"/>
      <c r="P364" s="93" t="n"/>
      <c r="Q364" s="93" t="n"/>
      <c r="R364" s="93" t="n"/>
      <c r="S364" s="93" t="n"/>
      <c r="T364" s="93" t="n"/>
      <c r="U364" s="93" t="n"/>
      <c r="V364" s="93" t="n"/>
      <c r="W364" s="93" t="n"/>
      <c r="X364" s="93" t="n"/>
      <c r="Y364" s="93" t="n"/>
      <c r="Z364" s="93" t="n"/>
    </row>
    <row r="365">
      <c r="A365" s="93" t="n"/>
      <c r="B365" s="93" t="n"/>
      <c r="C365" s="93" t="n"/>
      <c r="D365" s="93" t="n"/>
      <c r="E365" s="93" t="n"/>
      <c r="F365" s="93" t="n"/>
      <c r="G365" s="93" t="n"/>
      <c r="H365" s="93" t="n"/>
      <c r="I365" s="93" t="n"/>
      <c r="J365" s="93" t="n"/>
      <c r="K365" s="93" t="n"/>
      <c r="L365" s="93" t="n"/>
      <c r="M365" s="93" t="n"/>
      <c r="N365" s="93" t="n"/>
      <c r="O365" s="93" t="n"/>
      <c r="P365" s="93" t="n"/>
      <c r="Q365" s="93" t="n"/>
      <c r="R365" s="93" t="n"/>
      <c r="S365" s="93" t="n"/>
      <c r="T365" s="93" t="n"/>
      <c r="U365" s="93" t="n"/>
      <c r="V365" s="93" t="n"/>
      <c r="W365" s="93" t="n"/>
      <c r="X365" s="93" t="n"/>
      <c r="Y365" s="93" t="n"/>
      <c r="Z365" s="93" t="n"/>
    </row>
    <row r="366">
      <c r="A366" s="93" t="n"/>
      <c r="B366" s="93" t="n"/>
      <c r="C366" s="93" t="n"/>
      <c r="D366" s="93" t="n"/>
      <c r="E366" s="93" t="n"/>
      <c r="F366" s="93" t="n"/>
      <c r="G366" s="93" t="n"/>
      <c r="H366" s="93" t="n"/>
      <c r="I366" s="93" t="n"/>
      <c r="J366" s="93" t="n"/>
      <c r="K366" s="93" t="n"/>
      <c r="L366" s="93" t="n"/>
      <c r="M366" s="93" t="n"/>
      <c r="N366" s="93" t="n"/>
      <c r="O366" s="93" t="n"/>
      <c r="P366" s="93" t="n"/>
      <c r="Q366" s="93" t="n"/>
      <c r="R366" s="93" t="n"/>
      <c r="S366" s="93" t="n"/>
      <c r="T366" s="93" t="n"/>
      <c r="U366" s="93" t="n"/>
      <c r="V366" s="93" t="n"/>
      <c r="W366" s="93" t="n"/>
      <c r="X366" s="93" t="n"/>
      <c r="Y366" s="93" t="n"/>
      <c r="Z366" s="93" t="n"/>
    </row>
    <row r="367">
      <c r="A367" s="93" t="n"/>
      <c r="B367" s="93" t="n"/>
      <c r="C367" s="93" t="n"/>
      <c r="D367" s="93" t="n"/>
      <c r="E367" s="93" t="n"/>
      <c r="F367" s="93" t="n"/>
      <c r="G367" s="93" t="n"/>
      <c r="H367" s="93" t="n"/>
      <c r="I367" s="93" t="n"/>
      <c r="J367" s="93" t="n"/>
      <c r="K367" s="93" t="n"/>
      <c r="L367" s="93" t="n"/>
      <c r="M367" s="93" t="n"/>
      <c r="N367" s="93" t="n"/>
      <c r="O367" s="93" t="n"/>
      <c r="P367" s="93" t="n"/>
      <c r="Q367" s="93" t="n"/>
      <c r="R367" s="93" t="n"/>
      <c r="S367" s="93" t="n"/>
      <c r="T367" s="93" t="n"/>
      <c r="U367" s="93" t="n"/>
      <c r="V367" s="93" t="n"/>
      <c r="W367" s="93" t="n"/>
      <c r="X367" s="93" t="n"/>
      <c r="Y367" s="93" t="n"/>
      <c r="Z367" s="93" t="n"/>
    </row>
    <row r="368">
      <c r="A368" s="93" t="n"/>
      <c r="B368" s="93" t="n"/>
      <c r="C368" s="93" t="n"/>
      <c r="D368" s="93" t="n"/>
      <c r="E368" s="93" t="n"/>
      <c r="F368" s="93" t="n"/>
      <c r="G368" s="93" t="n"/>
      <c r="H368" s="93" t="n"/>
      <c r="I368" s="93" t="n"/>
      <c r="J368" s="93" t="n"/>
      <c r="K368" s="93" t="n"/>
      <c r="L368" s="93" t="n"/>
      <c r="M368" s="93" t="n"/>
      <c r="N368" s="93" t="n"/>
      <c r="O368" s="93" t="n"/>
      <c r="P368" s="93" t="n"/>
      <c r="Q368" s="93" t="n"/>
      <c r="R368" s="93" t="n"/>
      <c r="S368" s="93" t="n"/>
      <c r="T368" s="93" t="n"/>
      <c r="U368" s="93" t="n"/>
      <c r="V368" s="93" t="n"/>
      <c r="W368" s="93" t="n"/>
      <c r="X368" s="93" t="n"/>
      <c r="Y368" s="93" t="n"/>
      <c r="Z368" s="93" t="n"/>
    </row>
    <row r="369">
      <c r="A369" s="93" t="n"/>
      <c r="B369" s="93" t="n"/>
      <c r="C369" s="93" t="n"/>
      <c r="D369" s="93" t="n"/>
      <c r="E369" s="93" t="n"/>
      <c r="F369" s="93" t="n"/>
      <c r="G369" s="93" t="n"/>
      <c r="H369" s="93" t="n"/>
      <c r="I369" s="93" t="n"/>
      <c r="J369" s="93" t="n"/>
      <c r="K369" s="93" t="n"/>
      <c r="L369" s="93" t="n"/>
      <c r="M369" s="93" t="n"/>
      <c r="N369" s="93" t="n"/>
      <c r="O369" s="93" t="n"/>
      <c r="P369" s="93" t="n"/>
      <c r="Q369" s="93" t="n"/>
      <c r="R369" s="93" t="n"/>
      <c r="S369" s="93" t="n"/>
      <c r="T369" s="93" t="n"/>
      <c r="U369" s="93" t="n"/>
      <c r="V369" s="93" t="n"/>
      <c r="W369" s="93" t="n"/>
      <c r="X369" s="93" t="n"/>
      <c r="Y369" s="93" t="n"/>
      <c r="Z369" s="93" t="n"/>
    </row>
    <row r="370">
      <c r="A370" s="93" t="n"/>
      <c r="B370" s="93" t="n"/>
      <c r="C370" s="93" t="n"/>
      <c r="D370" s="93" t="n"/>
      <c r="E370" s="93" t="n"/>
      <c r="F370" s="93" t="n"/>
      <c r="G370" s="93" t="n"/>
      <c r="H370" s="93" t="n"/>
      <c r="I370" s="93" t="n"/>
      <c r="J370" s="93" t="n"/>
      <c r="K370" s="93" t="n"/>
      <c r="L370" s="93" t="n"/>
      <c r="M370" s="93" t="n"/>
      <c r="N370" s="93" t="n"/>
      <c r="O370" s="93" t="n"/>
      <c r="P370" s="93" t="n"/>
      <c r="Q370" s="93" t="n"/>
      <c r="R370" s="93" t="n"/>
      <c r="S370" s="93" t="n"/>
      <c r="T370" s="93" t="n"/>
      <c r="U370" s="93" t="n"/>
      <c r="V370" s="93" t="n"/>
      <c r="W370" s="93" t="n"/>
      <c r="X370" s="93" t="n"/>
      <c r="Y370" s="93" t="n"/>
      <c r="Z370" s="93" t="n"/>
    </row>
    <row r="371">
      <c r="A371" s="93" t="n"/>
      <c r="B371" s="93" t="n"/>
      <c r="C371" s="93" t="n"/>
      <c r="D371" s="93" t="n"/>
      <c r="E371" s="93" t="n"/>
      <c r="F371" s="93" t="n"/>
      <c r="G371" s="93" t="n"/>
      <c r="H371" s="93" t="n"/>
      <c r="I371" s="93" t="n"/>
      <c r="J371" s="93" t="n"/>
      <c r="K371" s="93" t="n"/>
      <c r="L371" s="93" t="n"/>
      <c r="M371" s="93" t="n"/>
      <c r="N371" s="93" t="n"/>
      <c r="O371" s="93" t="n"/>
      <c r="P371" s="93" t="n"/>
      <c r="Q371" s="93" t="n"/>
      <c r="R371" s="93" t="n"/>
      <c r="S371" s="93" t="n"/>
      <c r="T371" s="93" t="n"/>
      <c r="U371" s="93" t="n"/>
      <c r="V371" s="93" t="n"/>
      <c r="W371" s="93" t="n"/>
      <c r="X371" s="93" t="n"/>
      <c r="Y371" s="93" t="n"/>
      <c r="Z371" s="93" t="n"/>
    </row>
    <row r="372">
      <c r="A372" s="93" t="n"/>
      <c r="B372" s="93" t="n"/>
      <c r="C372" s="93" t="n"/>
      <c r="D372" s="93" t="n"/>
      <c r="E372" s="93" t="n"/>
      <c r="F372" s="93" t="n"/>
      <c r="G372" s="93" t="n"/>
      <c r="H372" s="93" t="n"/>
      <c r="I372" s="93" t="n"/>
      <c r="J372" s="93" t="n"/>
      <c r="K372" s="93" t="n"/>
      <c r="L372" s="93" t="n"/>
      <c r="M372" s="93" t="n"/>
      <c r="N372" s="93" t="n"/>
      <c r="O372" s="93" t="n"/>
      <c r="P372" s="93" t="n"/>
      <c r="Q372" s="93" t="n"/>
      <c r="R372" s="93" t="n"/>
      <c r="S372" s="93" t="n"/>
      <c r="T372" s="93" t="n"/>
      <c r="U372" s="93" t="n"/>
      <c r="V372" s="93" t="n"/>
      <c r="W372" s="93" t="n"/>
      <c r="X372" s="93" t="n"/>
      <c r="Y372" s="93" t="n"/>
      <c r="Z372" s="93" t="n"/>
    </row>
    <row r="373">
      <c r="A373" s="93" t="n"/>
      <c r="B373" s="93" t="n"/>
      <c r="C373" s="93" t="n"/>
      <c r="D373" s="93" t="n"/>
      <c r="E373" s="93" t="n"/>
      <c r="F373" s="93" t="n"/>
      <c r="G373" s="93" t="n"/>
      <c r="H373" s="93" t="n"/>
      <c r="I373" s="93" t="n"/>
      <c r="J373" s="93" t="n"/>
      <c r="K373" s="93" t="n"/>
      <c r="L373" s="93" t="n"/>
      <c r="M373" s="93" t="n"/>
      <c r="N373" s="93" t="n"/>
      <c r="O373" s="93" t="n"/>
      <c r="P373" s="93" t="n"/>
      <c r="Q373" s="93" t="n"/>
      <c r="R373" s="93" t="n"/>
      <c r="S373" s="93" t="n"/>
      <c r="T373" s="93" t="n"/>
      <c r="U373" s="93" t="n"/>
      <c r="V373" s="93" t="n"/>
      <c r="W373" s="93" t="n"/>
      <c r="X373" s="93" t="n"/>
      <c r="Y373" s="93" t="n"/>
      <c r="Z373" s="93" t="n"/>
    </row>
    <row r="374">
      <c r="A374" s="93" t="n"/>
      <c r="B374" s="93" t="n"/>
      <c r="C374" s="93" t="n"/>
      <c r="D374" s="93" t="n"/>
      <c r="E374" s="93" t="n"/>
      <c r="F374" s="93" t="n"/>
      <c r="G374" s="93" t="n"/>
      <c r="H374" s="93" t="n"/>
      <c r="I374" s="93" t="n"/>
      <c r="J374" s="93" t="n"/>
      <c r="K374" s="93" t="n"/>
      <c r="L374" s="93" t="n"/>
      <c r="M374" s="93" t="n"/>
      <c r="N374" s="93" t="n"/>
      <c r="O374" s="93" t="n"/>
      <c r="P374" s="93" t="n"/>
      <c r="Q374" s="93" t="n"/>
      <c r="R374" s="93" t="n"/>
      <c r="S374" s="93" t="n"/>
      <c r="T374" s="93" t="n"/>
      <c r="U374" s="93" t="n"/>
      <c r="V374" s="93" t="n"/>
      <c r="W374" s="93" t="n"/>
      <c r="X374" s="93" t="n"/>
      <c r="Y374" s="93" t="n"/>
      <c r="Z374" s="93" t="n"/>
    </row>
    <row r="375">
      <c r="A375" s="93" t="n"/>
      <c r="B375" s="93" t="n"/>
      <c r="C375" s="93" t="n"/>
      <c r="D375" s="93" t="n"/>
      <c r="E375" s="93" t="n"/>
      <c r="F375" s="93" t="n"/>
      <c r="G375" s="93" t="n"/>
      <c r="H375" s="93" t="n"/>
      <c r="I375" s="93" t="n"/>
      <c r="J375" s="93" t="n"/>
      <c r="K375" s="93" t="n"/>
      <c r="L375" s="93" t="n"/>
      <c r="M375" s="93" t="n"/>
      <c r="N375" s="93" t="n"/>
      <c r="O375" s="93" t="n"/>
      <c r="P375" s="93" t="n"/>
      <c r="Q375" s="93" t="n"/>
      <c r="R375" s="93" t="n"/>
      <c r="S375" s="93" t="n"/>
      <c r="T375" s="93" t="n"/>
      <c r="U375" s="93" t="n"/>
      <c r="V375" s="93" t="n"/>
      <c r="W375" s="93" t="n"/>
      <c r="X375" s="93" t="n"/>
      <c r="Y375" s="93" t="n"/>
      <c r="Z375" s="93" t="n"/>
    </row>
    <row r="376">
      <c r="A376" s="93" t="n"/>
      <c r="B376" s="93" t="n"/>
      <c r="C376" s="93" t="n"/>
      <c r="D376" s="93" t="n"/>
      <c r="E376" s="93" t="n"/>
      <c r="F376" s="93" t="n"/>
      <c r="G376" s="93" t="n"/>
      <c r="H376" s="93" t="n"/>
      <c r="I376" s="93" t="n"/>
      <c r="J376" s="93" t="n"/>
      <c r="K376" s="93" t="n"/>
      <c r="L376" s="93" t="n"/>
      <c r="M376" s="93" t="n"/>
      <c r="N376" s="93" t="n"/>
      <c r="O376" s="93" t="n"/>
      <c r="P376" s="93" t="n"/>
      <c r="Q376" s="93" t="n"/>
      <c r="R376" s="93" t="n"/>
      <c r="S376" s="93" t="n"/>
      <c r="T376" s="93" t="n"/>
      <c r="U376" s="93" t="n"/>
      <c r="V376" s="93" t="n"/>
      <c r="W376" s="93" t="n"/>
      <c r="X376" s="93" t="n"/>
      <c r="Y376" s="93" t="n"/>
      <c r="Z376" s="93" t="n"/>
    </row>
    <row r="377">
      <c r="A377" s="93" t="n"/>
      <c r="B377" s="93" t="n"/>
      <c r="C377" s="93" t="n"/>
      <c r="D377" s="93" t="n"/>
      <c r="E377" s="93" t="n"/>
      <c r="F377" s="93" t="n"/>
      <c r="G377" s="93" t="n"/>
      <c r="H377" s="93" t="n"/>
      <c r="I377" s="93" t="n"/>
      <c r="J377" s="93" t="n"/>
      <c r="K377" s="93" t="n"/>
      <c r="L377" s="93" t="n"/>
      <c r="M377" s="93" t="n"/>
      <c r="N377" s="93" t="n"/>
      <c r="O377" s="93" t="n"/>
      <c r="P377" s="93" t="n"/>
      <c r="Q377" s="93" t="n"/>
      <c r="R377" s="93" t="n"/>
      <c r="S377" s="93" t="n"/>
      <c r="T377" s="93" t="n"/>
      <c r="U377" s="93" t="n"/>
      <c r="V377" s="93" t="n"/>
      <c r="W377" s="93" t="n"/>
      <c r="X377" s="93" t="n"/>
      <c r="Y377" s="93" t="n"/>
      <c r="Z377" s="93" t="n"/>
    </row>
    <row r="378">
      <c r="A378" s="93" t="n"/>
      <c r="B378" s="93" t="n"/>
      <c r="C378" s="93" t="n"/>
      <c r="D378" s="93" t="n"/>
      <c r="E378" s="93" t="n"/>
      <c r="F378" s="93" t="n"/>
      <c r="G378" s="93" t="n"/>
      <c r="H378" s="93" t="n"/>
      <c r="I378" s="93" t="n"/>
      <c r="J378" s="93" t="n"/>
      <c r="K378" s="93" t="n"/>
      <c r="L378" s="93" t="n"/>
      <c r="M378" s="93" t="n"/>
      <c r="N378" s="93" t="n"/>
      <c r="O378" s="93" t="n"/>
      <c r="P378" s="93" t="n"/>
      <c r="Q378" s="93" t="n"/>
      <c r="R378" s="93" t="n"/>
      <c r="S378" s="93" t="n"/>
      <c r="T378" s="93" t="n"/>
      <c r="U378" s="93" t="n"/>
      <c r="V378" s="93" t="n"/>
      <c r="W378" s="93" t="n"/>
      <c r="X378" s="93" t="n"/>
      <c r="Y378" s="93" t="n"/>
      <c r="Z378" s="93" t="n"/>
    </row>
    <row r="379">
      <c r="A379" s="93" t="n"/>
      <c r="B379" s="93" t="n"/>
      <c r="C379" s="93" t="n"/>
      <c r="D379" s="93" t="n"/>
      <c r="E379" s="93" t="n"/>
      <c r="F379" s="93" t="n"/>
      <c r="G379" s="93" t="n"/>
      <c r="H379" s="93" t="n"/>
      <c r="I379" s="93" t="n"/>
      <c r="J379" s="93" t="n"/>
      <c r="K379" s="93" t="n"/>
      <c r="L379" s="93" t="n"/>
      <c r="M379" s="93" t="n"/>
      <c r="N379" s="93" t="n"/>
      <c r="O379" s="93" t="n"/>
      <c r="P379" s="93" t="n"/>
      <c r="Q379" s="93" t="n"/>
      <c r="R379" s="93" t="n"/>
      <c r="S379" s="93" t="n"/>
      <c r="T379" s="93" t="n"/>
      <c r="U379" s="93" t="n"/>
      <c r="V379" s="93" t="n"/>
      <c r="W379" s="93" t="n"/>
      <c r="X379" s="93" t="n"/>
      <c r="Y379" s="93" t="n"/>
      <c r="Z379" s="93" t="n"/>
    </row>
    <row r="380">
      <c r="A380" s="93" t="n"/>
      <c r="B380" s="93" t="n"/>
      <c r="C380" s="93" t="n"/>
      <c r="D380" s="93" t="n"/>
      <c r="E380" s="93" t="n"/>
      <c r="F380" s="93" t="n"/>
      <c r="G380" s="93" t="n"/>
      <c r="H380" s="93" t="n"/>
      <c r="I380" s="93" t="n"/>
      <c r="J380" s="93" t="n"/>
      <c r="K380" s="93" t="n"/>
      <c r="L380" s="93" t="n"/>
      <c r="M380" s="93" t="n"/>
      <c r="N380" s="93" t="n"/>
      <c r="O380" s="93" t="n"/>
      <c r="P380" s="93" t="n"/>
      <c r="Q380" s="93" t="n"/>
      <c r="R380" s="93" t="n"/>
      <c r="S380" s="93" t="n"/>
      <c r="T380" s="93" t="n"/>
      <c r="U380" s="93" t="n"/>
      <c r="V380" s="93" t="n"/>
      <c r="W380" s="93" t="n"/>
      <c r="X380" s="93" t="n"/>
      <c r="Y380" s="93" t="n"/>
      <c r="Z380" s="93" t="n"/>
    </row>
    <row r="381">
      <c r="A381" s="93" t="n"/>
      <c r="B381" s="93" t="n"/>
      <c r="C381" s="93" t="n"/>
      <c r="D381" s="93" t="n"/>
      <c r="E381" s="93" t="n"/>
      <c r="F381" s="93" t="n"/>
      <c r="G381" s="93" t="n"/>
      <c r="H381" s="93" t="n"/>
      <c r="I381" s="93" t="n"/>
      <c r="J381" s="93" t="n"/>
      <c r="K381" s="93" t="n"/>
      <c r="L381" s="93" t="n"/>
      <c r="M381" s="93" t="n"/>
      <c r="N381" s="93" t="n"/>
      <c r="O381" s="93" t="n"/>
      <c r="P381" s="93" t="n"/>
      <c r="Q381" s="93" t="n"/>
      <c r="R381" s="93" t="n"/>
      <c r="S381" s="93" t="n"/>
      <c r="T381" s="93" t="n"/>
      <c r="U381" s="93" t="n"/>
      <c r="V381" s="93" t="n"/>
      <c r="W381" s="93" t="n"/>
      <c r="X381" s="93" t="n"/>
      <c r="Y381" s="93" t="n"/>
      <c r="Z381" s="93" t="n"/>
    </row>
    <row r="382">
      <c r="A382" s="93" t="n"/>
      <c r="B382" s="93" t="n"/>
      <c r="C382" s="93" t="n"/>
      <c r="D382" s="93" t="n"/>
      <c r="E382" s="93" t="n"/>
      <c r="F382" s="93" t="n"/>
      <c r="G382" s="93" t="n"/>
      <c r="H382" s="93" t="n"/>
      <c r="I382" s="93" t="n"/>
      <c r="J382" s="93" t="n"/>
      <c r="K382" s="93" t="n"/>
      <c r="L382" s="93" t="n"/>
      <c r="M382" s="93" t="n"/>
      <c r="N382" s="93" t="n"/>
      <c r="O382" s="93" t="n"/>
      <c r="P382" s="93" t="n"/>
      <c r="Q382" s="93" t="n"/>
      <c r="R382" s="93" t="n"/>
      <c r="S382" s="93" t="n"/>
      <c r="T382" s="93" t="n"/>
      <c r="U382" s="93" t="n"/>
      <c r="V382" s="93" t="n"/>
      <c r="W382" s="93" t="n"/>
      <c r="X382" s="93" t="n"/>
      <c r="Y382" s="93" t="n"/>
      <c r="Z382" s="93" t="n"/>
    </row>
    <row r="383">
      <c r="A383" s="93" t="n"/>
      <c r="B383" s="93" t="n"/>
      <c r="C383" s="93" t="n"/>
      <c r="D383" s="93" t="n"/>
      <c r="E383" s="93" t="n"/>
      <c r="F383" s="93" t="n"/>
      <c r="G383" s="93" t="n"/>
      <c r="H383" s="93" t="n"/>
      <c r="I383" s="93" t="n"/>
      <c r="J383" s="93" t="n"/>
      <c r="K383" s="93" t="n"/>
      <c r="L383" s="93" t="n"/>
      <c r="M383" s="93" t="n"/>
      <c r="N383" s="93" t="n"/>
      <c r="O383" s="93" t="n"/>
      <c r="P383" s="93" t="n"/>
      <c r="Q383" s="93" t="n"/>
      <c r="R383" s="93" t="n"/>
      <c r="S383" s="93" t="n"/>
      <c r="T383" s="93" t="n"/>
      <c r="U383" s="93" t="n"/>
      <c r="V383" s="93" t="n"/>
      <c r="W383" s="93" t="n"/>
      <c r="X383" s="93" t="n"/>
      <c r="Y383" s="93" t="n"/>
      <c r="Z383" s="93" t="n"/>
    </row>
    <row r="384">
      <c r="A384" s="93" t="n"/>
      <c r="B384" s="93" t="n"/>
      <c r="C384" s="93" t="n"/>
      <c r="D384" s="93" t="n"/>
      <c r="E384" s="93" t="n"/>
      <c r="F384" s="93" t="n"/>
      <c r="G384" s="93" t="n"/>
      <c r="H384" s="93" t="n"/>
      <c r="I384" s="93" t="n"/>
      <c r="J384" s="93" t="n"/>
      <c r="K384" s="93" t="n"/>
      <c r="L384" s="93" t="n"/>
      <c r="M384" s="93" t="n"/>
      <c r="N384" s="93" t="n"/>
      <c r="O384" s="93" t="n"/>
      <c r="P384" s="93" t="n"/>
      <c r="Q384" s="93" t="n"/>
      <c r="R384" s="93" t="n"/>
      <c r="S384" s="93" t="n"/>
      <c r="T384" s="93" t="n"/>
      <c r="U384" s="93" t="n"/>
      <c r="V384" s="93" t="n"/>
      <c r="W384" s="93" t="n"/>
      <c r="X384" s="93" t="n"/>
      <c r="Y384" s="93" t="n"/>
      <c r="Z384" s="93" t="n"/>
    </row>
    <row r="385">
      <c r="A385" s="93" t="n"/>
      <c r="B385" s="93" t="n"/>
      <c r="C385" s="93" t="n"/>
      <c r="D385" s="93" t="n"/>
      <c r="E385" s="93" t="n"/>
      <c r="F385" s="93" t="n"/>
      <c r="G385" s="93" t="n"/>
      <c r="H385" s="93" t="n"/>
      <c r="I385" s="93" t="n"/>
      <c r="J385" s="93" t="n"/>
      <c r="K385" s="93" t="n"/>
      <c r="L385" s="93" t="n"/>
      <c r="M385" s="93" t="n"/>
      <c r="N385" s="93" t="n"/>
      <c r="O385" s="93" t="n"/>
      <c r="P385" s="93" t="n"/>
      <c r="Q385" s="93" t="n"/>
      <c r="R385" s="93" t="n"/>
      <c r="S385" s="93" t="n"/>
      <c r="T385" s="93" t="n"/>
      <c r="U385" s="93" t="n"/>
      <c r="V385" s="93" t="n"/>
      <c r="W385" s="93" t="n"/>
      <c r="X385" s="93" t="n"/>
      <c r="Y385" s="93" t="n"/>
      <c r="Z385" s="93" t="n"/>
    </row>
    <row r="386">
      <c r="A386" s="93" t="n"/>
      <c r="B386" s="93" t="n"/>
      <c r="C386" s="93" t="n"/>
      <c r="D386" s="93" t="n"/>
      <c r="E386" s="93" t="n"/>
      <c r="F386" s="93" t="n"/>
      <c r="G386" s="93" t="n"/>
      <c r="H386" s="93" t="n"/>
      <c r="I386" s="93" t="n"/>
      <c r="J386" s="93" t="n"/>
      <c r="K386" s="93" t="n"/>
      <c r="L386" s="93" t="n"/>
      <c r="M386" s="93" t="n"/>
      <c r="N386" s="93" t="n"/>
      <c r="O386" s="93" t="n"/>
      <c r="P386" s="93" t="n"/>
      <c r="Q386" s="93" t="n"/>
      <c r="R386" s="93" t="n"/>
      <c r="S386" s="93" t="n"/>
      <c r="T386" s="93" t="n"/>
      <c r="U386" s="93" t="n"/>
      <c r="V386" s="93" t="n"/>
      <c r="W386" s="93" t="n"/>
      <c r="X386" s="93" t="n"/>
      <c r="Y386" s="93" t="n"/>
      <c r="Z386" s="93" t="n"/>
    </row>
    <row r="387">
      <c r="A387" s="93" t="n"/>
      <c r="B387" s="93" t="n"/>
      <c r="C387" s="93" t="n"/>
      <c r="D387" s="93" t="n"/>
      <c r="E387" s="93" t="n"/>
      <c r="F387" s="93" t="n"/>
      <c r="G387" s="93" t="n"/>
      <c r="H387" s="93" t="n"/>
      <c r="I387" s="93" t="n"/>
      <c r="J387" s="93" t="n"/>
      <c r="K387" s="93" t="n"/>
      <c r="L387" s="93" t="n"/>
      <c r="M387" s="93" t="n"/>
      <c r="N387" s="93" t="n"/>
      <c r="O387" s="93" t="n"/>
      <c r="P387" s="93" t="n"/>
      <c r="Q387" s="93" t="n"/>
      <c r="R387" s="93" t="n"/>
      <c r="S387" s="93" t="n"/>
      <c r="T387" s="93" t="n"/>
      <c r="U387" s="93" t="n"/>
      <c r="V387" s="93" t="n"/>
      <c r="W387" s="93" t="n"/>
      <c r="X387" s="93" t="n"/>
      <c r="Y387" s="93" t="n"/>
      <c r="Z387" s="93" t="n"/>
    </row>
    <row r="388">
      <c r="A388" s="93" t="n"/>
      <c r="B388" s="93" t="n"/>
      <c r="C388" s="93" t="n"/>
      <c r="D388" s="93" t="n"/>
      <c r="E388" s="93" t="n"/>
      <c r="F388" s="93" t="n"/>
      <c r="G388" s="93" t="n"/>
      <c r="H388" s="93" t="n"/>
      <c r="I388" s="93" t="n"/>
      <c r="J388" s="93" t="n"/>
      <c r="K388" s="93" t="n"/>
      <c r="L388" s="93" t="n"/>
      <c r="M388" s="93" t="n"/>
      <c r="N388" s="93" t="n"/>
      <c r="O388" s="93" t="n"/>
      <c r="P388" s="93" t="n"/>
      <c r="Q388" s="93" t="n"/>
      <c r="R388" s="93" t="n"/>
      <c r="S388" s="93" t="n"/>
      <c r="T388" s="93" t="n"/>
      <c r="U388" s="93" t="n"/>
      <c r="V388" s="93" t="n"/>
      <c r="W388" s="93" t="n"/>
      <c r="X388" s="93" t="n"/>
      <c r="Y388" s="93" t="n"/>
      <c r="Z388" s="93" t="n"/>
    </row>
    <row r="389">
      <c r="A389" s="93" t="n"/>
      <c r="B389" s="93" t="n"/>
      <c r="C389" s="93" t="n"/>
      <c r="D389" s="93" t="n"/>
      <c r="E389" s="93" t="n"/>
      <c r="F389" s="93" t="n"/>
      <c r="G389" s="93" t="n"/>
      <c r="H389" s="93" t="n"/>
      <c r="I389" s="93" t="n"/>
      <c r="J389" s="93" t="n"/>
      <c r="K389" s="93" t="n"/>
      <c r="L389" s="93" t="n"/>
      <c r="M389" s="93" t="n"/>
      <c r="N389" s="93" t="n"/>
      <c r="O389" s="93" t="n"/>
      <c r="P389" s="93" t="n"/>
      <c r="Q389" s="93" t="n"/>
      <c r="R389" s="93" t="n"/>
      <c r="S389" s="93" t="n"/>
      <c r="T389" s="93" t="n"/>
      <c r="U389" s="93" t="n"/>
      <c r="V389" s="93" t="n"/>
      <c r="W389" s="93" t="n"/>
      <c r="X389" s="93" t="n"/>
      <c r="Y389" s="93" t="n"/>
      <c r="Z389" s="93" t="n"/>
    </row>
    <row r="390">
      <c r="A390" s="93" t="n"/>
      <c r="B390" s="93" t="n"/>
      <c r="C390" s="93" t="n"/>
      <c r="D390" s="93" t="n"/>
      <c r="E390" s="93" t="n"/>
      <c r="F390" s="93" t="n"/>
      <c r="G390" s="93" t="n"/>
      <c r="H390" s="93" t="n"/>
      <c r="I390" s="93" t="n"/>
      <c r="J390" s="93" t="n"/>
      <c r="K390" s="93" t="n"/>
      <c r="L390" s="93" t="n"/>
      <c r="M390" s="93" t="n"/>
      <c r="N390" s="93" t="n"/>
      <c r="O390" s="93" t="n"/>
      <c r="P390" s="93" t="n"/>
      <c r="Q390" s="93" t="n"/>
      <c r="R390" s="93" t="n"/>
      <c r="S390" s="93" t="n"/>
      <c r="T390" s="93" t="n"/>
      <c r="U390" s="93" t="n"/>
      <c r="V390" s="93" t="n"/>
      <c r="W390" s="93" t="n"/>
      <c r="X390" s="93" t="n"/>
      <c r="Y390" s="93" t="n"/>
      <c r="Z390" s="93" t="n"/>
    </row>
    <row r="391">
      <c r="A391" s="93" t="n"/>
      <c r="B391" s="93" t="n"/>
      <c r="C391" s="93" t="n"/>
      <c r="D391" s="93" t="n"/>
      <c r="E391" s="93" t="n"/>
      <c r="F391" s="93" t="n"/>
      <c r="G391" s="93" t="n"/>
      <c r="H391" s="93" t="n"/>
      <c r="I391" s="93" t="n"/>
      <c r="J391" s="93" t="n"/>
      <c r="K391" s="93" t="n"/>
      <c r="L391" s="93" t="n"/>
      <c r="M391" s="93" t="n"/>
      <c r="N391" s="93" t="n"/>
      <c r="O391" s="93" t="n"/>
      <c r="P391" s="93" t="n"/>
      <c r="Q391" s="93" t="n"/>
      <c r="R391" s="93" t="n"/>
      <c r="S391" s="93" t="n"/>
      <c r="T391" s="93" t="n"/>
      <c r="U391" s="93" t="n"/>
      <c r="V391" s="93" t="n"/>
      <c r="W391" s="93" t="n"/>
      <c r="X391" s="93" t="n"/>
      <c r="Y391" s="93" t="n"/>
      <c r="Z391" s="93" t="n"/>
    </row>
    <row r="392">
      <c r="A392" s="93" t="n"/>
      <c r="B392" s="93" t="n"/>
      <c r="C392" s="93" t="n"/>
      <c r="D392" s="93" t="n"/>
      <c r="E392" s="93" t="n"/>
      <c r="F392" s="93" t="n"/>
      <c r="G392" s="93" t="n"/>
      <c r="H392" s="93" t="n"/>
      <c r="I392" s="93" t="n"/>
      <c r="J392" s="93" t="n"/>
      <c r="K392" s="93" t="n"/>
      <c r="L392" s="93" t="n"/>
      <c r="M392" s="93" t="n"/>
      <c r="N392" s="93" t="n"/>
      <c r="O392" s="93" t="n"/>
      <c r="P392" s="93" t="n"/>
      <c r="Q392" s="93" t="n"/>
      <c r="R392" s="93" t="n"/>
      <c r="S392" s="93" t="n"/>
      <c r="T392" s="93" t="n"/>
      <c r="U392" s="93" t="n"/>
      <c r="V392" s="93" t="n"/>
      <c r="W392" s="93" t="n"/>
      <c r="X392" s="93" t="n"/>
      <c r="Y392" s="93" t="n"/>
      <c r="Z392" s="93" t="n"/>
    </row>
    <row r="393">
      <c r="A393" s="93" t="n"/>
      <c r="B393" s="93" t="n"/>
      <c r="C393" s="93" t="n"/>
      <c r="D393" s="93" t="n"/>
      <c r="E393" s="93" t="n"/>
      <c r="F393" s="93" t="n"/>
      <c r="G393" s="93" t="n"/>
      <c r="H393" s="93" t="n"/>
      <c r="I393" s="93" t="n"/>
      <c r="J393" s="93" t="n"/>
      <c r="K393" s="93" t="n"/>
      <c r="L393" s="93" t="n"/>
      <c r="M393" s="93" t="n"/>
      <c r="N393" s="93" t="n"/>
      <c r="O393" s="93" t="n"/>
      <c r="P393" s="93" t="n"/>
      <c r="Q393" s="93" t="n"/>
      <c r="R393" s="93" t="n"/>
      <c r="S393" s="93" t="n"/>
      <c r="T393" s="93" t="n"/>
      <c r="U393" s="93" t="n"/>
      <c r="V393" s="93" t="n"/>
      <c r="W393" s="93" t="n"/>
      <c r="X393" s="93" t="n"/>
      <c r="Y393" s="93" t="n"/>
      <c r="Z393" s="93" t="n"/>
    </row>
    <row r="394">
      <c r="A394" s="93" t="n"/>
      <c r="B394" s="93" t="n"/>
      <c r="C394" s="93" t="n"/>
      <c r="D394" s="93" t="n"/>
      <c r="E394" s="93" t="n"/>
      <c r="F394" s="93" t="n"/>
      <c r="G394" s="93" t="n"/>
      <c r="H394" s="93" t="n"/>
      <c r="I394" s="93" t="n"/>
      <c r="J394" s="93" t="n"/>
      <c r="K394" s="93" t="n"/>
      <c r="L394" s="93" t="n"/>
      <c r="M394" s="93" t="n"/>
      <c r="N394" s="93" t="n"/>
      <c r="O394" s="93" t="n"/>
      <c r="P394" s="93" t="n"/>
      <c r="Q394" s="93" t="n"/>
      <c r="R394" s="93" t="n"/>
      <c r="S394" s="93" t="n"/>
      <c r="T394" s="93" t="n"/>
      <c r="U394" s="93" t="n"/>
      <c r="V394" s="93" t="n"/>
      <c r="W394" s="93" t="n"/>
      <c r="X394" s="93" t="n"/>
      <c r="Y394" s="93" t="n"/>
      <c r="Z394" s="93" t="n"/>
    </row>
    <row r="395">
      <c r="A395" s="93" t="n"/>
      <c r="B395" s="93" t="n"/>
      <c r="C395" s="93" t="n"/>
      <c r="D395" s="93" t="n"/>
      <c r="E395" s="93" t="n"/>
      <c r="F395" s="93" t="n"/>
      <c r="G395" s="93" t="n"/>
      <c r="H395" s="93" t="n"/>
      <c r="I395" s="93" t="n"/>
      <c r="J395" s="93" t="n"/>
      <c r="K395" s="93" t="n"/>
      <c r="L395" s="93" t="n"/>
      <c r="M395" s="93" t="n"/>
      <c r="N395" s="93" t="n"/>
      <c r="O395" s="93" t="n"/>
      <c r="P395" s="93" t="n"/>
      <c r="Q395" s="93" t="n"/>
      <c r="R395" s="93" t="n"/>
      <c r="S395" s="93" t="n"/>
      <c r="T395" s="93" t="n"/>
      <c r="U395" s="93" t="n"/>
      <c r="V395" s="93" t="n"/>
      <c r="W395" s="93" t="n"/>
      <c r="X395" s="93" t="n"/>
      <c r="Y395" s="93" t="n"/>
      <c r="Z395" s="93" t="n"/>
    </row>
    <row r="396">
      <c r="A396" s="93" t="n"/>
      <c r="B396" s="93" t="n"/>
      <c r="C396" s="93" t="n"/>
      <c r="D396" s="93" t="n"/>
      <c r="E396" s="93" t="n"/>
      <c r="F396" s="93" t="n"/>
      <c r="G396" s="93" t="n"/>
      <c r="H396" s="93" t="n"/>
      <c r="I396" s="93" t="n"/>
      <c r="J396" s="93" t="n"/>
      <c r="K396" s="93" t="n"/>
      <c r="L396" s="93" t="n"/>
      <c r="M396" s="93" t="n"/>
      <c r="N396" s="93" t="n"/>
      <c r="O396" s="93" t="n"/>
      <c r="P396" s="93" t="n"/>
      <c r="Q396" s="93" t="n"/>
      <c r="R396" s="93" t="n"/>
      <c r="S396" s="93" t="n"/>
      <c r="T396" s="93" t="n"/>
      <c r="U396" s="93" t="n"/>
      <c r="V396" s="93" t="n"/>
      <c r="W396" s="93" t="n"/>
      <c r="X396" s="93" t="n"/>
      <c r="Y396" s="93" t="n"/>
      <c r="Z396" s="93" t="n"/>
    </row>
    <row r="397">
      <c r="A397" s="93" t="n"/>
      <c r="B397" s="93" t="n"/>
      <c r="C397" s="93" t="n"/>
      <c r="D397" s="93" t="n"/>
      <c r="E397" s="93" t="n"/>
      <c r="F397" s="93" t="n"/>
      <c r="G397" s="93" t="n"/>
      <c r="H397" s="93" t="n"/>
      <c r="I397" s="93" t="n"/>
      <c r="J397" s="93" t="n"/>
      <c r="K397" s="93" t="n"/>
      <c r="L397" s="93" t="n"/>
      <c r="M397" s="93" t="n"/>
      <c r="N397" s="93" t="n"/>
      <c r="O397" s="93" t="n"/>
      <c r="P397" s="93" t="n"/>
      <c r="Q397" s="93" t="n"/>
      <c r="R397" s="93" t="n"/>
      <c r="S397" s="93" t="n"/>
      <c r="T397" s="93" t="n"/>
      <c r="U397" s="93" t="n"/>
      <c r="V397" s="93" t="n"/>
      <c r="W397" s="93" t="n"/>
      <c r="X397" s="93" t="n"/>
      <c r="Y397" s="93" t="n"/>
      <c r="Z397" s="93" t="n"/>
    </row>
    <row r="398">
      <c r="A398" s="93" t="n"/>
      <c r="B398" s="93" t="n"/>
      <c r="C398" s="93" t="n"/>
      <c r="D398" s="93" t="n"/>
      <c r="E398" s="93" t="n"/>
      <c r="F398" s="93" t="n"/>
      <c r="G398" s="93" t="n"/>
      <c r="H398" s="93" t="n"/>
      <c r="I398" s="93" t="n"/>
      <c r="J398" s="93" t="n"/>
      <c r="K398" s="93" t="n"/>
      <c r="L398" s="93" t="n"/>
      <c r="M398" s="93" t="n"/>
      <c r="N398" s="93" t="n"/>
      <c r="O398" s="93" t="n"/>
      <c r="P398" s="93" t="n"/>
      <c r="Q398" s="93" t="n"/>
      <c r="R398" s="93" t="n"/>
      <c r="S398" s="93" t="n"/>
      <c r="T398" s="93" t="n"/>
      <c r="U398" s="93" t="n"/>
      <c r="V398" s="93" t="n"/>
      <c r="W398" s="93" t="n"/>
      <c r="X398" s="93" t="n"/>
      <c r="Y398" s="93" t="n"/>
      <c r="Z398" s="93" t="n"/>
    </row>
    <row r="399">
      <c r="A399" s="93" t="n"/>
      <c r="B399" s="93" t="n"/>
      <c r="C399" s="93" t="n"/>
      <c r="D399" s="93" t="n"/>
      <c r="E399" s="93" t="n"/>
      <c r="F399" s="93" t="n"/>
      <c r="G399" s="93" t="n"/>
      <c r="H399" s="93" t="n"/>
      <c r="I399" s="93" t="n"/>
      <c r="J399" s="93" t="n"/>
      <c r="K399" s="93" t="n"/>
      <c r="L399" s="93" t="n"/>
      <c r="M399" s="93" t="n"/>
      <c r="N399" s="93" t="n"/>
      <c r="O399" s="93" t="n"/>
      <c r="P399" s="93" t="n"/>
      <c r="Q399" s="93" t="n"/>
      <c r="R399" s="93" t="n"/>
      <c r="S399" s="93" t="n"/>
      <c r="T399" s="93" t="n"/>
      <c r="U399" s="93" t="n"/>
      <c r="V399" s="93" t="n"/>
      <c r="W399" s="93" t="n"/>
      <c r="X399" s="93" t="n"/>
      <c r="Y399" s="93" t="n"/>
      <c r="Z399" s="93" t="n"/>
    </row>
    <row r="400">
      <c r="A400" s="93" t="n"/>
      <c r="B400" s="93" t="n"/>
      <c r="C400" s="93" t="n"/>
      <c r="D400" s="93" t="n"/>
      <c r="E400" s="93" t="n"/>
      <c r="F400" s="93" t="n"/>
      <c r="G400" s="93" t="n"/>
      <c r="H400" s="93" t="n"/>
      <c r="I400" s="93" t="n"/>
      <c r="J400" s="93" t="n"/>
      <c r="K400" s="93" t="n"/>
      <c r="L400" s="93" t="n"/>
      <c r="M400" s="93" t="n"/>
      <c r="N400" s="93" t="n"/>
      <c r="O400" s="93" t="n"/>
      <c r="P400" s="93" t="n"/>
      <c r="Q400" s="93" t="n"/>
      <c r="R400" s="93" t="n"/>
      <c r="S400" s="93" t="n"/>
      <c r="T400" s="93" t="n"/>
      <c r="U400" s="93" t="n"/>
      <c r="V400" s="93" t="n"/>
      <c r="W400" s="93" t="n"/>
      <c r="X400" s="93" t="n"/>
      <c r="Y400" s="93" t="n"/>
      <c r="Z400" s="93" t="n"/>
    </row>
    <row r="401">
      <c r="A401" s="93" t="n"/>
      <c r="B401" s="93" t="n"/>
      <c r="C401" s="93" t="n"/>
      <c r="D401" s="93" t="n"/>
      <c r="E401" s="93" t="n"/>
      <c r="F401" s="93" t="n"/>
      <c r="G401" s="93" t="n"/>
      <c r="H401" s="93" t="n"/>
      <c r="I401" s="93" t="n"/>
      <c r="J401" s="93" t="n"/>
      <c r="K401" s="93" t="n"/>
      <c r="L401" s="93" t="n"/>
      <c r="M401" s="93" t="n"/>
      <c r="N401" s="93" t="n"/>
      <c r="O401" s="93" t="n"/>
      <c r="P401" s="93" t="n"/>
      <c r="Q401" s="93" t="n"/>
      <c r="R401" s="93" t="n"/>
      <c r="S401" s="93" t="n"/>
      <c r="T401" s="93" t="n"/>
      <c r="U401" s="93" t="n"/>
      <c r="V401" s="93" t="n"/>
      <c r="W401" s="93" t="n"/>
      <c r="X401" s="93" t="n"/>
      <c r="Y401" s="93" t="n"/>
      <c r="Z401" s="93" t="n"/>
    </row>
    <row r="402">
      <c r="A402" s="93" t="n"/>
      <c r="B402" s="93" t="n"/>
      <c r="C402" s="93" t="n"/>
      <c r="D402" s="93" t="n"/>
      <c r="E402" s="93" t="n"/>
      <c r="F402" s="93" t="n"/>
      <c r="G402" s="93" t="n"/>
      <c r="H402" s="93" t="n"/>
      <c r="I402" s="93" t="n"/>
      <c r="J402" s="93" t="n"/>
      <c r="K402" s="93" t="n"/>
      <c r="L402" s="93" t="n"/>
      <c r="M402" s="93" t="n"/>
      <c r="N402" s="93" t="n"/>
      <c r="O402" s="93" t="n"/>
      <c r="P402" s="93" t="n"/>
      <c r="Q402" s="93" t="n"/>
      <c r="R402" s="93" t="n"/>
      <c r="S402" s="93" t="n"/>
      <c r="T402" s="93" t="n"/>
      <c r="U402" s="93" t="n"/>
      <c r="V402" s="93" t="n"/>
      <c r="W402" s="93" t="n"/>
      <c r="X402" s="93" t="n"/>
      <c r="Y402" s="93" t="n"/>
      <c r="Z402" s="93" t="n"/>
    </row>
    <row r="403">
      <c r="A403" s="93" t="n"/>
      <c r="B403" s="93" t="n"/>
      <c r="C403" s="93" t="n"/>
      <c r="D403" s="93" t="n"/>
      <c r="E403" s="93" t="n"/>
      <c r="F403" s="93" t="n"/>
      <c r="G403" s="93" t="n"/>
      <c r="H403" s="93" t="n"/>
      <c r="I403" s="93" t="n"/>
      <c r="J403" s="93" t="n"/>
      <c r="K403" s="93" t="n"/>
      <c r="L403" s="93" t="n"/>
      <c r="M403" s="93" t="n"/>
      <c r="N403" s="93" t="n"/>
      <c r="O403" s="93" t="n"/>
      <c r="P403" s="93" t="n"/>
      <c r="Q403" s="93" t="n"/>
      <c r="R403" s="93" t="n"/>
      <c r="S403" s="93" t="n"/>
      <c r="T403" s="93" t="n"/>
      <c r="U403" s="93" t="n"/>
      <c r="V403" s="93" t="n"/>
      <c r="W403" s="93" t="n"/>
      <c r="X403" s="93" t="n"/>
      <c r="Y403" s="93" t="n"/>
      <c r="Z403" s="93" t="n"/>
    </row>
    <row r="404">
      <c r="A404" s="93" t="n"/>
      <c r="B404" s="93" t="n"/>
      <c r="C404" s="93" t="n"/>
      <c r="D404" s="93" t="n"/>
      <c r="E404" s="93" t="n"/>
      <c r="F404" s="93" t="n"/>
      <c r="G404" s="93" t="n"/>
      <c r="H404" s="93" t="n"/>
      <c r="I404" s="93" t="n"/>
      <c r="J404" s="93" t="n"/>
      <c r="K404" s="93" t="n"/>
      <c r="L404" s="93" t="n"/>
      <c r="M404" s="93" t="n"/>
      <c r="N404" s="93" t="n"/>
      <c r="O404" s="93" t="n"/>
      <c r="P404" s="93" t="n"/>
      <c r="Q404" s="93" t="n"/>
      <c r="R404" s="93" t="n"/>
      <c r="S404" s="93" t="n"/>
      <c r="T404" s="93" t="n"/>
      <c r="U404" s="93" t="n"/>
      <c r="V404" s="93" t="n"/>
      <c r="W404" s="93" t="n"/>
      <c r="X404" s="93" t="n"/>
      <c r="Y404" s="93" t="n"/>
      <c r="Z404" s="93" t="n"/>
    </row>
    <row r="405">
      <c r="A405" s="93" t="n"/>
      <c r="B405" s="93" t="n"/>
      <c r="C405" s="93" t="n"/>
      <c r="D405" s="93" t="n"/>
      <c r="E405" s="93" t="n"/>
      <c r="F405" s="93" t="n"/>
      <c r="G405" s="93" t="n"/>
      <c r="H405" s="93" t="n"/>
      <c r="I405" s="93" t="n"/>
      <c r="J405" s="93" t="n"/>
      <c r="K405" s="93" t="n"/>
      <c r="L405" s="93" t="n"/>
      <c r="M405" s="93" t="n"/>
      <c r="N405" s="93" t="n"/>
      <c r="O405" s="93" t="n"/>
      <c r="P405" s="93" t="n"/>
      <c r="Q405" s="93" t="n"/>
      <c r="R405" s="93" t="n"/>
      <c r="S405" s="93" t="n"/>
      <c r="T405" s="93" t="n"/>
      <c r="U405" s="93" t="n"/>
      <c r="V405" s="93" t="n"/>
      <c r="W405" s="93" t="n"/>
      <c r="X405" s="93" t="n"/>
      <c r="Y405" s="93" t="n"/>
      <c r="Z405" s="93" t="n"/>
    </row>
    <row r="406">
      <c r="A406" s="93" t="n"/>
      <c r="B406" s="93" t="n"/>
      <c r="C406" s="93" t="n"/>
      <c r="D406" s="93" t="n"/>
      <c r="E406" s="93" t="n"/>
      <c r="F406" s="93" t="n"/>
      <c r="G406" s="93" t="n"/>
      <c r="H406" s="93" t="n"/>
      <c r="I406" s="93" t="n"/>
      <c r="J406" s="93" t="n"/>
      <c r="K406" s="93" t="n"/>
      <c r="L406" s="93" t="n"/>
      <c r="M406" s="93" t="n"/>
      <c r="N406" s="93" t="n"/>
      <c r="O406" s="93" t="n"/>
      <c r="P406" s="93" t="n"/>
      <c r="Q406" s="93" t="n"/>
      <c r="R406" s="93" t="n"/>
      <c r="S406" s="93" t="n"/>
      <c r="T406" s="93" t="n"/>
      <c r="U406" s="93" t="n"/>
      <c r="V406" s="93" t="n"/>
      <c r="W406" s="93" t="n"/>
      <c r="X406" s="93" t="n"/>
      <c r="Y406" s="93" t="n"/>
      <c r="Z406" s="93" t="n"/>
    </row>
    <row r="407">
      <c r="A407" s="93" t="n"/>
      <c r="B407" s="93" t="n"/>
      <c r="C407" s="93" t="n"/>
      <c r="D407" s="93" t="n"/>
      <c r="E407" s="93" t="n"/>
      <c r="F407" s="93" t="n"/>
      <c r="G407" s="93" t="n"/>
      <c r="H407" s="93" t="n"/>
      <c r="I407" s="93" t="n"/>
      <c r="J407" s="93" t="n"/>
      <c r="K407" s="93" t="n"/>
      <c r="L407" s="93" t="n"/>
      <c r="M407" s="93" t="n"/>
      <c r="N407" s="93" t="n"/>
      <c r="O407" s="93" t="n"/>
      <c r="P407" s="93" t="n"/>
      <c r="Q407" s="93" t="n"/>
      <c r="R407" s="93" t="n"/>
      <c r="S407" s="93" t="n"/>
      <c r="T407" s="93" t="n"/>
      <c r="U407" s="93" t="n"/>
      <c r="V407" s="93" t="n"/>
      <c r="W407" s="93" t="n"/>
      <c r="X407" s="93" t="n"/>
      <c r="Y407" s="93" t="n"/>
      <c r="Z407" s="93" t="n"/>
    </row>
    <row r="408">
      <c r="A408" s="93" t="n"/>
      <c r="B408" s="93" t="n"/>
      <c r="C408" s="93" t="n"/>
      <c r="D408" s="93" t="n"/>
      <c r="E408" s="93" t="n"/>
      <c r="F408" s="93" t="n"/>
      <c r="G408" s="93" t="n"/>
      <c r="H408" s="93" t="n"/>
      <c r="I408" s="93" t="n"/>
      <c r="J408" s="93" t="n"/>
      <c r="K408" s="93" t="n"/>
      <c r="L408" s="93" t="n"/>
      <c r="M408" s="93" t="n"/>
      <c r="N408" s="93" t="n"/>
      <c r="O408" s="93" t="n"/>
      <c r="P408" s="93" t="n"/>
      <c r="Q408" s="93" t="n"/>
      <c r="R408" s="93" t="n"/>
      <c r="S408" s="93" t="n"/>
      <c r="T408" s="93" t="n"/>
      <c r="U408" s="93" t="n"/>
      <c r="V408" s="93" t="n"/>
      <c r="W408" s="93" t="n"/>
      <c r="X408" s="93" t="n"/>
      <c r="Y408" s="93" t="n"/>
      <c r="Z408" s="93" t="n"/>
    </row>
    <row r="409">
      <c r="A409" s="93" t="n"/>
      <c r="B409" s="93" t="n"/>
      <c r="C409" s="93" t="n"/>
      <c r="D409" s="93" t="n"/>
      <c r="E409" s="93" t="n"/>
      <c r="F409" s="93" t="n"/>
      <c r="G409" s="93" t="n"/>
      <c r="H409" s="93" t="n"/>
      <c r="I409" s="93" t="n"/>
      <c r="J409" s="93" t="n"/>
      <c r="K409" s="93" t="n"/>
      <c r="L409" s="93" t="n"/>
      <c r="M409" s="93" t="n"/>
      <c r="N409" s="93" t="n"/>
      <c r="O409" s="93" t="n"/>
      <c r="P409" s="93" t="n"/>
      <c r="Q409" s="93" t="n"/>
      <c r="R409" s="93" t="n"/>
      <c r="S409" s="93" t="n"/>
      <c r="T409" s="93" t="n"/>
      <c r="U409" s="93" t="n"/>
      <c r="V409" s="93" t="n"/>
      <c r="W409" s="93" t="n"/>
      <c r="X409" s="93" t="n"/>
      <c r="Y409" s="93" t="n"/>
      <c r="Z409" s="93" t="n"/>
    </row>
    <row r="410">
      <c r="A410" s="93" t="n"/>
      <c r="B410" s="93" t="n"/>
      <c r="C410" s="93" t="n"/>
      <c r="D410" s="93" t="n"/>
      <c r="E410" s="93" t="n"/>
      <c r="F410" s="93" t="n"/>
      <c r="G410" s="93" t="n"/>
      <c r="H410" s="93" t="n"/>
      <c r="I410" s="93" t="n"/>
      <c r="J410" s="93" t="n"/>
      <c r="K410" s="93" t="n"/>
      <c r="L410" s="93" t="n"/>
      <c r="M410" s="93" t="n"/>
      <c r="N410" s="93" t="n"/>
      <c r="O410" s="93" t="n"/>
      <c r="P410" s="93" t="n"/>
      <c r="Q410" s="93" t="n"/>
      <c r="R410" s="93" t="n"/>
      <c r="S410" s="93" t="n"/>
      <c r="T410" s="93" t="n"/>
      <c r="U410" s="93" t="n"/>
      <c r="V410" s="93" t="n"/>
      <c r="W410" s="93" t="n"/>
      <c r="X410" s="93" t="n"/>
      <c r="Y410" s="93" t="n"/>
      <c r="Z410" s="93" t="n"/>
    </row>
    <row r="411">
      <c r="A411" s="93" t="n"/>
      <c r="B411" s="93" t="n"/>
      <c r="C411" s="93" t="n"/>
      <c r="D411" s="93" t="n"/>
      <c r="E411" s="93" t="n"/>
      <c r="F411" s="93" t="n"/>
      <c r="G411" s="93" t="n"/>
      <c r="H411" s="93" t="n"/>
      <c r="I411" s="93" t="n"/>
      <c r="J411" s="93" t="n"/>
      <c r="K411" s="93" t="n"/>
      <c r="L411" s="93" t="n"/>
      <c r="M411" s="93" t="n"/>
      <c r="N411" s="93" t="n"/>
      <c r="O411" s="93" t="n"/>
      <c r="P411" s="93" t="n"/>
      <c r="Q411" s="93" t="n"/>
      <c r="R411" s="93" t="n"/>
      <c r="S411" s="93" t="n"/>
      <c r="T411" s="93" t="n"/>
      <c r="U411" s="93" t="n"/>
      <c r="V411" s="93" t="n"/>
      <c r="W411" s="93" t="n"/>
      <c r="X411" s="93" t="n"/>
      <c r="Y411" s="93" t="n"/>
      <c r="Z411" s="93" t="n"/>
    </row>
    <row r="412">
      <c r="A412" s="93" t="n"/>
      <c r="B412" s="93" t="n"/>
      <c r="C412" s="93" t="n"/>
      <c r="D412" s="93" t="n"/>
      <c r="E412" s="93" t="n"/>
      <c r="F412" s="93" t="n"/>
      <c r="G412" s="93" t="n"/>
      <c r="H412" s="93" t="n"/>
      <c r="I412" s="93" t="n"/>
      <c r="J412" s="93" t="n"/>
      <c r="K412" s="93" t="n"/>
      <c r="L412" s="93" t="n"/>
      <c r="M412" s="93" t="n"/>
      <c r="N412" s="93" t="n"/>
      <c r="O412" s="93" t="n"/>
      <c r="P412" s="93" t="n"/>
      <c r="Q412" s="93" t="n"/>
      <c r="R412" s="93" t="n"/>
      <c r="S412" s="93" t="n"/>
      <c r="T412" s="93" t="n"/>
      <c r="U412" s="93" t="n"/>
      <c r="V412" s="93" t="n"/>
      <c r="W412" s="93" t="n"/>
      <c r="X412" s="93" t="n"/>
      <c r="Y412" s="93" t="n"/>
      <c r="Z412" s="93" t="n"/>
    </row>
    <row r="413">
      <c r="A413" s="93" t="n"/>
      <c r="B413" s="93" t="n"/>
      <c r="C413" s="93" t="n"/>
      <c r="D413" s="93" t="n"/>
      <c r="E413" s="93" t="n"/>
      <c r="F413" s="93" t="n"/>
      <c r="G413" s="93" t="n"/>
      <c r="H413" s="93" t="n"/>
      <c r="I413" s="93" t="n"/>
      <c r="J413" s="93" t="n"/>
      <c r="K413" s="93" t="n"/>
      <c r="L413" s="93" t="n"/>
      <c r="M413" s="93" t="n"/>
      <c r="N413" s="93" t="n"/>
      <c r="O413" s="93" t="n"/>
      <c r="P413" s="93" t="n"/>
      <c r="Q413" s="93" t="n"/>
      <c r="R413" s="93" t="n"/>
      <c r="S413" s="93" t="n"/>
      <c r="T413" s="93" t="n"/>
      <c r="U413" s="93" t="n"/>
      <c r="V413" s="93" t="n"/>
      <c r="W413" s="93" t="n"/>
      <c r="X413" s="93" t="n"/>
      <c r="Y413" s="93" t="n"/>
      <c r="Z413" s="93" t="n"/>
    </row>
    <row r="414">
      <c r="A414" s="93" t="n"/>
      <c r="B414" s="93" t="n"/>
      <c r="C414" s="93" t="n"/>
      <c r="D414" s="93" t="n"/>
      <c r="E414" s="93" t="n"/>
      <c r="F414" s="93" t="n"/>
      <c r="G414" s="93" t="n"/>
      <c r="H414" s="93" t="n"/>
      <c r="I414" s="93" t="n"/>
      <c r="J414" s="93" t="n"/>
      <c r="K414" s="93" t="n"/>
      <c r="L414" s="93" t="n"/>
      <c r="M414" s="93" t="n"/>
      <c r="N414" s="93" t="n"/>
      <c r="O414" s="93" t="n"/>
      <c r="P414" s="93" t="n"/>
      <c r="Q414" s="93" t="n"/>
      <c r="R414" s="93" t="n"/>
      <c r="S414" s="93" t="n"/>
      <c r="T414" s="93" t="n"/>
      <c r="U414" s="93" t="n"/>
      <c r="V414" s="93" t="n"/>
      <c r="W414" s="93" t="n"/>
      <c r="X414" s="93" t="n"/>
      <c r="Y414" s="93" t="n"/>
      <c r="Z414" s="93" t="n"/>
    </row>
    <row r="415">
      <c r="A415" s="93" t="n"/>
      <c r="B415" s="93" t="n"/>
      <c r="C415" s="93" t="n"/>
      <c r="D415" s="93" t="n"/>
      <c r="E415" s="93" t="n"/>
      <c r="F415" s="93" t="n"/>
      <c r="G415" s="93" t="n"/>
      <c r="H415" s="93" t="n"/>
      <c r="I415" s="93" t="n"/>
      <c r="J415" s="93" t="n"/>
      <c r="K415" s="93" t="n"/>
      <c r="L415" s="93" t="n"/>
      <c r="M415" s="93" t="n"/>
      <c r="N415" s="93" t="n"/>
      <c r="O415" s="93" t="n"/>
      <c r="P415" s="93" t="n"/>
      <c r="Q415" s="93" t="n"/>
      <c r="R415" s="93" t="n"/>
      <c r="S415" s="93" t="n"/>
      <c r="T415" s="93" t="n"/>
      <c r="U415" s="93" t="n"/>
      <c r="V415" s="93" t="n"/>
      <c r="W415" s="93" t="n"/>
      <c r="X415" s="93" t="n"/>
      <c r="Y415" s="93" t="n"/>
      <c r="Z415" s="93" t="n"/>
    </row>
    <row r="416">
      <c r="A416" s="93" t="n"/>
      <c r="B416" s="93" t="n"/>
      <c r="C416" s="93" t="n"/>
      <c r="D416" s="93" t="n"/>
      <c r="E416" s="93" t="n"/>
      <c r="F416" s="93" t="n"/>
      <c r="G416" s="93" t="n"/>
      <c r="H416" s="93" t="n"/>
      <c r="I416" s="93" t="n"/>
      <c r="J416" s="93" t="n"/>
      <c r="K416" s="93" t="n"/>
      <c r="L416" s="93" t="n"/>
      <c r="M416" s="93" t="n"/>
      <c r="N416" s="93" t="n"/>
      <c r="O416" s="93" t="n"/>
      <c r="P416" s="93" t="n"/>
      <c r="Q416" s="93" t="n"/>
      <c r="R416" s="93" t="n"/>
      <c r="S416" s="93" t="n"/>
      <c r="T416" s="93" t="n"/>
      <c r="U416" s="93" t="n"/>
      <c r="V416" s="93" t="n"/>
      <c r="W416" s="93" t="n"/>
      <c r="X416" s="93" t="n"/>
      <c r="Y416" s="93" t="n"/>
      <c r="Z416" s="93" t="n"/>
    </row>
    <row r="417">
      <c r="A417" s="93" t="n"/>
      <c r="B417" s="93" t="n"/>
      <c r="C417" s="93" t="n"/>
      <c r="D417" s="93" t="n"/>
      <c r="E417" s="93" t="n"/>
      <c r="F417" s="93" t="n"/>
      <c r="G417" s="93" t="n"/>
      <c r="H417" s="93" t="n"/>
      <c r="I417" s="93" t="n"/>
      <c r="J417" s="93" t="n"/>
      <c r="K417" s="93" t="n"/>
      <c r="L417" s="93" t="n"/>
      <c r="M417" s="93" t="n"/>
      <c r="N417" s="93" t="n"/>
      <c r="O417" s="93" t="n"/>
      <c r="P417" s="93" t="n"/>
      <c r="Q417" s="93" t="n"/>
      <c r="R417" s="93" t="n"/>
      <c r="S417" s="93" t="n"/>
      <c r="T417" s="93" t="n"/>
      <c r="U417" s="93" t="n"/>
      <c r="V417" s="93" t="n"/>
      <c r="W417" s="93" t="n"/>
      <c r="X417" s="93" t="n"/>
      <c r="Y417" s="93" t="n"/>
      <c r="Z417" s="93" t="n"/>
    </row>
    <row r="418">
      <c r="A418" s="93" t="n"/>
      <c r="B418" s="93" t="n"/>
      <c r="C418" s="93" t="n"/>
      <c r="D418" s="93" t="n"/>
      <c r="E418" s="93" t="n"/>
      <c r="F418" s="93" t="n"/>
      <c r="G418" s="93" t="n"/>
      <c r="H418" s="93" t="n"/>
      <c r="I418" s="93" t="n"/>
      <c r="J418" s="93" t="n"/>
      <c r="K418" s="93" t="n"/>
      <c r="L418" s="93" t="n"/>
      <c r="M418" s="93" t="n"/>
      <c r="N418" s="93" t="n"/>
      <c r="O418" s="93" t="n"/>
      <c r="P418" s="93" t="n"/>
      <c r="Q418" s="93" t="n"/>
      <c r="R418" s="93" t="n"/>
      <c r="S418" s="93" t="n"/>
      <c r="T418" s="93" t="n"/>
      <c r="U418" s="93" t="n"/>
      <c r="V418" s="93" t="n"/>
      <c r="W418" s="93" t="n"/>
      <c r="X418" s="93" t="n"/>
      <c r="Y418" s="93" t="n"/>
      <c r="Z418" s="93" t="n"/>
    </row>
    <row r="419">
      <c r="A419" s="93" t="n"/>
      <c r="B419" s="93" t="n"/>
      <c r="C419" s="93" t="n"/>
      <c r="D419" s="93" t="n"/>
      <c r="E419" s="93" t="n"/>
      <c r="F419" s="93" t="n"/>
      <c r="G419" s="93" t="n"/>
      <c r="H419" s="93" t="n"/>
      <c r="I419" s="93" t="n"/>
      <c r="J419" s="93" t="n"/>
      <c r="K419" s="93" t="n"/>
      <c r="L419" s="93" t="n"/>
      <c r="M419" s="93" t="n"/>
      <c r="N419" s="93" t="n"/>
      <c r="O419" s="93" t="n"/>
      <c r="P419" s="93" t="n"/>
      <c r="Q419" s="93" t="n"/>
      <c r="R419" s="93" t="n"/>
      <c r="S419" s="93" t="n"/>
      <c r="T419" s="93" t="n"/>
      <c r="U419" s="93" t="n"/>
      <c r="V419" s="93" t="n"/>
      <c r="W419" s="93" t="n"/>
      <c r="X419" s="93" t="n"/>
      <c r="Y419" s="93" t="n"/>
      <c r="Z419" s="93" t="n"/>
    </row>
    <row r="420">
      <c r="A420" s="93" t="n"/>
      <c r="B420" s="93" t="n"/>
      <c r="C420" s="93" t="n"/>
      <c r="D420" s="93" t="n"/>
      <c r="E420" s="93" t="n"/>
      <c r="F420" s="93" t="n"/>
      <c r="G420" s="93" t="n"/>
      <c r="H420" s="93" t="n"/>
      <c r="I420" s="93" t="n"/>
      <c r="J420" s="93" t="n"/>
      <c r="K420" s="93" t="n"/>
      <c r="L420" s="93" t="n"/>
      <c r="M420" s="93" t="n"/>
      <c r="N420" s="93" t="n"/>
      <c r="O420" s="93" t="n"/>
      <c r="P420" s="93" t="n"/>
      <c r="Q420" s="93" t="n"/>
      <c r="R420" s="93" t="n"/>
      <c r="S420" s="93" t="n"/>
      <c r="T420" s="93" t="n"/>
      <c r="U420" s="93" t="n"/>
      <c r="V420" s="93" t="n"/>
      <c r="W420" s="93" t="n"/>
      <c r="X420" s="93" t="n"/>
      <c r="Y420" s="93" t="n"/>
      <c r="Z420" s="93" t="n"/>
    </row>
    <row r="421">
      <c r="A421" s="93" t="n"/>
      <c r="B421" s="93" t="n"/>
      <c r="C421" s="93" t="n"/>
      <c r="D421" s="93" t="n"/>
      <c r="E421" s="93" t="n"/>
      <c r="F421" s="93" t="n"/>
      <c r="G421" s="93" t="n"/>
      <c r="H421" s="93" t="n"/>
      <c r="I421" s="93" t="n"/>
      <c r="J421" s="93" t="n"/>
      <c r="K421" s="93" t="n"/>
      <c r="L421" s="93" t="n"/>
      <c r="M421" s="93" t="n"/>
      <c r="N421" s="93" t="n"/>
      <c r="O421" s="93" t="n"/>
      <c r="P421" s="93" t="n"/>
      <c r="Q421" s="93" t="n"/>
      <c r="R421" s="93" t="n"/>
      <c r="S421" s="93" t="n"/>
      <c r="T421" s="93" t="n"/>
      <c r="U421" s="93" t="n"/>
      <c r="V421" s="93" t="n"/>
      <c r="W421" s="93" t="n"/>
      <c r="X421" s="93" t="n"/>
      <c r="Y421" s="93" t="n"/>
      <c r="Z421" s="93" t="n"/>
    </row>
    <row r="422">
      <c r="A422" s="93" t="n"/>
      <c r="B422" s="93" t="n"/>
      <c r="C422" s="93" t="n"/>
      <c r="D422" s="93" t="n"/>
      <c r="E422" s="93" t="n"/>
      <c r="F422" s="93" t="n"/>
      <c r="G422" s="93" t="n"/>
      <c r="H422" s="93" t="n"/>
      <c r="I422" s="93" t="n"/>
      <c r="J422" s="93" t="n"/>
      <c r="K422" s="93" t="n"/>
      <c r="L422" s="93" t="n"/>
      <c r="M422" s="93" t="n"/>
      <c r="N422" s="93" t="n"/>
      <c r="O422" s="93" t="n"/>
      <c r="P422" s="93" t="n"/>
      <c r="Q422" s="93" t="n"/>
      <c r="R422" s="93" t="n"/>
      <c r="S422" s="93" t="n"/>
      <c r="T422" s="93" t="n"/>
      <c r="U422" s="93" t="n"/>
      <c r="V422" s="93" t="n"/>
      <c r="W422" s="93" t="n"/>
      <c r="X422" s="93" t="n"/>
      <c r="Y422" s="93" t="n"/>
      <c r="Z422" s="93" t="n"/>
    </row>
    <row r="423">
      <c r="A423" s="93" t="n"/>
      <c r="B423" s="93" t="n"/>
      <c r="C423" s="93" t="n"/>
      <c r="D423" s="93" t="n"/>
      <c r="E423" s="93" t="n"/>
      <c r="F423" s="93" t="n"/>
      <c r="G423" s="93" t="n"/>
      <c r="H423" s="93" t="n"/>
      <c r="I423" s="93" t="n"/>
      <c r="J423" s="93" t="n"/>
      <c r="K423" s="93" t="n"/>
      <c r="L423" s="93" t="n"/>
      <c r="M423" s="93" t="n"/>
      <c r="N423" s="93" t="n"/>
      <c r="O423" s="93" t="n"/>
      <c r="P423" s="93" t="n"/>
      <c r="Q423" s="93" t="n"/>
      <c r="R423" s="93" t="n"/>
      <c r="S423" s="93" t="n"/>
      <c r="T423" s="93" t="n"/>
      <c r="U423" s="93" t="n"/>
      <c r="V423" s="93" t="n"/>
      <c r="W423" s="93" t="n"/>
      <c r="X423" s="93" t="n"/>
      <c r="Y423" s="93" t="n"/>
      <c r="Z423" s="93" t="n"/>
    </row>
    <row r="424">
      <c r="A424" s="93" t="n"/>
      <c r="B424" s="93" t="n"/>
      <c r="C424" s="93" t="n"/>
      <c r="D424" s="93" t="n"/>
      <c r="E424" s="93" t="n"/>
      <c r="F424" s="93" t="n"/>
      <c r="G424" s="93" t="n"/>
      <c r="H424" s="93" t="n"/>
      <c r="I424" s="93" t="n"/>
      <c r="J424" s="93" t="n"/>
      <c r="K424" s="93" t="n"/>
      <c r="L424" s="93" t="n"/>
      <c r="M424" s="93" t="n"/>
      <c r="N424" s="93" t="n"/>
      <c r="O424" s="93" t="n"/>
      <c r="P424" s="93" t="n"/>
      <c r="Q424" s="93" t="n"/>
      <c r="R424" s="93" t="n"/>
      <c r="S424" s="93" t="n"/>
      <c r="T424" s="93" t="n"/>
      <c r="U424" s="93" t="n"/>
      <c r="V424" s="93" t="n"/>
      <c r="W424" s="93" t="n"/>
      <c r="X424" s="93" t="n"/>
      <c r="Y424" s="93" t="n"/>
      <c r="Z424" s="93" t="n"/>
    </row>
    <row r="425">
      <c r="A425" s="93" t="n"/>
      <c r="B425" s="93" t="n"/>
      <c r="C425" s="93" t="n"/>
      <c r="D425" s="93" t="n"/>
      <c r="E425" s="93" t="n"/>
      <c r="F425" s="93" t="n"/>
      <c r="G425" s="93" t="n"/>
      <c r="H425" s="93" t="n"/>
      <c r="I425" s="93" t="n"/>
      <c r="J425" s="93" t="n"/>
      <c r="K425" s="93" t="n"/>
      <c r="L425" s="93" t="n"/>
      <c r="M425" s="93" t="n"/>
      <c r="N425" s="93" t="n"/>
      <c r="O425" s="93" t="n"/>
      <c r="P425" s="93" t="n"/>
      <c r="Q425" s="93" t="n"/>
      <c r="R425" s="93" t="n"/>
      <c r="S425" s="93" t="n"/>
      <c r="T425" s="93" t="n"/>
      <c r="U425" s="93" t="n"/>
      <c r="V425" s="93" t="n"/>
      <c r="W425" s="93" t="n"/>
      <c r="X425" s="93" t="n"/>
      <c r="Y425" s="93" t="n"/>
      <c r="Z425" s="93" t="n"/>
    </row>
    <row r="426">
      <c r="A426" s="93" t="n"/>
      <c r="B426" s="93" t="n"/>
      <c r="C426" s="93" t="n"/>
      <c r="D426" s="93" t="n"/>
      <c r="E426" s="93" t="n"/>
      <c r="F426" s="93" t="n"/>
      <c r="G426" s="93" t="n"/>
      <c r="H426" s="93" t="n"/>
      <c r="I426" s="93" t="n"/>
      <c r="J426" s="93" t="n"/>
      <c r="K426" s="93" t="n"/>
      <c r="L426" s="93" t="n"/>
      <c r="M426" s="93" t="n"/>
      <c r="N426" s="93" t="n"/>
      <c r="O426" s="93" t="n"/>
      <c r="P426" s="93" t="n"/>
      <c r="Q426" s="93" t="n"/>
      <c r="R426" s="93" t="n"/>
      <c r="S426" s="93" t="n"/>
      <c r="T426" s="93" t="n"/>
      <c r="U426" s="93" t="n"/>
      <c r="V426" s="93" t="n"/>
      <c r="W426" s="93" t="n"/>
      <c r="X426" s="93" t="n"/>
      <c r="Y426" s="93" t="n"/>
      <c r="Z426" s="93" t="n"/>
    </row>
    <row r="427">
      <c r="A427" s="93" t="n"/>
      <c r="B427" s="93" t="n"/>
      <c r="C427" s="93" t="n"/>
      <c r="D427" s="93" t="n"/>
      <c r="E427" s="93" t="n"/>
      <c r="F427" s="93" t="n"/>
      <c r="G427" s="93" t="n"/>
      <c r="H427" s="93" t="n"/>
      <c r="I427" s="93" t="n"/>
      <c r="J427" s="93" t="n"/>
      <c r="K427" s="93" t="n"/>
      <c r="L427" s="93" t="n"/>
      <c r="M427" s="93" t="n"/>
      <c r="N427" s="93" t="n"/>
      <c r="O427" s="93" t="n"/>
      <c r="P427" s="93" t="n"/>
      <c r="Q427" s="93" t="n"/>
      <c r="R427" s="93" t="n"/>
      <c r="S427" s="93" t="n"/>
      <c r="T427" s="93" t="n"/>
      <c r="U427" s="93" t="n"/>
      <c r="V427" s="93" t="n"/>
      <c r="W427" s="93" t="n"/>
      <c r="X427" s="93" t="n"/>
      <c r="Y427" s="93" t="n"/>
      <c r="Z427" s="93" t="n"/>
    </row>
    <row r="428">
      <c r="A428" s="93" t="n"/>
      <c r="B428" s="93" t="n"/>
      <c r="C428" s="93" t="n"/>
      <c r="D428" s="93" t="n"/>
      <c r="E428" s="93" t="n"/>
      <c r="F428" s="93" t="n"/>
      <c r="G428" s="93" t="n"/>
      <c r="H428" s="93" t="n"/>
      <c r="I428" s="93" t="n"/>
      <c r="J428" s="93" t="n"/>
      <c r="K428" s="93" t="n"/>
      <c r="L428" s="93" t="n"/>
      <c r="M428" s="93" t="n"/>
      <c r="N428" s="93" t="n"/>
      <c r="O428" s="93" t="n"/>
      <c r="P428" s="93" t="n"/>
      <c r="Q428" s="93" t="n"/>
      <c r="R428" s="93" t="n"/>
      <c r="S428" s="93" t="n"/>
      <c r="T428" s="93" t="n"/>
      <c r="U428" s="93" t="n"/>
      <c r="V428" s="93" t="n"/>
      <c r="W428" s="93" t="n"/>
      <c r="X428" s="93" t="n"/>
      <c r="Y428" s="93" t="n"/>
      <c r="Z428" s="93" t="n"/>
    </row>
    <row r="429">
      <c r="A429" s="93" t="n"/>
      <c r="B429" s="93" t="n"/>
      <c r="C429" s="93" t="n"/>
      <c r="D429" s="93" t="n"/>
      <c r="E429" s="93" t="n"/>
      <c r="F429" s="93" t="n"/>
      <c r="G429" s="93" t="n"/>
      <c r="H429" s="93" t="n"/>
      <c r="I429" s="93" t="n"/>
      <c r="J429" s="93" t="n"/>
      <c r="K429" s="93" t="n"/>
      <c r="L429" s="93" t="n"/>
      <c r="M429" s="93" t="n"/>
      <c r="N429" s="93" t="n"/>
      <c r="O429" s="93" t="n"/>
      <c r="P429" s="93" t="n"/>
      <c r="Q429" s="93" t="n"/>
      <c r="R429" s="93" t="n"/>
      <c r="S429" s="93" t="n"/>
      <c r="T429" s="93" t="n"/>
      <c r="U429" s="93" t="n"/>
      <c r="V429" s="93" t="n"/>
      <c r="W429" s="93" t="n"/>
      <c r="X429" s="93" t="n"/>
      <c r="Y429" s="93" t="n"/>
      <c r="Z429" s="93" t="n"/>
    </row>
    <row r="430">
      <c r="A430" s="93" t="n"/>
      <c r="B430" s="93" t="n"/>
      <c r="C430" s="93" t="n"/>
      <c r="D430" s="93" t="n"/>
      <c r="E430" s="93" t="n"/>
      <c r="F430" s="93" t="n"/>
      <c r="G430" s="93" t="n"/>
      <c r="H430" s="93" t="n"/>
      <c r="I430" s="93" t="n"/>
      <c r="J430" s="93" t="n"/>
      <c r="K430" s="93" t="n"/>
      <c r="L430" s="93" t="n"/>
      <c r="M430" s="93" t="n"/>
      <c r="N430" s="93" t="n"/>
      <c r="O430" s="93" t="n"/>
      <c r="P430" s="93" t="n"/>
      <c r="Q430" s="93" t="n"/>
      <c r="R430" s="93" t="n"/>
      <c r="S430" s="93" t="n"/>
      <c r="T430" s="93" t="n"/>
      <c r="U430" s="93" t="n"/>
      <c r="V430" s="93" t="n"/>
      <c r="W430" s="93" t="n"/>
      <c r="X430" s="93" t="n"/>
      <c r="Y430" s="93" t="n"/>
      <c r="Z430" s="93" t="n"/>
    </row>
    <row r="431">
      <c r="A431" s="93" t="n"/>
      <c r="B431" s="93" t="n"/>
      <c r="C431" s="93" t="n"/>
      <c r="D431" s="93" t="n"/>
      <c r="E431" s="93" t="n"/>
      <c r="F431" s="93" t="n"/>
      <c r="G431" s="93" t="n"/>
      <c r="H431" s="93" t="n"/>
      <c r="I431" s="93" t="n"/>
      <c r="J431" s="93" t="n"/>
      <c r="K431" s="93" t="n"/>
      <c r="L431" s="93" t="n"/>
      <c r="M431" s="93" t="n"/>
      <c r="N431" s="93" t="n"/>
      <c r="O431" s="93" t="n"/>
      <c r="P431" s="93" t="n"/>
      <c r="Q431" s="93" t="n"/>
      <c r="R431" s="93" t="n"/>
      <c r="S431" s="93" t="n"/>
      <c r="T431" s="93" t="n"/>
      <c r="U431" s="93" t="n"/>
      <c r="V431" s="93" t="n"/>
      <c r="W431" s="93" t="n"/>
      <c r="X431" s="93" t="n"/>
      <c r="Y431" s="93" t="n"/>
      <c r="Z431" s="93" t="n"/>
    </row>
    <row r="432">
      <c r="A432" s="93" t="n"/>
      <c r="B432" s="93" t="n"/>
      <c r="C432" s="93" t="n"/>
      <c r="D432" s="93" t="n"/>
      <c r="E432" s="93" t="n"/>
      <c r="F432" s="93" t="n"/>
      <c r="G432" s="93" t="n"/>
      <c r="H432" s="93" t="n"/>
      <c r="I432" s="93" t="n"/>
      <c r="J432" s="93" t="n"/>
      <c r="K432" s="93" t="n"/>
      <c r="L432" s="93" t="n"/>
      <c r="M432" s="93" t="n"/>
      <c r="N432" s="93" t="n"/>
      <c r="O432" s="93" t="n"/>
      <c r="P432" s="93" t="n"/>
      <c r="Q432" s="93" t="n"/>
      <c r="R432" s="93" t="n"/>
      <c r="S432" s="93" t="n"/>
      <c r="T432" s="93" t="n"/>
      <c r="U432" s="93" t="n"/>
      <c r="V432" s="93" t="n"/>
      <c r="W432" s="93" t="n"/>
      <c r="X432" s="93" t="n"/>
      <c r="Y432" s="93" t="n"/>
      <c r="Z432" s="93" t="n"/>
    </row>
    <row r="433">
      <c r="A433" s="93" t="n"/>
      <c r="B433" s="93" t="n"/>
      <c r="C433" s="93" t="n"/>
      <c r="D433" s="93" t="n"/>
      <c r="E433" s="93" t="n"/>
      <c r="F433" s="93" t="n"/>
      <c r="G433" s="93" t="n"/>
      <c r="H433" s="93" t="n"/>
      <c r="I433" s="93" t="n"/>
      <c r="J433" s="93" t="n"/>
      <c r="K433" s="93" t="n"/>
      <c r="L433" s="93" t="n"/>
      <c r="M433" s="93" t="n"/>
      <c r="N433" s="93" t="n"/>
      <c r="O433" s="93" t="n"/>
      <c r="P433" s="93" t="n"/>
      <c r="Q433" s="93" t="n"/>
      <c r="R433" s="93" t="n"/>
      <c r="S433" s="93" t="n"/>
      <c r="T433" s="93" t="n"/>
      <c r="U433" s="93" t="n"/>
      <c r="V433" s="93" t="n"/>
      <c r="W433" s="93" t="n"/>
      <c r="X433" s="93" t="n"/>
      <c r="Y433" s="93" t="n"/>
      <c r="Z433" s="93" t="n"/>
    </row>
    <row r="434">
      <c r="A434" s="93" t="n"/>
      <c r="B434" s="93" t="n"/>
      <c r="C434" s="93" t="n"/>
      <c r="D434" s="93" t="n"/>
      <c r="E434" s="93" t="n"/>
      <c r="F434" s="93" t="n"/>
      <c r="G434" s="93" t="n"/>
      <c r="H434" s="93" t="n"/>
      <c r="I434" s="93" t="n"/>
      <c r="J434" s="93" t="n"/>
      <c r="K434" s="93" t="n"/>
      <c r="L434" s="93" t="n"/>
      <c r="M434" s="93" t="n"/>
      <c r="N434" s="93" t="n"/>
      <c r="O434" s="93" t="n"/>
      <c r="P434" s="93" t="n"/>
      <c r="Q434" s="93" t="n"/>
      <c r="R434" s="93" t="n"/>
      <c r="S434" s="93" t="n"/>
      <c r="T434" s="93" t="n"/>
      <c r="U434" s="93" t="n"/>
      <c r="V434" s="93" t="n"/>
      <c r="W434" s="93" t="n"/>
      <c r="X434" s="93" t="n"/>
      <c r="Y434" s="93" t="n"/>
      <c r="Z434" s="93" t="n"/>
    </row>
    <row r="435">
      <c r="A435" s="93" t="n"/>
      <c r="B435" s="93" t="n"/>
      <c r="C435" s="93" t="n"/>
      <c r="D435" s="93" t="n"/>
      <c r="E435" s="93" t="n"/>
      <c r="F435" s="93" t="n"/>
      <c r="G435" s="93" t="n"/>
      <c r="H435" s="93" t="n"/>
      <c r="I435" s="93" t="n"/>
      <c r="J435" s="93" t="n"/>
      <c r="K435" s="93" t="n"/>
      <c r="L435" s="93" t="n"/>
      <c r="M435" s="93" t="n"/>
      <c r="N435" s="93" t="n"/>
      <c r="O435" s="93" t="n"/>
      <c r="P435" s="93" t="n"/>
      <c r="Q435" s="93" t="n"/>
      <c r="R435" s="93" t="n"/>
      <c r="S435" s="93" t="n"/>
      <c r="T435" s="93" t="n"/>
      <c r="U435" s="93" t="n"/>
      <c r="V435" s="93" t="n"/>
      <c r="W435" s="93" t="n"/>
      <c r="X435" s="93" t="n"/>
      <c r="Y435" s="93" t="n"/>
      <c r="Z435" s="93" t="n"/>
    </row>
    <row r="436">
      <c r="A436" s="93" t="n"/>
      <c r="B436" s="93" t="n"/>
      <c r="C436" s="93" t="n"/>
      <c r="D436" s="93" t="n"/>
      <c r="E436" s="93" t="n"/>
      <c r="F436" s="93" t="n"/>
      <c r="G436" s="93" t="n"/>
      <c r="H436" s="93" t="n"/>
      <c r="I436" s="93" t="n"/>
      <c r="J436" s="93" t="n"/>
      <c r="K436" s="93" t="n"/>
      <c r="L436" s="93" t="n"/>
      <c r="M436" s="93" t="n"/>
      <c r="N436" s="93" t="n"/>
      <c r="O436" s="93" t="n"/>
      <c r="P436" s="93" t="n"/>
      <c r="Q436" s="93" t="n"/>
      <c r="R436" s="93" t="n"/>
      <c r="S436" s="93" t="n"/>
      <c r="T436" s="93" t="n"/>
      <c r="U436" s="93" t="n"/>
      <c r="V436" s="93" t="n"/>
      <c r="W436" s="93" t="n"/>
      <c r="X436" s="93" t="n"/>
      <c r="Y436" s="93" t="n"/>
      <c r="Z436" s="93" t="n"/>
    </row>
    <row r="437">
      <c r="A437" s="93" t="n"/>
      <c r="B437" s="93" t="n"/>
      <c r="C437" s="93" t="n"/>
      <c r="D437" s="93" t="n"/>
      <c r="E437" s="93" t="n"/>
      <c r="F437" s="93" t="n"/>
      <c r="G437" s="93" t="n"/>
      <c r="H437" s="93" t="n"/>
      <c r="I437" s="93" t="n"/>
      <c r="J437" s="93" t="n"/>
      <c r="K437" s="93" t="n"/>
      <c r="L437" s="93" t="n"/>
      <c r="M437" s="93" t="n"/>
      <c r="N437" s="93" t="n"/>
      <c r="O437" s="93" t="n"/>
      <c r="P437" s="93" t="n"/>
      <c r="Q437" s="93" t="n"/>
      <c r="R437" s="93" t="n"/>
      <c r="S437" s="93" t="n"/>
      <c r="T437" s="93" t="n"/>
      <c r="U437" s="93" t="n"/>
      <c r="V437" s="93" t="n"/>
      <c r="W437" s="93" t="n"/>
      <c r="X437" s="93" t="n"/>
      <c r="Y437" s="93" t="n"/>
      <c r="Z437" s="93" t="n"/>
    </row>
    <row r="438">
      <c r="A438" s="93" t="n"/>
      <c r="B438" s="93" t="n"/>
      <c r="C438" s="93" t="n"/>
      <c r="D438" s="93" t="n"/>
      <c r="E438" s="93" t="n"/>
      <c r="F438" s="93" t="n"/>
      <c r="G438" s="93" t="n"/>
      <c r="H438" s="93" t="n"/>
      <c r="I438" s="93" t="n"/>
      <c r="J438" s="93" t="n"/>
      <c r="K438" s="93" t="n"/>
      <c r="L438" s="93" t="n"/>
      <c r="M438" s="93" t="n"/>
      <c r="N438" s="93" t="n"/>
      <c r="O438" s="93" t="n"/>
      <c r="P438" s="93" t="n"/>
      <c r="Q438" s="93" t="n"/>
      <c r="R438" s="93" t="n"/>
      <c r="S438" s="93" t="n"/>
      <c r="T438" s="93" t="n"/>
      <c r="U438" s="93" t="n"/>
      <c r="V438" s="93" t="n"/>
      <c r="W438" s="93" t="n"/>
      <c r="X438" s="93" t="n"/>
      <c r="Y438" s="93" t="n"/>
      <c r="Z438" s="93" t="n"/>
    </row>
    <row r="439">
      <c r="A439" s="93" t="n"/>
      <c r="B439" s="93" t="n"/>
      <c r="C439" s="93" t="n"/>
      <c r="D439" s="93" t="n"/>
      <c r="E439" s="93" t="n"/>
      <c r="F439" s="93" t="n"/>
      <c r="G439" s="93" t="n"/>
      <c r="H439" s="93" t="n"/>
      <c r="I439" s="93" t="n"/>
      <c r="J439" s="93" t="n"/>
      <c r="K439" s="93" t="n"/>
      <c r="L439" s="93" t="n"/>
      <c r="M439" s="93" t="n"/>
      <c r="N439" s="93" t="n"/>
      <c r="O439" s="93" t="n"/>
      <c r="P439" s="93" t="n"/>
      <c r="Q439" s="93" t="n"/>
      <c r="R439" s="93" t="n"/>
      <c r="S439" s="93" t="n"/>
      <c r="T439" s="93" t="n"/>
      <c r="U439" s="93" t="n"/>
      <c r="V439" s="93" t="n"/>
      <c r="W439" s="93" t="n"/>
      <c r="X439" s="93" t="n"/>
      <c r="Y439" s="93" t="n"/>
      <c r="Z439" s="93" t="n"/>
    </row>
    <row r="440">
      <c r="A440" s="93" t="n"/>
      <c r="B440" s="93" t="n"/>
      <c r="C440" s="93" t="n"/>
      <c r="D440" s="93" t="n"/>
      <c r="E440" s="93" t="n"/>
      <c r="F440" s="93" t="n"/>
      <c r="G440" s="93" t="n"/>
      <c r="H440" s="93" t="n"/>
      <c r="I440" s="93" t="n"/>
      <c r="J440" s="93" t="n"/>
      <c r="K440" s="93" t="n"/>
      <c r="L440" s="93" t="n"/>
      <c r="M440" s="93" t="n"/>
      <c r="N440" s="93" t="n"/>
      <c r="O440" s="93" t="n"/>
      <c r="P440" s="93" t="n"/>
      <c r="Q440" s="93" t="n"/>
      <c r="R440" s="93" t="n"/>
      <c r="S440" s="93" t="n"/>
      <c r="T440" s="93" t="n"/>
      <c r="U440" s="93" t="n"/>
      <c r="V440" s="93" t="n"/>
      <c r="W440" s="93" t="n"/>
      <c r="X440" s="93" t="n"/>
      <c r="Y440" s="93" t="n"/>
      <c r="Z440" s="93" t="n"/>
    </row>
    <row r="441">
      <c r="A441" s="93" t="n"/>
      <c r="B441" s="93" t="n"/>
      <c r="C441" s="93" t="n"/>
      <c r="D441" s="93" t="n"/>
      <c r="E441" s="93" t="n"/>
      <c r="F441" s="93" t="n"/>
      <c r="G441" s="93" t="n"/>
      <c r="H441" s="93" t="n"/>
      <c r="I441" s="93" t="n"/>
      <c r="J441" s="93" t="n"/>
      <c r="K441" s="93" t="n"/>
      <c r="L441" s="93" t="n"/>
      <c r="M441" s="93" t="n"/>
      <c r="N441" s="93" t="n"/>
      <c r="O441" s="93" t="n"/>
      <c r="P441" s="93" t="n"/>
      <c r="Q441" s="93" t="n"/>
      <c r="R441" s="93" t="n"/>
      <c r="S441" s="93" t="n"/>
      <c r="T441" s="93" t="n"/>
      <c r="U441" s="93" t="n"/>
      <c r="V441" s="93" t="n"/>
      <c r="W441" s="93" t="n"/>
      <c r="X441" s="93" t="n"/>
      <c r="Y441" s="93" t="n"/>
      <c r="Z441" s="93" t="n"/>
    </row>
    <row r="442">
      <c r="A442" s="93" t="n"/>
      <c r="B442" s="93" t="n"/>
      <c r="C442" s="93" t="n"/>
      <c r="D442" s="93" t="n"/>
      <c r="E442" s="93" t="n"/>
      <c r="F442" s="93" t="n"/>
      <c r="G442" s="93" t="n"/>
      <c r="H442" s="93" t="n"/>
      <c r="I442" s="93" t="n"/>
      <c r="J442" s="93" t="n"/>
      <c r="K442" s="93" t="n"/>
      <c r="L442" s="93" t="n"/>
      <c r="M442" s="93" t="n"/>
      <c r="N442" s="93" t="n"/>
      <c r="O442" s="93" t="n"/>
      <c r="P442" s="93" t="n"/>
      <c r="Q442" s="93" t="n"/>
      <c r="R442" s="93" t="n"/>
      <c r="S442" s="93" t="n"/>
      <c r="T442" s="93" t="n"/>
      <c r="U442" s="93" t="n"/>
      <c r="V442" s="93" t="n"/>
      <c r="W442" s="93" t="n"/>
      <c r="X442" s="93" t="n"/>
      <c r="Y442" s="93" t="n"/>
      <c r="Z442" s="93" t="n"/>
    </row>
    <row r="443">
      <c r="A443" s="93" t="n"/>
      <c r="B443" s="93" t="n"/>
      <c r="C443" s="93" t="n"/>
      <c r="D443" s="93" t="n"/>
      <c r="E443" s="93" t="n"/>
      <c r="F443" s="93" t="n"/>
      <c r="G443" s="93" t="n"/>
      <c r="H443" s="93" t="n"/>
      <c r="I443" s="93" t="n"/>
      <c r="J443" s="93" t="n"/>
      <c r="K443" s="93" t="n"/>
      <c r="L443" s="93" t="n"/>
      <c r="M443" s="93" t="n"/>
      <c r="N443" s="93" t="n"/>
      <c r="O443" s="93" t="n"/>
      <c r="P443" s="93" t="n"/>
      <c r="Q443" s="93" t="n"/>
      <c r="R443" s="93" t="n"/>
      <c r="S443" s="93" t="n"/>
      <c r="T443" s="93" t="n"/>
      <c r="U443" s="93" t="n"/>
      <c r="V443" s="93" t="n"/>
      <c r="W443" s="93" t="n"/>
      <c r="X443" s="93" t="n"/>
      <c r="Y443" s="93" t="n"/>
      <c r="Z443" s="93" t="n"/>
    </row>
    <row r="444">
      <c r="A444" s="93" t="n"/>
      <c r="B444" s="93" t="n"/>
      <c r="C444" s="93" t="n"/>
      <c r="D444" s="93" t="n"/>
      <c r="E444" s="93" t="n"/>
      <c r="F444" s="93" t="n"/>
      <c r="G444" s="93" t="n"/>
      <c r="H444" s="93" t="n"/>
      <c r="I444" s="93" t="n"/>
      <c r="J444" s="93" t="n"/>
      <c r="K444" s="93" t="n"/>
      <c r="L444" s="93" t="n"/>
      <c r="M444" s="93" t="n"/>
      <c r="N444" s="93" t="n"/>
      <c r="O444" s="93" t="n"/>
      <c r="P444" s="93" t="n"/>
      <c r="Q444" s="93" t="n"/>
      <c r="R444" s="93" t="n"/>
      <c r="S444" s="93" t="n"/>
      <c r="T444" s="93" t="n"/>
      <c r="U444" s="93" t="n"/>
      <c r="V444" s="93" t="n"/>
      <c r="W444" s="93" t="n"/>
      <c r="X444" s="93" t="n"/>
      <c r="Y444" s="93" t="n"/>
      <c r="Z444" s="93" t="n"/>
    </row>
    <row r="445">
      <c r="A445" s="93" t="n"/>
      <c r="B445" s="93" t="n"/>
      <c r="C445" s="93" t="n"/>
      <c r="D445" s="93" t="n"/>
      <c r="E445" s="93" t="n"/>
      <c r="F445" s="93" t="n"/>
      <c r="G445" s="93" t="n"/>
      <c r="H445" s="93" t="n"/>
      <c r="I445" s="93" t="n"/>
      <c r="J445" s="93" t="n"/>
      <c r="K445" s="93" t="n"/>
      <c r="L445" s="93" t="n"/>
      <c r="M445" s="93" t="n"/>
      <c r="N445" s="93" t="n"/>
      <c r="O445" s="93" t="n"/>
      <c r="P445" s="93" t="n"/>
      <c r="Q445" s="93" t="n"/>
      <c r="R445" s="93" t="n"/>
      <c r="S445" s="93" t="n"/>
      <c r="T445" s="93" t="n"/>
      <c r="U445" s="93" t="n"/>
      <c r="V445" s="93" t="n"/>
      <c r="W445" s="93" t="n"/>
      <c r="X445" s="93" t="n"/>
      <c r="Y445" s="93" t="n"/>
      <c r="Z445" s="93" t="n"/>
    </row>
    <row r="446">
      <c r="A446" s="93" t="n"/>
      <c r="B446" s="93" t="n"/>
      <c r="C446" s="93" t="n"/>
      <c r="D446" s="93" t="n"/>
      <c r="E446" s="93" t="n"/>
      <c r="F446" s="93" t="n"/>
      <c r="G446" s="93" t="n"/>
      <c r="H446" s="93" t="n"/>
      <c r="I446" s="93" t="n"/>
      <c r="J446" s="93" t="n"/>
      <c r="K446" s="93" t="n"/>
      <c r="L446" s="93" t="n"/>
      <c r="M446" s="93" t="n"/>
      <c r="N446" s="93" t="n"/>
      <c r="O446" s="93" t="n"/>
      <c r="P446" s="93" t="n"/>
      <c r="Q446" s="93" t="n"/>
      <c r="R446" s="93" t="n"/>
      <c r="S446" s="93" t="n"/>
      <c r="T446" s="93" t="n"/>
      <c r="U446" s="93" t="n"/>
      <c r="V446" s="93" t="n"/>
      <c r="W446" s="93" t="n"/>
      <c r="X446" s="93" t="n"/>
      <c r="Y446" s="93" t="n"/>
      <c r="Z446" s="93" t="n"/>
    </row>
    <row r="447">
      <c r="A447" s="93" t="n"/>
      <c r="B447" s="93" t="n"/>
      <c r="C447" s="93" t="n"/>
      <c r="D447" s="93" t="n"/>
      <c r="E447" s="93" t="n"/>
      <c r="F447" s="93" t="n"/>
      <c r="G447" s="93" t="n"/>
      <c r="H447" s="93" t="n"/>
      <c r="I447" s="93" t="n"/>
      <c r="J447" s="93" t="n"/>
      <c r="K447" s="93" t="n"/>
      <c r="L447" s="93" t="n"/>
      <c r="M447" s="93" t="n"/>
      <c r="N447" s="93" t="n"/>
      <c r="O447" s="93" t="n"/>
      <c r="P447" s="93" t="n"/>
      <c r="Q447" s="93" t="n"/>
      <c r="R447" s="93" t="n"/>
      <c r="S447" s="93" t="n"/>
      <c r="T447" s="93" t="n"/>
      <c r="U447" s="93" t="n"/>
      <c r="V447" s="93" t="n"/>
      <c r="W447" s="93" t="n"/>
      <c r="X447" s="93" t="n"/>
      <c r="Y447" s="93" t="n"/>
      <c r="Z447" s="93" t="n"/>
    </row>
    <row r="448">
      <c r="A448" s="93" t="n"/>
      <c r="B448" s="93" t="n"/>
      <c r="C448" s="93" t="n"/>
      <c r="D448" s="93" t="n"/>
      <c r="E448" s="93" t="n"/>
      <c r="F448" s="93" t="n"/>
      <c r="G448" s="93" t="n"/>
      <c r="H448" s="93" t="n"/>
      <c r="I448" s="93" t="n"/>
      <c r="J448" s="93" t="n"/>
      <c r="K448" s="93" t="n"/>
      <c r="L448" s="93" t="n"/>
      <c r="M448" s="93" t="n"/>
      <c r="N448" s="93" t="n"/>
      <c r="O448" s="93" t="n"/>
      <c r="P448" s="93" t="n"/>
      <c r="Q448" s="93" t="n"/>
      <c r="R448" s="93" t="n"/>
      <c r="S448" s="93" t="n"/>
      <c r="T448" s="93" t="n"/>
      <c r="U448" s="93" t="n"/>
      <c r="V448" s="93" t="n"/>
      <c r="W448" s="93" t="n"/>
      <c r="X448" s="93" t="n"/>
      <c r="Y448" s="93" t="n"/>
      <c r="Z448" s="93" t="n"/>
    </row>
    <row r="449">
      <c r="A449" s="93" t="n"/>
      <c r="B449" s="93" t="n"/>
      <c r="C449" s="93" t="n"/>
      <c r="D449" s="93" t="n"/>
      <c r="E449" s="93" t="n"/>
      <c r="F449" s="93" t="n"/>
      <c r="G449" s="93" t="n"/>
      <c r="H449" s="93" t="n"/>
      <c r="I449" s="93" t="n"/>
      <c r="J449" s="93" t="n"/>
      <c r="K449" s="93" t="n"/>
      <c r="L449" s="93" t="n"/>
      <c r="M449" s="93" t="n"/>
      <c r="N449" s="93" t="n"/>
      <c r="O449" s="93" t="n"/>
      <c r="P449" s="93" t="n"/>
      <c r="Q449" s="93" t="n"/>
      <c r="R449" s="93" t="n"/>
      <c r="S449" s="93" t="n"/>
      <c r="T449" s="93" t="n"/>
      <c r="U449" s="93" t="n"/>
      <c r="V449" s="93" t="n"/>
      <c r="W449" s="93" t="n"/>
      <c r="X449" s="93" t="n"/>
      <c r="Y449" s="93" t="n"/>
      <c r="Z449" s="93" t="n"/>
    </row>
    <row r="450">
      <c r="A450" s="93" t="n"/>
      <c r="B450" s="93" t="n"/>
      <c r="C450" s="93" t="n"/>
      <c r="D450" s="93" t="n"/>
      <c r="E450" s="93" t="n"/>
      <c r="F450" s="93" t="n"/>
      <c r="G450" s="93" t="n"/>
      <c r="H450" s="93" t="n"/>
      <c r="I450" s="93" t="n"/>
      <c r="J450" s="93" t="n"/>
      <c r="K450" s="93" t="n"/>
      <c r="L450" s="93" t="n"/>
      <c r="M450" s="93" t="n"/>
      <c r="N450" s="93" t="n"/>
      <c r="O450" s="93" t="n"/>
      <c r="P450" s="93" t="n"/>
      <c r="Q450" s="93" t="n"/>
      <c r="R450" s="93" t="n"/>
      <c r="S450" s="93" t="n"/>
      <c r="T450" s="93" t="n"/>
      <c r="U450" s="93" t="n"/>
      <c r="V450" s="93" t="n"/>
      <c r="W450" s="93" t="n"/>
      <c r="X450" s="93" t="n"/>
      <c r="Y450" s="93" t="n"/>
      <c r="Z450" s="93" t="n"/>
    </row>
    <row r="451">
      <c r="A451" s="93" t="n"/>
      <c r="B451" s="93" t="n"/>
      <c r="C451" s="93" t="n"/>
      <c r="D451" s="93" t="n"/>
      <c r="E451" s="93" t="n"/>
      <c r="F451" s="93" t="n"/>
      <c r="G451" s="93" t="n"/>
      <c r="H451" s="93" t="n"/>
      <c r="I451" s="93" t="n"/>
      <c r="J451" s="93" t="n"/>
      <c r="K451" s="93" t="n"/>
      <c r="L451" s="93" t="n"/>
      <c r="M451" s="93" t="n"/>
      <c r="N451" s="93" t="n"/>
      <c r="O451" s="93" t="n"/>
      <c r="P451" s="93" t="n"/>
      <c r="Q451" s="93" t="n"/>
      <c r="R451" s="93" t="n"/>
      <c r="S451" s="93" t="n"/>
      <c r="T451" s="93" t="n"/>
      <c r="U451" s="93" t="n"/>
      <c r="V451" s="93" t="n"/>
      <c r="W451" s="93" t="n"/>
      <c r="X451" s="93" t="n"/>
      <c r="Y451" s="93" t="n"/>
      <c r="Z451" s="93" t="n"/>
    </row>
    <row r="452">
      <c r="A452" s="93" t="n"/>
      <c r="B452" s="93" t="n"/>
      <c r="C452" s="93" t="n"/>
      <c r="D452" s="93" t="n"/>
      <c r="E452" s="93" t="n"/>
      <c r="F452" s="93" t="n"/>
      <c r="G452" s="93" t="n"/>
      <c r="H452" s="93" t="n"/>
      <c r="I452" s="93" t="n"/>
      <c r="J452" s="93" t="n"/>
      <c r="K452" s="93" t="n"/>
      <c r="L452" s="93" t="n"/>
      <c r="M452" s="93" t="n"/>
      <c r="N452" s="93" t="n"/>
      <c r="O452" s="93" t="n"/>
      <c r="P452" s="93" t="n"/>
      <c r="Q452" s="93" t="n"/>
      <c r="R452" s="93" t="n"/>
      <c r="S452" s="93" t="n"/>
      <c r="T452" s="93" t="n"/>
      <c r="U452" s="93" t="n"/>
      <c r="V452" s="93" t="n"/>
      <c r="W452" s="93" t="n"/>
      <c r="X452" s="93" t="n"/>
      <c r="Y452" s="93" t="n"/>
      <c r="Z452" s="93" t="n"/>
    </row>
    <row r="453">
      <c r="A453" s="93" t="n"/>
      <c r="B453" s="93" t="n"/>
      <c r="C453" s="93" t="n"/>
      <c r="D453" s="93" t="n"/>
      <c r="E453" s="93" t="n"/>
      <c r="F453" s="93" t="n"/>
      <c r="G453" s="93" t="n"/>
      <c r="H453" s="93" t="n"/>
      <c r="I453" s="93" t="n"/>
      <c r="J453" s="93" t="n"/>
      <c r="K453" s="93" t="n"/>
      <c r="L453" s="93" t="n"/>
      <c r="M453" s="93" t="n"/>
      <c r="N453" s="93" t="n"/>
      <c r="O453" s="93" t="n"/>
      <c r="P453" s="93" t="n"/>
      <c r="Q453" s="93" t="n"/>
      <c r="R453" s="93" t="n"/>
      <c r="S453" s="93" t="n"/>
      <c r="T453" s="93" t="n"/>
      <c r="U453" s="93" t="n"/>
      <c r="V453" s="93" t="n"/>
      <c r="W453" s="93" t="n"/>
      <c r="X453" s="93" t="n"/>
      <c r="Y453" s="93" t="n"/>
      <c r="Z453" s="93" t="n"/>
    </row>
    <row r="454">
      <c r="A454" s="93" t="n"/>
      <c r="B454" s="93" t="n"/>
      <c r="C454" s="93" t="n"/>
      <c r="D454" s="93" t="n"/>
      <c r="E454" s="93" t="n"/>
      <c r="F454" s="93" t="n"/>
      <c r="G454" s="93" t="n"/>
      <c r="H454" s="93" t="n"/>
      <c r="I454" s="93" t="n"/>
      <c r="J454" s="93" t="n"/>
      <c r="K454" s="93" t="n"/>
      <c r="L454" s="93" t="n"/>
      <c r="M454" s="93" t="n"/>
      <c r="N454" s="93" t="n"/>
      <c r="O454" s="93" t="n"/>
      <c r="P454" s="93" t="n"/>
      <c r="Q454" s="93" t="n"/>
      <c r="R454" s="93" t="n"/>
      <c r="S454" s="93" t="n"/>
      <c r="T454" s="93" t="n"/>
      <c r="U454" s="93" t="n"/>
      <c r="V454" s="93" t="n"/>
      <c r="W454" s="93" t="n"/>
      <c r="X454" s="93" t="n"/>
      <c r="Y454" s="93" t="n"/>
      <c r="Z454" s="93" t="n"/>
    </row>
    <row r="455">
      <c r="A455" s="93" t="n"/>
      <c r="B455" s="93" t="n"/>
      <c r="C455" s="93" t="n"/>
      <c r="D455" s="93" t="n"/>
      <c r="E455" s="93" t="n"/>
      <c r="F455" s="93" t="n"/>
      <c r="G455" s="93" t="n"/>
      <c r="H455" s="93" t="n"/>
      <c r="I455" s="93" t="n"/>
      <c r="J455" s="93" t="n"/>
      <c r="K455" s="93" t="n"/>
      <c r="L455" s="93" t="n"/>
      <c r="M455" s="93" t="n"/>
      <c r="N455" s="93" t="n"/>
      <c r="O455" s="93" t="n"/>
      <c r="P455" s="93" t="n"/>
      <c r="Q455" s="93" t="n"/>
      <c r="R455" s="93" t="n"/>
      <c r="S455" s="93" t="n"/>
      <c r="T455" s="93" t="n"/>
      <c r="U455" s="93" t="n"/>
      <c r="V455" s="93" t="n"/>
      <c r="W455" s="93" t="n"/>
      <c r="X455" s="93" t="n"/>
      <c r="Y455" s="93" t="n"/>
      <c r="Z455" s="93" t="n"/>
    </row>
    <row r="456">
      <c r="A456" s="93" t="n"/>
      <c r="B456" s="93" t="n"/>
      <c r="C456" s="93" t="n"/>
      <c r="D456" s="93" t="n"/>
      <c r="E456" s="93" t="n"/>
      <c r="F456" s="93" t="n"/>
      <c r="G456" s="93" t="n"/>
      <c r="H456" s="93" t="n"/>
      <c r="I456" s="93" t="n"/>
      <c r="J456" s="93" t="n"/>
      <c r="K456" s="93" t="n"/>
      <c r="L456" s="93" t="n"/>
      <c r="M456" s="93" t="n"/>
      <c r="N456" s="93" t="n"/>
      <c r="O456" s="93" t="n"/>
      <c r="P456" s="93" t="n"/>
      <c r="Q456" s="93" t="n"/>
      <c r="R456" s="93" t="n"/>
      <c r="S456" s="93" t="n"/>
      <c r="T456" s="93" t="n"/>
      <c r="U456" s="93" t="n"/>
      <c r="V456" s="93" t="n"/>
      <c r="W456" s="93" t="n"/>
      <c r="X456" s="93" t="n"/>
      <c r="Y456" s="93" t="n"/>
      <c r="Z456" s="93" t="n"/>
    </row>
    <row r="457">
      <c r="A457" s="93" t="n"/>
      <c r="B457" s="93" t="n"/>
      <c r="C457" s="93" t="n"/>
      <c r="D457" s="93" t="n"/>
      <c r="E457" s="93" t="n"/>
      <c r="F457" s="93" t="n"/>
      <c r="G457" s="93" t="n"/>
      <c r="H457" s="93" t="n"/>
      <c r="I457" s="93" t="n"/>
      <c r="J457" s="93" t="n"/>
      <c r="K457" s="93" t="n"/>
      <c r="L457" s="93" t="n"/>
      <c r="M457" s="93" t="n"/>
      <c r="N457" s="93" t="n"/>
      <c r="O457" s="93" t="n"/>
      <c r="P457" s="93" t="n"/>
      <c r="Q457" s="93" t="n"/>
      <c r="R457" s="93" t="n"/>
      <c r="S457" s="93" t="n"/>
      <c r="T457" s="93" t="n"/>
      <c r="U457" s="93" t="n"/>
      <c r="V457" s="93" t="n"/>
      <c r="W457" s="93" t="n"/>
      <c r="X457" s="93" t="n"/>
      <c r="Y457" s="93" t="n"/>
      <c r="Z457" s="93" t="n"/>
    </row>
    <row r="458">
      <c r="A458" s="93" t="n"/>
      <c r="B458" s="93" t="n"/>
      <c r="C458" s="93" t="n"/>
      <c r="D458" s="93" t="n"/>
      <c r="E458" s="93" t="n"/>
      <c r="F458" s="93" t="n"/>
      <c r="G458" s="93" t="n"/>
      <c r="H458" s="93" t="n"/>
      <c r="I458" s="93" t="n"/>
      <c r="J458" s="93" t="n"/>
      <c r="K458" s="93" t="n"/>
      <c r="L458" s="93" t="n"/>
      <c r="M458" s="93" t="n"/>
      <c r="N458" s="93" t="n"/>
      <c r="O458" s="93" t="n"/>
      <c r="P458" s="93" t="n"/>
      <c r="Q458" s="93" t="n"/>
      <c r="R458" s="93" t="n"/>
      <c r="S458" s="93" t="n"/>
      <c r="T458" s="93" t="n"/>
      <c r="U458" s="93" t="n"/>
      <c r="V458" s="93" t="n"/>
      <c r="W458" s="93" t="n"/>
      <c r="X458" s="93" t="n"/>
      <c r="Y458" s="93" t="n"/>
      <c r="Z458" s="93" t="n"/>
    </row>
    <row r="459">
      <c r="A459" s="93" t="n"/>
      <c r="B459" s="93" t="n"/>
      <c r="C459" s="93" t="n"/>
      <c r="D459" s="93" t="n"/>
      <c r="E459" s="93" t="n"/>
      <c r="F459" s="93" t="n"/>
      <c r="G459" s="93" t="n"/>
      <c r="H459" s="93" t="n"/>
      <c r="I459" s="93" t="n"/>
      <c r="J459" s="93" t="n"/>
      <c r="K459" s="93" t="n"/>
      <c r="L459" s="93" t="n"/>
      <c r="M459" s="93" t="n"/>
      <c r="N459" s="93" t="n"/>
      <c r="O459" s="93" t="n"/>
      <c r="P459" s="93" t="n"/>
      <c r="Q459" s="93" t="n"/>
      <c r="R459" s="93" t="n"/>
      <c r="S459" s="93" t="n"/>
      <c r="T459" s="93" t="n"/>
      <c r="U459" s="93" t="n"/>
      <c r="V459" s="93" t="n"/>
      <c r="W459" s="93" t="n"/>
      <c r="X459" s="93" t="n"/>
      <c r="Y459" s="93" t="n"/>
      <c r="Z459" s="93" t="n"/>
    </row>
    <row r="460">
      <c r="A460" s="93" t="n"/>
      <c r="B460" s="93" t="n"/>
      <c r="C460" s="93" t="n"/>
      <c r="D460" s="93" t="n"/>
      <c r="E460" s="93" t="n"/>
      <c r="F460" s="93" t="n"/>
      <c r="G460" s="93" t="n"/>
      <c r="H460" s="93" t="n"/>
      <c r="I460" s="93" t="n"/>
      <c r="J460" s="93" t="n"/>
      <c r="K460" s="93" t="n"/>
      <c r="L460" s="93" t="n"/>
      <c r="M460" s="93" t="n"/>
      <c r="N460" s="93" t="n"/>
      <c r="O460" s="93" t="n"/>
      <c r="P460" s="93" t="n"/>
      <c r="Q460" s="93" t="n"/>
      <c r="R460" s="93" t="n"/>
      <c r="S460" s="93" t="n"/>
      <c r="T460" s="93" t="n"/>
      <c r="U460" s="93" t="n"/>
      <c r="V460" s="93" t="n"/>
      <c r="W460" s="93" t="n"/>
      <c r="X460" s="93" t="n"/>
      <c r="Y460" s="93" t="n"/>
      <c r="Z460" s="93" t="n"/>
    </row>
    <row r="461">
      <c r="A461" s="93" t="n"/>
      <c r="B461" s="93" t="n"/>
      <c r="C461" s="93" t="n"/>
      <c r="D461" s="93" t="n"/>
      <c r="E461" s="93" t="n"/>
      <c r="F461" s="93" t="n"/>
      <c r="G461" s="93" t="n"/>
      <c r="H461" s="93" t="n"/>
      <c r="I461" s="93" t="n"/>
      <c r="J461" s="93" t="n"/>
      <c r="K461" s="93" t="n"/>
      <c r="L461" s="93" t="n"/>
      <c r="M461" s="93" t="n"/>
      <c r="N461" s="93" t="n"/>
      <c r="O461" s="93" t="n"/>
      <c r="P461" s="93" t="n"/>
      <c r="Q461" s="93" t="n"/>
      <c r="R461" s="93" t="n"/>
      <c r="S461" s="93" t="n"/>
      <c r="T461" s="93" t="n"/>
      <c r="U461" s="93" t="n"/>
      <c r="V461" s="93" t="n"/>
      <c r="W461" s="93" t="n"/>
      <c r="X461" s="93" t="n"/>
      <c r="Y461" s="93" t="n"/>
      <c r="Z461" s="93" t="n"/>
    </row>
    <row r="462">
      <c r="A462" s="93" t="n"/>
      <c r="B462" s="93" t="n"/>
      <c r="C462" s="93" t="n"/>
      <c r="D462" s="93" t="n"/>
      <c r="E462" s="93" t="n"/>
      <c r="F462" s="93" t="n"/>
      <c r="G462" s="93" t="n"/>
      <c r="H462" s="93" t="n"/>
      <c r="I462" s="93" t="n"/>
      <c r="J462" s="93" t="n"/>
      <c r="K462" s="93" t="n"/>
      <c r="L462" s="93" t="n"/>
      <c r="M462" s="93" t="n"/>
      <c r="N462" s="93" t="n"/>
      <c r="O462" s="93" t="n"/>
      <c r="P462" s="93" t="n"/>
      <c r="Q462" s="93" t="n"/>
      <c r="R462" s="93" t="n"/>
      <c r="S462" s="93" t="n"/>
      <c r="T462" s="93" t="n"/>
      <c r="U462" s="93" t="n"/>
      <c r="V462" s="93" t="n"/>
      <c r="W462" s="93" t="n"/>
      <c r="X462" s="93" t="n"/>
      <c r="Y462" s="93" t="n"/>
      <c r="Z462" s="93" t="n"/>
    </row>
    <row r="463">
      <c r="A463" s="93" t="n"/>
      <c r="B463" s="93" t="n"/>
      <c r="C463" s="93" t="n"/>
      <c r="D463" s="93" t="n"/>
      <c r="E463" s="93" t="n"/>
      <c r="F463" s="93" t="n"/>
      <c r="G463" s="93" t="n"/>
      <c r="H463" s="93" t="n"/>
      <c r="I463" s="93" t="n"/>
      <c r="J463" s="93" t="n"/>
      <c r="K463" s="93" t="n"/>
      <c r="L463" s="93" t="n"/>
      <c r="M463" s="93" t="n"/>
      <c r="N463" s="93" t="n"/>
      <c r="O463" s="93" t="n"/>
      <c r="P463" s="93" t="n"/>
      <c r="Q463" s="93" t="n"/>
      <c r="R463" s="93" t="n"/>
      <c r="S463" s="93" t="n"/>
      <c r="T463" s="93" t="n"/>
      <c r="U463" s="93" t="n"/>
      <c r="V463" s="93" t="n"/>
      <c r="W463" s="93" t="n"/>
      <c r="X463" s="93" t="n"/>
      <c r="Y463" s="93" t="n"/>
      <c r="Z463" s="93" t="n"/>
    </row>
    <row r="464">
      <c r="A464" s="93" t="n"/>
      <c r="B464" s="93" t="n"/>
      <c r="C464" s="93" t="n"/>
      <c r="D464" s="93" t="n"/>
      <c r="E464" s="93" t="n"/>
      <c r="F464" s="93" t="n"/>
      <c r="G464" s="93" t="n"/>
      <c r="H464" s="93" t="n"/>
      <c r="I464" s="93" t="n"/>
      <c r="J464" s="93" t="n"/>
      <c r="K464" s="93" t="n"/>
      <c r="L464" s="93" t="n"/>
      <c r="M464" s="93" t="n"/>
      <c r="N464" s="93" t="n"/>
      <c r="O464" s="93" t="n"/>
      <c r="P464" s="93" t="n"/>
      <c r="Q464" s="93" t="n"/>
      <c r="R464" s="93" t="n"/>
      <c r="S464" s="93" t="n"/>
      <c r="T464" s="93" t="n"/>
      <c r="U464" s="93" t="n"/>
      <c r="V464" s="93" t="n"/>
      <c r="W464" s="93" t="n"/>
      <c r="X464" s="93" t="n"/>
      <c r="Y464" s="93" t="n"/>
      <c r="Z464" s="93" t="n"/>
    </row>
    <row r="465">
      <c r="A465" s="93" t="n"/>
      <c r="B465" s="93" t="n"/>
      <c r="C465" s="93" t="n"/>
      <c r="D465" s="93" t="n"/>
      <c r="E465" s="93" t="n"/>
      <c r="F465" s="93" t="n"/>
      <c r="G465" s="93" t="n"/>
      <c r="H465" s="93" t="n"/>
      <c r="I465" s="93" t="n"/>
      <c r="J465" s="93" t="n"/>
      <c r="K465" s="93" t="n"/>
      <c r="L465" s="93" t="n"/>
      <c r="M465" s="93" t="n"/>
      <c r="N465" s="93" t="n"/>
      <c r="O465" s="93" t="n"/>
      <c r="P465" s="93" t="n"/>
      <c r="Q465" s="93" t="n"/>
      <c r="R465" s="93" t="n"/>
      <c r="S465" s="93" t="n"/>
      <c r="T465" s="93" t="n"/>
      <c r="U465" s="93" t="n"/>
      <c r="V465" s="93" t="n"/>
      <c r="W465" s="93" t="n"/>
      <c r="X465" s="93" t="n"/>
      <c r="Y465" s="93" t="n"/>
      <c r="Z465" s="93" t="n"/>
    </row>
    <row r="466">
      <c r="A466" s="93" t="n"/>
      <c r="B466" s="93" t="n"/>
      <c r="C466" s="93" t="n"/>
      <c r="D466" s="93" t="n"/>
      <c r="E466" s="93" t="n"/>
      <c r="F466" s="93" t="n"/>
      <c r="G466" s="93" t="n"/>
      <c r="H466" s="93" t="n"/>
      <c r="I466" s="93" t="n"/>
      <c r="J466" s="93" t="n"/>
      <c r="K466" s="93" t="n"/>
      <c r="L466" s="93" t="n"/>
      <c r="M466" s="93" t="n"/>
      <c r="N466" s="93" t="n"/>
      <c r="O466" s="93" t="n"/>
      <c r="P466" s="93" t="n"/>
      <c r="Q466" s="93" t="n"/>
      <c r="R466" s="93" t="n"/>
      <c r="S466" s="93" t="n"/>
      <c r="T466" s="93" t="n"/>
      <c r="U466" s="93" t="n"/>
      <c r="V466" s="93" t="n"/>
      <c r="W466" s="93" t="n"/>
      <c r="X466" s="93" t="n"/>
      <c r="Y466" s="93" t="n"/>
      <c r="Z466" s="93" t="n"/>
    </row>
    <row r="467">
      <c r="A467" s="93" t="n"/>
      <c r="B467" s="93" t="n"/>
      <c r="C467" s="93" t="n"/>
      <c r="D467" s="93" t="n"/>
      <c r="E467" s="93" t="n"/>
      <c r="F467" s="93" t="n"/>
      <c r="G467" s="93" t="n"/>
      <c r="H467" s="93" t="n"/>
      <c r="I467" s="93" t="n"/>
      <c r="J467" s="93" t="n"/>
      <c r="K467" s="93" t="n"/>
      <c r="L467" s="93" t="n"/>
      <c r="M467" s="93" t="n"/>
      <c r="N467" s="93" t="n"/>
      <c r="O467" s="93" t="n"/>
      <c r="P467" s="93" t="n"/>
      <c r="Q467" s="93" t="n"/>
      <c r="R467" s="93" t="n"/>
      <c r="S467" s="93" t="n"/>
      <c r="T467" s="93" t="n"/>
      <c r="U467" s="93" t="n"/>
      <c r="V467" s="93" t="n"/>
      <c r="W467" s="93" t="n"/>
      <c r="X467" s="93" t="n"/>
      <c r="Y467" s="93" t="n"/>
      <c r="Z467" s="93" t="n"/>
    </row>
    <row r="468">
      <c r="A468" s="93" t="n"/>
      <c r="B468" s="93" t="n"/>
      <c r="C468" s="93" t="n"/>
      <c r="D468" s="93" t="n"/>
      <c r="E468" s="93" t="n"/>
      <c r="F468" s="93" t="n"/>
      <c r="G468" s="93" t="n"/>
      <c r="H468" s="93" t="n"/>
      <c r="I468" s="93" t="n"/>
      <c r="J468" s="93" t="n"/>
      <c r="K468" s="93" t="n"/>
      <c r="L468" s="93" t="n"/>
      <c r="M468" s="93" t="n"/>
      <c r="N468" s="93" t="n"/>
      <c r="O468" s="93" t="n"/>
      <c r="P468" s="93" t="n"/>
      <c r="Q468" s="93" t="n"/>
      <c r="R468" s="93" t="n"/>
      <c r="S468" s="93" t="n"/>
      <c r="T468" s="93" t="n"/>
      <c r="U468" s="93" t="n"/>
      <c r="V468" s="93" t="n"/>
      <c r="W468" s="93" t="n"/>
      <c r="X468" s="93" t="n"/>
      <c r="Y468" s="93" t="n"/>
      <c r="Z468" s="93" t="n"/>
    </row>
    <row r="469">
      <c r="A469" s="93" t="n"/>
      <c r="B469" s="93" t="n"/>
      <c r="C469" s="93" t="n"/>
      <c r="D469" s="93" t="n"/>
      <c r="E469" s="93" t="n"/>
      <c r="F469" s="93" t="n"/>
      <c r="G469" s="93" t="n"/>
      <c r="H469" s="93" t="n"/>
      <c r="I469" s="93" t="n"/>
      <c r="J469" s="93" t="n"/>
      <c r="K469" s="93" t="n"/>
      <c r="L469" s="93" t="n"/>
      <c r="M469" s="93" t="n"/>
      <c r="N469" s="93" t="n"/>
      <c r="O469" s="93" t="n"/>
      <c r="P469" s="93" t="n"/>
      <c r="Q469" s="93" t="n"/>
      <c r="R469" s="93" t="n"/>
      <c r="S469" s="93" t="n"/>
      <c r="T469" s="93" t="n"/>
      <c r="U469" s="93" t="n"/>
      <c r="V469" s="93" t="n"/>
      <c r="W469" s="93" t="n"/>
      <c r="X469" s="93" t="n"/>
      <c r="Y469" s="93" t="n"/>
      <c r="Z469" s="93" t="n"/>
    </row>
    <row r="470">
      <c r="A470" s="93" t="n"/>
      <c r="B470" s="93" t="n"/>
      <c r="C470" s="93" t="n"/>
      <c r="D470" s="93" t="n"/>
      <c r="E470" s="93" t="n"/>
      <c r="F470" s="93" t="n"/>
      <c r="G470" s="93" t="n"/>
      <c r="H470" s="93" t="n"/>
      <c r="I470" s="93" t="n"/>
      <c r="J470" s="93" t="n"/>
      <c r="K470" s="93" t="n"/>
      <c r="L470" s="93" t="n"/>
      <c r="M470" s="93" t="n"/>
      <c r="N470" s="93" t="n"/>
      <c r="O470" s="93" t="n"/>
      <c r="P470" s="93" t="n"/>
      <c r="Q470" s="93" t="n"/>
      <c r="R470" s="93" t="n"/>
      <c r="S470" s="93" t="n"/>
      <c r="T470" s="93" t="n"/>
      <c r="U470" s="93" t="n"/>
      <c r="V470" s="93" t="n"/>
      <c r="W470" s="93" t="n"/>
      <c r="X470" s="93" t="n"/>
      <c r="Y470" s="93" t="n"/>
      <c r="Z470" s="93" t="n"/>
    </row>
    <row r="471">
      <c r="A471" s="93" t="n"/>
      <c r="B471" s="93" t="n"/>
      <c r="C471" s="93" t="n"/>
      <c r="D471" s="93" t="n"/>
      <c r="E471" s="93" t="n"/>
      <c r="F471" s="93" t="n"/>
      <c r="G471" s="93" t="n"/>
      <c r="H471" s="93" t="n"/>
      <c r="I471" s="93" t="n"/>
      <c r="J471" s="93" t="n"/>
      <c r="K471" s="93" t="n"/>
      <c r="L471" s="93" t="n"/>
      <c r="M471" s="93" t="n"/>
      <c r="N471" s="93" t="n"/>
      <c r="O471" s="93" t="n"/>
      <c r="P471" s="93" t="n"/>
      <c r="Q471" s="93" t="n"/>
      <c r="R471" s="93" t="n"/>
      <c r="S471" s="93" t="n"/>
      <c r="T471" s="93" t="n"/>
      <c r="U471" s="93" t="n"/>
      <c r="V471" s="93" t="n"/>
      <c r="W471" s="93" t="n"/>
      <c r="X471" s="93" t="n"/>
      <c r="Y471" s="93" t="n"/>
      <c r="Z471" s="93" t="n"/>
    </row>
    <row r="472">
      <c r="A472" s="93" t="n"/>
      <c r="B472" s="93" t="n"/>
      <c r="C472" s="93" t="n"/>
      <c r="D472" s="93" t="n"/>
      <c r="E472" s="93" t="n"/>
      <c r="F472" s="93" t="n"/>
      <c r="G472" s="93" t="n"/>
      <c r="H472" s="93" t="n"/>
      <c r="I472" s="93" t="n"/>
      <c r="J472" s="93" t="n"/>
      <c r="K472" s="93" t="n"/>
      <c r="L472" s="93" t="n"/>
      <c r="M472" s="93" t="n"/>
      <c r="N472" s="93" t="n"/>
      <c r="O472" s="93" t="n"/>
      <c r="P472" s="93" t="n"/>
      <c r="Q472" s="93" t="n"/>
      <c r="R472" s="93" t="n"/>
      <c r="S472" s="93" t="n"/>
      <c r="T472" s="93" t="n"/>
      <c r="U472" s="93" t="n"/>
      <c r="V472" s="93" t="n"/>
      <c r="W472" s="93" t="n"/>
      <c r="X472" s="93" t="n"/>
      <c r="Y472" s="93" t="n"/>
      <c r="Z472" s="93" t="n"/>
    </row>
    <row r="473">
      <c r="A473" s="93" t="n"/>
      <c r="B473" s="93" t="n"/>
      <c r="C473" s="93" t="n"/>
      <c r="D473" s="93" t="n"/>
      <c r="E473" s="93" t="n"/>
      <c r="F473" s="93" t="n"/>
      <c r="G473" s="93" t="n"/>
      <c r="H473" s="93" t="n"/>
      <c r="I473" s="93" t="n"/>
      <c r="J473" s="93" t="n"/>
      <c r="K473" s="93" t="n"/>
      <c r="L473" s="93" t="n"/>
      <c r="M473" s="93" t="n"/>
      <c r="N473" s="93" t="n"/>
      <c r="O473" s="93" t="n"/>
      <c r="P473" s="93" t="n"/>
      <c r="Q473" s="93" t="n"/>
      <c r="R473" s="93" t="n"/>
      <c r="S473" s="93" t="n"/>
      <c r="T473" s="93" t="n"/>
      <c r="U473" s="93" t="n"/>
      <c r="V473" s="93" t="n"/>
      <c r="W473" s="93" t="n"/>
      <c r="X473" s="93" t="n"/>
      <c r="Y473" s="93" t="n"/>
      <c r="Z473" s="93" t="n"/>
    </row>
    <row r="474">
      <c r="A474" s="93" t="n"/>
      <c r="B474" s="93" t="n"/>
      <c r="C474" s="93" t="n"/>
      <c r="D474" s="93" t="n"/>
      <c r="E474" s="93" t="n"/>
      <c r="F474" s="93" t="n"/>
      <c r="G474" s="93" t="n"/>
      <c r="H474" s="93" t="n"/>
      <c r="I474" s="93" t="n"/>
      <c r="J474" s="93" t="n"/>
      <c r="K474" s="93" t="n"/>
      <c r="L474" s="93" t="n"/>
      <c r="M474" s="93" t="n"/>
      <c r="N474" s="93" t="n"/>
      <c r="O474" s="93" t="n"/>
      <c r="P474" s="93" t="n"/>
      <c r="Q474" s="93" t="n"/>
      <c r="R474" s="93" t="n"/>
      <c r="S474" s="93" t="n"/>
      <c r="T474" s="93" t="n"/>
      <c r="U474" s="93" t="n"/>
      <c r="V474" s="93" t="n"/>
      <c r="W474" s="93" t="n"/>
      <c r="X474" s="93" t="n"/>
      <c r="Y474" s="93" t="n"/>
      <c r="Z474" s="93" t="n"/>
    </row>
    <row r="475">
      <c r="A475" s="93" t="n"/>
      <c r="B475" s="93" t="n"/>
      <c r="C475" s="93" t="n"/>
      <c r="D475" s="93" t="n"/>
      <c r="E475" s="93" t="n"/>
      <c r="F475" s="93" t="n"/>
      <c r="G475" s="93" t="n"/>
      <c r="H475" s="93" t="n"/>
      <c r="I475" s="93" t="n"/>
      <c r="J475" s="93" t="n"/>
      <c r="K475" s="93" t="n"/>
      <c r="L475" s="93" t="n"/>
      <c r="M475" s="93" t="n"/>
      <c r="N475" s="93" t="n"/>
      <c r="O475" s="93" t="n"/>
      <c r="P475" s="93" t="n"/>
      <c r="Q475" s="93" t="n"/>
      <c r="R475" s="93" t="n"/>
      <c r="S475" s="93" t="n"/>
      <c r="T475" s="93" t="n"/>
      <c r="U475" s="93" t="n"/>
      <c r="V475" s="93" t="n"/>
      <c r="W475" s="93" t="n"/>
      <c r="X475" s="93" t="n"/>
      <c r="Y475" s="93" t="n"/>
      <c r="Z475" s="93" t="n"/>
    </row>
    <row r="476">
      <c r="A476" s="93" t="n"/>
      <c r="B476" s="93" t="n"/>
      <c r="C476" s="93" t="n"/>
      <c r="D476" s="93" t="n"/>
      <c r="E476" s="93" t="n"/>
      <c r="F476" s="93" t="n"/>
      <c r="G476" s="93" t="n"/>
      <c r="H476" s="93" t="n"/>
      <c r="I476" s="93" t="n"/>
      <c r="J476" s="93" t="n"/>
      <c r="K476" s="93" t="n"/>
      <c r="L476" s="93" t="n"/>
      <c r="M476" s="93" t="n"/>
      <c r="N476" s="93" t="n"/>
      <c r="O476" s="93" t="n"/>
      <c r="P476" s="93" t="n"/>
      <c r="Q476" s="93" t="n"/>
      <c r="R476" s="93" t="n"/>
      <c r="S476" s="93" t="n"/>
      <c r="T476" s="93" t="n"/>
      <c r="U476" s="93" t="n"/>
      <c r="V476" s="93" t="n"/>
      <c r="W476" s="93" t="n"/>
      <c r="X476" s="93" t="n"/>
      <c r="Y476" s="93" t="n"/>
      <c r="Z476" s="93" t="n"/>
    </row>
    <row r="477">
      <c r="A477" s="93" t="n"/>
      <c r="B477" s="93" t="n"/>
      <c r="C477" s="93" t="n"/>
      <c r="D477" s="93" t="n"/>
      <c r="E477" s="93" t="n"/>
      <c r="F477" s="93" t="n"/>
      <c r="G477" s="93" t="n"/>
      <c r="H477" s="93" t="n"/>
      <c r="I477" s="93" t="n"/>
      <c r="J477" s="93" t="n"/>
      <c r="K477" s="93" t="n"/>
      <c r="L477" s="93" t="n"/>
      <c r="M477" s="93" t="n"/>
      <c r="N477" s="93" t="n"/>
      <c r="O477" s="93" t="n"/>
      <c r="P477" s="93" t="n"/>
      <c r="Q477" s="93" t="n"/>
      <c r="R477" s="93" t="n"/>
      <c r="S477" s="93" t="n"/>
      <c r="T477" s="93" t="n"/>
      <c r="U477" s="93" t="n"/>
      <c r="V477" s="93" t="n"/>
      <c r="W477" s="93" t="n"/>
      <c r="X477" s="93" t="n"/>
      <c r="Y477" s="93" t="n"/>
      <c r="Z477" s="93" t="n"/>
    </row>
    <row r="478">
      <c r="A478" s="93" t="n"/>
      <c r="B478" s="93" t="n"/>
      <c r="C478" s="93" t="n"/>
      <c r="D478" s="93" t="n"/>
      <c r="E478" s="93" t="n"/>
      <c r="F478" s="93" t="n"/>
      <c r="G478" s="93" t="n"/>
      <c r="H478" s="93" t="n"/>
      <c r="I478" s="93" t="n"/>
      <c r="J478" s="93" t="n"/>
      <c r="K478" s="93" t="n"/>
      <c r="L478" s="93" t="n"/>
      <c r="M478" s="93" t="n"/>
      <c r="N478" s="93" t="n"/>
      <c r="O478" s="93" t="n"/>
      <c r="P478" s="93" t="n"/>
      <c r="Q478" s="93" t="n"/>
      <c r="R478" s="93" t="n"/>
      <c r="S478" s="93" t="n"/>
      <c r="T478" s="93" t="n"/>
      <c r="U478" s="93" t="n"/>
      <c r="V478" s="93" t="n"/>
      <c r="W478" s="93" t="n"/>
      <c r="X478" s="93" t="n"/>
      <c r="Y478" s="93" t="n"/>
      <c r="Z478" s="93" t="n"/>
    </row>
    <row r="479">
      <c r="A479" s="93" t="n"/>
      <c r="B479" s="93" t="n"/>
      <c r="C479" s="93" t="n"/>
      <c r="D479" s="93" t="n"/>
      <c r="E479" s="93" t="n"/>
      <c r="F479" s="93" t="n"/>
      <c r="G479" s="93" t="n"/>
      <c r="H479" s="93" t="n"/>
      <c r="I479" s="93" t="n"/>
      <c r="J479" s="93" t="n"/>
      <c r="K479" s="93" t="n"/>
      <c r="L479" s="93" t="n"/>
      <c r="M479" s="93" t="n"/>
      <c r="N479" s="93" t="n"/>
      <c r="O479" s="93" t="n"/>
      <c r="P479" s="93" t="n"/>
      <c r="Q479" s="93" t="n"/>
      <c r="R479" s="93" t="n"/>
      <c r="S479" s="93" t="n"/>
      <c r="T479" s="93" t="n"/>
      <c r="U479" s="93" t="n"/>
      <c r="V479" s="93" t="n"/>
      <c r="W479" s="93" t="n"/>
      <c r="X479" s="93" t="n"/>
      <c r="Y479" s="93" t="n"/>
      <c r="Z479" s="93" t="n"/>
    </row>
    <row r="480">
      <c r="A480" s="93" t="n"/>
      <c r="B480" s="93" t="n"/>
      <c r="C480" s="93" t="n"/>
      <c r="D480" s="93" t="n"/>
      <c r="E480" s="93" t="n"/>
      <c r="F480" s="93" t="n"/>
      <c r="G480" s="93" t="n"/>
      <c r="H480" s="93" t="n"/>
      <c r="I480" s="93" t="n"/>
      <c r="J480" s="93" t="n"/>
      <c r="K480" s="93" t="n"/>
      <c r="L480" s="93" t="n"/>
      <c r="M480" s="93" t="n"/>
      <c r="N480" s="93" t="n"/>
      <c r="O480" s="93" t="n"/>
      <c r="P480" s="93" t="n"/>
      <c r="Q480" s="93" t="n"/>
      <c r="R480" s="93" t="n"/>
      <c r="S480" s="93" t="n"/>
      <c r="T480" s="93" t="n"/>
      <c r="U480" s="93" t="n"/>
      <c r="V480" s="93" t="n"/>
      <c r="W480" s="93" t="n"/>
      <c r="X480" s="93" t="n"/>
      <c r="Y480" s="93" t="n"/>
      <c r="Z480" s="93" t="n"/>
    </row>
    <row r="481">
      <c r="A481" s="93" t="n"/>
      <c r="B481" s="93" t="n"/>
      <c r="C481" s="93" t="n"/>
      <c r="D481" s="93" t="n"/>
      <c r="E481" s="93" t="n"/>
      <c r="F481" s="93" t="n"/>
      <c r="G481" s="93" t="n"/>
      <c r="H481" s="93" t="n"/>
      <c r="I481" s="93" t="n"/>
      <c r="J481" s="93" t="n"/>
      <c r="K481" s="93" t="n"/>
      <c r="L481" s="93" t="n"/>
      <c r="M481" s="93" t="n"/>
      <c r="N481" s="93" t="n"/>
      <c r="O481" s="93" t="n"/>
      <c r="P481" s="93" t="n"/>
      <c r="Q481" s="93" t="n"/>
      <c r="R481" s="93" t="n"/>
      <c r="S481" s="93" t="n"/>
      <c r="T481" s="93" t="n"/>
      <c r="U481" s="93" t="n"/>
      <c r="V481" s="93" t="n"/>
      <c r="W481" s="93" t="n"/>
      <c r="X481" s="93" t="n"/>
      <c r="Y481" s="93" t="n"/>
      <c r="Z481" s="93" t="n"/>
    </row>
    <row r="482">
      <c r="A482" s="93" t="n"/>
      <c r="B482" s="93" t="n"/>
      <c r="C482" s="93" t="n"/>
      <c r="D482" s="93" t="n"/>
      <c r="E482" s="93" t="n"/>
      <c r="F482" s="93" t="n"/>
      <c r="G482" s="93" t="n"/>
      <c r="H482" s="93" t="n"/>
      <c r="I482" s="93" t="n"/>
      <c r="J482" s="93" t="n"/>
      <c r="K482" s="93" t="n"/>
      <c r="L482" s="93" t="n"/>
      <c r="M482" s="93" t="n"/>
      <c r="N482" s="93" t="n"/>
      <c r="O482" s="93" t="n"/>
      <c r="P482" s="93" t="n"/>
      <c r="Q482" s="93" t="n"/>
      <c r="R482" s="93" t="n"/>
      <c r="S482" s="93" t="n"/>
      <c r="T482" s="93" t="n"/>
      <c r="U482" s="93" t="n"/>
      <c r="V482" s="93" t="n"/>
      <c r="W482" s="93" t="n"/>
      <c r="X482" s="93" t="n"/>
      <c r="Y482" s="93" t="n"/>
      <c r="Z482" s="93" t="n"/>
    </row>
    <row r="483">
      <c r="A483" s="93" t="n"/>
      <c r="B483" s="93" t="n"/>
      <c r="C483" s="93" t="n"/>
      <c r="D483" s="93" t="n"/>
      <c r="E483" s="93" t="n"/>
      <c r="F483" s="93" t="n"/>
      <c r="G483" s="93" t="n"/>
      <c r="H483" s="93" t="n"/>
      <c r="I483" s="93" t="n"/>
      <c r="J483" s="93" t="n"/>
      <c r="K483" s="93" t="n"/>
      <c r="L483" s="93" t="n"/>
      <c r="M483" s="93" t="n"/>
      <c r="N483" s="93" t="n"/>
      <c r="O483" s="93" t="n"/>
      <c r="P483" s="93" t="n"/>
      <c r="Q483" s="93" t="n"/>
      <c r="R483" s="93" t="n"/>
      <c r="S483" s="93" t="n"/>
      <c r="T483" s="93" t="n"/>
      <c r="U483" s="93" t="n"/>
      <c r="V483" s="93" t="n"/>
      <c r="W483" s="93" t="n"/>
      <c r="X483" s="93" t="n"/>
      <c r="Y483" s="93" t="n"/>
      <c r="Z483" s="93" t="n"/>
    </row>
    <row r="484">
      <c r="A484" s="93" t="n"/>
      <c r="B484" s="93" t="n"/>
      <c r="C484" s="93" t="n"/>
      <c r="D484" s="93" t="n"/>
      <c r="E484" s="93" t="n"/>
      <c r="F484" s="93" t="n"/>
      <c r="G484" s="93" t="n"/>
      <c r="H484" s="93" t="n"/>
      <c r="I484" s="93" t="n"/>
      <c r="J484" s="93" t="n"/>
      <c r="K484" s="93" t="n"/>
      <c r="L484" s="93" t="n"/>
      <c r="M484" s="93" t="n"/>
      <c r="N484" s="93" t="n"/>
      <c r="O484" s="93" t="n"/>
      <c r="P484" s="93" t="n"/>
      <c r="Q484" s="93" t="n"/>
      <c r="R484" s="93" t="n"/>
      <c r="S484" s="93" t="n"/>
      <c r="T484" s="93" t="n"/>
      <c r="U484" s="93" t="n"/>
      <c r="V484" s="93" t="n"/>
      <c r="W484" s="93" t="n"/>
      <c r="X484" s="93" t="n"/>
      <c r="Y484" s="93" t="n"/>
      <c r="Z484" s="93" t="n"/>
    </row>
    <row r="485">
      <c r="A485" s="93" t="n"/>
      <c r="B485" s="93" t="n"/>
      <c r="C485" s="93" t="n"/>
      <c r="D485" s="93" t="n"/>
      <c r="E485" s="93" t="n"/>
      <c r="F485" s="93" t="n"/>
      <c r="G485" s="93" t="n"/>
      <c r="H485" s="93" t="n"/>
      <c r="I485" s="93" t="n"/>
      <c r="J485" s="93" t="n"/>
      <c r="K485" s="93" t="n"/>
      <c r="L485" s="93" t="n"/>
      <c r="M485" s="93" t="n"/>
      <c r="N485" s="93" t="n"/>
      <c r="O485" s="93" t="n"/>
      <c r="P485" s="93" t="n"/>
      <c r="Q485" s="93" t="n"/>
      <c r="R485" s="93" t="n"/>
      <c r="S485" s="93" t="n"/>
      <c r="T485" s="93" t="n"/>
      <c r="U485" s="93" t="n"/>
      <c r="V485" s="93" t="n"/>
      <c r="W485" s="93" t="n"/>
      <c r="X485" s="93" t="n"/>
      <c r="Y485" s="93" t="n"/>
      <c r="Z485" s="93" t="n"/>
    </row>
    <row r="486">
      <c r="A486" s="93" t="n"/>
      <c r="B486" s="93" t="n"/>
      <c r="C486" s="93" t="n"/>
      <c r="D486" s="93" t="n"/>
      <c r="E486" s="93" t="n"/>
      <c r="F486" s="93" t="n"/>
      <c r="G486" s="93" t="n"/>
      <c r="H486" s="93" t="n"/>
      <c r="I486" s="93" t="n"/>
      <c r="J486" s="93" t="n"/>
      <c r="K486" s="93" t="n"/>
      <c r="L486" s="93" t="n"/>
      <c r="M486" s="93" t="n"/>
      <c r="N486" s="93" t="n"/>
      <c r="O486" s="93" t="n"/>
      <c r="P486" s="93" t="n"/>
      <c r="Q486" s="93" t="n"/>
      <c r="R486" s="93" t="n"/>
      <c r="S486" s="93" t="n"/>
      <c r="T486" s="93" t="n"/>
      <c r="U486" s="93" t="n"/>
      <c r="V486" s="93" t="n"/>
      <c r="W486" s="93" t="n"/>
      <c r="X486" s="93" t="n"/>
      <c r="Y486" s="93" t="n"/>
      <c r="Z486" s="93" t="n"/>
    </row>
    <row r="487">
      <c r="A487" s="93" t="n"/>
      <c r="B487" s="93" t="n"/>
      <c r="C487" s="93" t="n"/>
      <c r="D487" s="93" t="n"/>
      <c r="E487" s="93" t="n"/>
      <c r="F487" s="93" t="n"/>
      <c r="G487" s="93" t="n"/>
      <c r="H487" s="93" t="n"/>
      <c r="I487" s="93" t="n"/>
      <c r="J487" s="93" t="n"/>
      <c r="K487" s="93" t="n"/>
      <c r="L487" s="93" t="n"/>
      <c r="M487" s="93" t="n"/>
      <c r="N487" s="93" t="n"/>
      <c r="O487" s="93" t="n"/>
      <c r="P487" s="93" t="n"/>
      <c r="Q487" s="93" t="n"/>
      <c r="R487" s="93" t="n"/>
      <c r="S487" s="93" t="n"/>
      <c r="T487" s="93" t="n"/>
      <c r="U487" s="93" t="n"/>
      <c r="V487" s="93" t="n"/>
      <c r="W487" s="93" t="n"/>
      <c r="X487" s="93" t="n"/>
      <c r="Y487" s="93" t="n"/>
      <c r="Z487" s="93" t="n"/>
    </row>
    <row r="488">
      <c r="A488" s="93" t="n"/>
      <c r="B488" s="93" t="n"/>
      <c r="C488" s="93" t="n"/>
      <c r="D488" s="93" t="n"/>
      <c r="E488" s="93" t="n"/>
      <c r="F488" s="93" t="n"/>
      <c r="G488" s="93" t="n"/>
      <c r="H488" s="93" t="n"/>
      <c r="I488" s="93" t="n"/>
      <c r="J488" s="93" t="n"/>
      <c r="K488" s="93" t="n"/>
      <c r="L488" s="93" t="n"/>
      <c r="M488" s="93" t="n"/>
      <c r="N488" s="93" t="n"/>
      <c r="O488" s="93" t="n"/>
      <c r="P488" s="93" t="n"/>
      <c r="Q488" s="93" t="n"/>
      <c r="R488" s="93" t="n"/>
      <c r="S488" s="93" t="n"/>
      <c r="T488" s="93" t="n"/>
      <c r="U488" s="93" t="n"/>
      <c r="V488" s="93" t="n"/>
      <c r="W488" s="93" t="n"/>
      <c r="X488" s="93" t="n"/>
      <c r="Y488" s="93" t="n"/>
      <c r="Z488" s="93" t="n"/>
    </row>
    <row r="489">
      <c r="A489" s="93" t="n"/>
      <c r="B489" s="93" t="n"/>
      <c r="C489" s="93" t="n"/>
      <c r="D489" s="93" t="n"/>
      <c r="E489" s="93" t="n"/>
      <c r="F489" s="93" t="n"/>
      <c r="G489" s="93" t="n"/>
      <c r="H489" s="93" t="n"/>
      <c r="I489" s="93" t="n"/>
      <c r="J489" s="93" t="n"/>
      <c r="K489" s="93" t="n"/>
      <c r="L489" s="93" t="n"/>
      <c r="M489" s="93" t="n"/>
      <c r="N489" s="93" t="n"/>
      <c r="O489" s="93" t="n"/>
      <c r="P489" s="93" t="n"/>
      <c r="Q489" s="93" t="n"/>
      <c r="R489" s="93" t="n"/>
      <c r="S489" s="93" t="n"/>
      <c r="T489" s="93" t="n"/>
      <c r="U489" s="93" t="n"/>
      <c r="V489" s="93" t="n"/>
      <c r="W489" s="93" t="n"/>
      <c r="X489" s="93" t="n"/>
      <c r="Y489" s="93" t="n"/>
      <c r="Z489" s="93" t="n"/>
    </row>
    <row r="490">
      <c r="A490" s="93" t="n"/>
      <c r="B490" s="93" t="n"/>
      <c r="C490" s="93" t="n"/>
      <c r="D490" s="93" t="n"/>
      <c r="E490" s="93" t="n"/>
      <c r="F490" s="93" t="n"/>
      <c r="G490" s="93" t="n"/>
      <c r="H490" s="93" t="n"/>
      <c r="I490" s="93" t="n"/>
      <c r="J490" s="93" t="n"/>
      <c r="K490" s="93" t="n"/>
      <c r="L490" s="93" t="n"/>
      <c r="M490" s="93" t="n"/>
      <c r="N490" s="93" t="n"/>
      <c r="O490" s="93" t="n"/>
      <c r="P490" s="93" t="n"/>
      <c r="Q490" s="93" t="n"/>
      <c r="R490" s="93" t="n"/>
      <c r="S490" s="93" t="n"/>
      <c r="T490" s="93" t="n"/>
      <c r="U490" s="93" t="n"/>
      <c r="V490" s="93" t="n"/>
      <c r="W490" s="93" t="n"/>
      <c r="X490" s="93" t="n"/>
      <c r="Y490" s="93" t="n"/>
      <c r="Z490" s="93" t="n"/>
    </row>
    <row r="491">
      <c r="A491" s="93" t="n"/>
      <c r="B491" s="93" t="n"/>
      <c r="C491" s="93" t="n"/>
      <c r="D491" s="93" t="n"/>
      <c r="E491" s="93" t="n"/>
      <c r="F491" s="93" t="n"/>
      <c r="G491" s="93" t="n"/>
      <c r="H491" s="93" t="n"/>
      <c r="I491" s="93" t="n"/>
      <c r="J491" s="93" t="n"/>
      <c r="K491" s="93" t="n"/>
      <c r="L491" s="93" t="n"/>
      <c r="M491" s="93" t="n"/>
      <c r="N491" s="93" t="n"/>
      <c r="O491" s="93" t="n"/>
      <c r="P491" s="93" t="n"/>
      <c r="Q491" s="93" t="n"/>
      <c r="R491" s="93" t="n"/>
      <c r="S491" s="93" t="n"/>
      <c r="T491" s="93" t="n"/>
      <c r="U491" s="93" t="n"/>
      <c r="V491" s="93" t="n"/>
      <c r="W491" s="93" t="n"/>
      <c r="X491" s="93" t="n"/>
      <c r="Y491" s="93" t="n"/>
      <c r="Z491" s="93" t="n"/>
    </row>
    <row r="492">
      <c r="A492" s="93" t="n"/>
      <c r="B492" s="93" t="n"/>
      <c r="C492" s="93" t="n"/>
      <c r="D492" s="93" t="n"/>
      <c r="E492" s="93" t="n"/>
      <c r="F492" s="93" t="n"/>
      <c r="G492" s="93" t="n"/>
      <c r="H492" s="93" t="n"/>
      <c r="I492" s="93" t="n"/>
      <c r="J492" s="93" t="n"/>
      <c r="K492" s="93" t="n"/>
      <c r="L492" s="93" t="n"/>
      <c r="M492" s="93" t="n"/>
      <c r="N492" s="93" t="n"/>
      <c r="O492" s="93" t="n"/>
      <c r="P492" s="93" t="n"/>
      <c r="Q492" s="93" t="n"/>
      <c r="R492" s="93" t="n"/>
      <c r="S492" s="93" t="n"/>
      <c r="T492" s="93" t="n"/>
      <c r="U492" s="93" t="n"/>
      <c r="V492" s="93" t="n"/>
      <c r="W492" s="93" t="n"/>
      <c r="X492" s="93" t="n"/>
      <c r="Y492" s="93" t="n"/>
      <c r="Z492" s="93" t="n"/>
    </row>
    <row r="493">
      <c r="A493" s="93" t="n"/>
      <c r="B493" s="93" t="n"/>
      <c r="C493" s="93" t="n"/>
      <c r="D493" s="93" t="n"/>
      <c r="E493" s="93" t="n"/>
      <c r="F493" s="93" t="n"/>
      <c r="G493" s="93" t="n"/>
      <c r="H493" s="93" t="n"/>
      <c r="I493" s="93" t="n"/>
      <c r="J493" s="93" t="n"/>
      <c r="K493" s="93" t="n"/>
      <c r="L493" s="93" t="n"/>
      <c r="M493" s="93" t="n"/>
      <c r="N493" s="93" t="n"/>
      <c r="O493" s="93" t="n"/>
      <c r="P493" s="93" t="n"/>
      <c r="Q493" s="93" t="n"/>
      <c r="R493" s="93" t="n"/>
      <c r="S493" s="93" t="n"/>
      <c r="T493" s="93" t="n"/>
      <c r="U493" s="93" t="n"/>
      <c r="V493" s="93" t="n"/>
      <c r="W493" s="93" t="n"/>
      <c r="X493" s="93" t="n"/>
      <c r="Y493" s="93" t="n"/>
      <c r="Z493" s="93" t="n"/>
    </row>
    <row r="494">
      <c r="A494" s="93" t="n"/>
      <c r="B494" s="93" t="n"/>
      <c r="C494" s="93" t="n"/>
      <c r="D494" s="93" t="n"/>
      <c r="E494" s="93" t="n"/>
      <c r="F494" s="93" t="n"/>
      <c r="G494" s="93" t="n"/>
      <c r="H494" s="93" t="n"/>
      <c r="I494" s="93" t="n"/>
      <c r="J494" s="93" t="n"/>
      <c r="K494" s="93" t="n"/>
      <c r="L494" s="93" t="n"/>
      <c r="M494" s="93" t="n"/>
      <c r="N494" s="93" t="n"/>
      <c r="O494" s="93" t="n"/>
      <c r="P494" s="93" t="n"/>
      <c r="Q494" s="93" t="n"/>
      <c r="R494" s="93" t="n"/>
      <c r="S494" s="93" t="n"/>
      <c r="T494" s="93" t="n"/>
      <c r="U494" s="93" t="n"/>
      <c r="V494" s="93" t="n"/>
      <c r="W494" s="93" t="n"/>
      <c r="X494" s="93" t="n"/>
      <c r="Y494" s="93" t="n"/>
      <c r="Z494" s="93" t="n"/>
    </row>
    <row r="495">
      <c r="A495" s="93" t="n"/>
      <c r="B495" s="93" t="n"/>
      <c r="C495" s="93" t="n"/>
      <c r="D495" s="93" t="n"/>
      <c r="E495" s="93" t="n"/>
      <c r="F495" s="93" t="n"/>
      <c r="G495" s="93" t="n"/>
      <c r="H495" s="93" t="n"/>
      <c r="I495" s="93" t="n"/>
      <c r="J495" s="93" t="n"/>
      <c r="K495" s="93" t="n"/>
      <c r="L495" s="93" t="n"/>
      <c r="M495" s="93" t="n"/>
      <c r="N495" s="93" t="n"/>
      <c r="O495" s="93" t="n"/>
      <c r="P495" s="93" t="n"/>
      <c r="Q495" s="93" t="n"/>
      <c r="R495" s="93" t="n"/>
      <c r="S495" s="93" t="n"/>
      <c r="T495" s="93" t="n"/>
      <c r="U495" s="93" t="n"/>
      <c r="V495" s="93" t="n"/>
      <c r="W495" s="93" t="n"/>
      <c r="X495" s="93" t="n"/>
      <c r="Y495" s="93" t="n"/>
      <c r="Z495" s="93" t="n"/>
    </row>
    <row r="496">
      <c r="A496" s="93" t="n"/>
      <c r="B496" s="93" t="n"/>
      <c r="C496" s="93" t="n"/>
      <c r="D496" s="93" t="n"/>
      <c r="E496" s="93" t="n"/>
      <c r="F496" s="93" t="n"/>
      <c r="G496" s="93" t="n"/>
      <c r="H496" s="93" t="n"/>
      <c r="I496" s="93" t="n"/>
      <c r="J496" s="93" t="n"/>
      <c r="K496" s="93" t="n"/>
      <c r="L496" s="93" t="n"/>
      <c r="M496" s="93" t="n"/>
      <c r="N496" s="93" t="n"/>
      <c r="O496" s="93" t="n"/>
      <c r="P496" s="93" t="n"/>
      <c r="Q496" s="93" t="n"/>
      <c r="R496" s="93" t="n"/>
      <c r="S496" s="93" t="n"/>
      <c r="T496" s="93" t="n"/>
      <c r="U496" s="93" t="n"/>
      <c r="V496" s="93" t="n"/>
      <c r="W496" s="93" t="n"/>
      <c r="X496" s="93" t="n"/>
      <c r="Y496" s="93" t="n"/>
      <c r="Z496" s="93" t="n"/>
    </row>
    <row r="497">
      <c r="A497" s="93" t="n"/>
      <c r="B497" s="93" t="n"/>
      <c r="C497" s="93" t="n"/>
      <c r="D497" s="93" t="n"/>
      <c r="E497" s="93" t="n"/>
      <c r="F497" s="93" t="n"/>
      <c r="G497" s="93" t="n"/>
      <c r="H497" s="93" t="n"/>
      <c r="I497" s="93" t="n"/>
      <c r="J497" s="93" t="n"/>
      <c r="K497" s="93" t="n"/>
      <c r="L497" s="93" t="n"/>
      <c r="M497" s="93" t="n"/>
      <c r="N497" s="93" t="n"/>
      <c r="O497" s="93" t="n"/>
      <c r="P497" s="93" t="n"/>
      <c r="Q497" s="93" t="n"/>
      <c r="R497" s="93" t="n"/>
      <c r="S497" s="93" t="n"/>
      <c r="T497" s="93" t="n"/>
      <c r="U497" s="93" t="n"/>
      <c r="V497" s="93" t="n"/>
      <c r="W497" s="93" t="n"/>
      <c r="X497" s="93" t="n"/>
      <c r="Y497" s="93" t="n"/>
      <c r="Z497" s="93" t="n"/>
    </row>
    <row r="498">
      <c r="A498" s="93" t="n"/>
      <c r="B498" s="93" t="n"/>
      <c r="C498" s="93" t="n"/>
      <c r="D498" s="93" t="n"/>
      <c r="E498" s="93" t="n"/>
      <c r="F498" s="93" t="n"/>
      <c r="G498" s="93" t="n"/>
      <c r="H498" s="93" t="n"/>
      <c r="I498" s="93" t="n"/>
      <c r="J498" s="93" t="n"/>
      <c r="K498" s="93" t="n"/>
      <c r="L498" s="93" t="n"/>
      <c r="M498" s="93" t="n"/>
      <c r="N498" s="93" t="n"/>
      <c r="O498" s="93" t="n"/>
      <c r="P498" s="93" t="n"/>
      <c r="Q498" s="93" t="n"/>
      <c r="R498" s="93" t="n"/>
      <c r="S498" s="93" t="n"/>
      <c r="T498" s="93" t="n"/>
      <c r="U498" s="93" t="n"/>
      <c r="V498" s="93" t="n"/>
      <c r="W498" s="93" t="n"/>
      <c r="X498" s="93" t="n"/>
      <c r="Y498" s="93" t="n"/>
      <c r="Z498" s="93" t="n"/>
    </row>
    <row r="499">
      <c r="A499" s="93" t="n"/>
      <c r="B499" s="93" t="n"/>
      <c r="C499" s="93" t="n"/>
      <c r="D499" s="93" t="n"/>
      <c r="E499" s="93" t="n"/>
      <c r="F499" s="93" t="n"/>
      <c r="G499" s="93" t="n"/>
      <c r="H499" s="93" t="n"/>
      <c r="I499" s="93" t="n"/>
      <c r="J499" s="93" t="n"/>
      <c r="K499" s="93" t="n"/>
      <c r="L499" s="93" t="n"/>
      <c r="M499" s="93" t="n"/>
      <c r="N499" s="93" t="n"/>
      <c r="O499" s="93" t="n"/>
      <c r="P499" s="93" t="n"/>
      <c r="Q499" s="93" t="n"/>
      <c r="R499" s="93" t="n"/>
      <c r="S499" s="93" t="n"/>
      <c r="T499" s="93" t="n"/>
      <c r="U499" s="93" t="n"/>
      <c r="V499" s="93" t="n"/>
      <c r="W499" s="93" t="n"/>
      <c r="X499" s="93" t="n"/>
      <c r="Y499" s="93" t="n"/>
      <c r="Z499" s="93" t="n"/>
    </row>
    <row r="500">
      <c r="A500" s="93" t="n"/>
      <c r="B500" s="93" t="n"/>
      <c r="C500" s="93" t="n"/>
      <c r="D500" s="93" t="n"/>
      <c r="E500" s="93" t="n"/>
      <c r="F500" s="93" t="n"/>
      <c r="G500" s="93" t="n"/>
      <c r="H500" s="93" t="n"/>
      <c r="I500" s="93" t="n"/>
      <c r="J500" s="93" t="n"/>
      <c r="K500" s="93" t="n"/>
      <c r="L500" s="93" t="n"/>
      <c r="M500" s="93" t="n"/>
      <c r="N500" s="93" t="n"/>
      <c r="O500" s="93" t="n"/>
      <c r="P500" s="93" t="n"/>
      <c r="Q500" s="93" t="n"/>
      <c r="R500" s="93" t="n"/>
      <c r="S500" s="93" t="n"/>
      <c r="T500" s="93" t="n"/>
      <c r="U500" s="93" t="n"/>
      <c r="V500" s="93" t="n"/>
      <c r="W500" s="93" t="n"/>
      <c r="X500" s="93" t="n"/>
      <c r="Y500" s="93" t="n"/>
      <c r="Z500" s="93" t="n"/>
    </row>
  </sheetData>
  <mergeCells count="2">
    <mergeCell ref="A1:O1"/>
    <mergeCell ref="A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3.80000019073486"/>
  <sheetData>
    <row r="1" ht="21" customHeight="1" s="88">
      <c r="A1" s="180" t="inlineStr">
        <is>
          <t>Inventory Movement Ledger · FIFO-supporting source of physical stock truth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</row>
    <row r="3">
      <c r="A3" s="231" t="inlineStr">
        <is>
          <t>Movement ID</t>
        </is>
      </c>
      <c r="B3" s="231" t="inlineStr">
        <is>
          <t>Date</t>
        </is>
      </c>
      <c r="C3" s="231" t="inlineStr">
        <is>
          <t>SKU</t>
        </is>
      </c>
      <c r="D3" s="231" t="inlineStr">
        <is>
          <t>Type</t>
        </is>
      </c>
      <c r="E3" s="231" t="inlineStr">
        <is>
          <t>Qty In</t>
        </is>
      </c>
      <c r="F3" s="231" t="inlineStr">
        <is>
          <t>Qty Out</t>
        </is>
      </c>
      <c r="G3" s="231" t="inlineStr">
        <is>
          <t>Unit Cost ₹</t>
        </is>
      </c>
      <c r="H3" s="231" t="inlineStr">
        <is>
          <t>Lot / PO</t>
        </is>
      </c>
      <c r="I3" s="231" t="inlineStr">
        <is>
          <t>Job Card</t>
        </is>
      </c>
      <c r="J3" s="231" t="inlineStr">
        <is>
          <t>Quality Status</t>
        </is>
      </c>
      <c r="K3" s="231" t="inlineStr">
        <is>
          <t>Posted?</t>
        </is>
      </c>
      <c r="L3" s="231" t="inlineStr">
        <is>
          <t>Evidence / Note</t>
        </is>
      </c>
      <c r="M3" s="231" t="inlineStr">
        <is>
          <t>Truth Class</t>
        </is>
      </c>
      <c r="N3" s="231" t="inlineStr">
        <is>
          <t>Revision</t>
        </is>
      </c>
      <c r="O3" s="231" t="inlineStr">
        <is>
          <t>Source Ref</t>
        </is>
      </c>
      <c r="P3" s="231" t="inlineStr">
        <is>
          <t>Posted At</t>
        </is>
      </c>
      <c r="Q3" s="231" t="inlineStr">
        <is>
          <t>Posted By</t>
        </is>
      </c>
    </row>
    <row r="4">
      <c r="A4">
        <f>IF(C4="","","MOV-"&amp;TEXT(ROW()-3,"0000"))</f>
        <v/>
      </c>
      <c r="B4" s="234" t="n"/>
      <c r="E4" s="64" t="n"/>
      <c r="F4" s="64" t="n"/>
      <c r="G4" s="235" t="n"/>
      <c r="J4" t="inlineStr">
        <is>
          <t>Released</t>
        </is>
      </c>
      <c r="K4" t="inlineStr">
        <is>
          <t>No</t>
        </is>
      </c>
      <c r="M4">
        <f>IF(A4="","",IF(K4="Yes","Actual","Plan"))</f>
        <v/>
      </c>
      <c r="N4" t="n">
        <v>1</v>
      </c>
    </row>
    <row r="5">
      <c r="A5">
        <f>IF(C5="","","MOV-"&amp;TEXT(ROW()-3,"0000"))</f>
        <v/>
      </c>
      <c r="B5" s="234" t="n"/>
      <c r="E5" s="64" t="n"/>
      <c r="F5" s="64" t="n"/>
      <c r="G5" s="235" t="n"/>
      <c r="J5" t="inlineStr">
        <is>
          <t>Released</t>
        </is>
      </c>
      <c r="K5" t="inlineStr">
        <is>
          <t>No</t>
        </is>
      </c>
      <c r="M5">
        <f>IF(A5="","",IF(K5="Yes","Actual","Plan"))</f>
        <v/>
      </c>
      <c r="N5" t="n">
        <v>1</v>
      </c>
    </row>
    <row r="6">
      <c r="A6">
        <f>IF(C6="","","MOV-"&amp;TEXT(ROW()-3,"0000"))</f>
        <v/>
      </c>
      <c r="B6" s="234" t="n"/>
      <c r="E6" s="64" t="n"/>
      <c r="F6" s="64" t="n"/>
      <c r="G6" s="235" t="n"/>
      <c r="J6" t="inlineStr">
        <is>
          <t>Released</t>
        </is>
      </c>
      <c r="K6" t="inlineStr">
        <is>
          <t>No</t>
        </is>
      </c>
      <c r="M6">
        <f>IF(A6="","",IF(K6="Yes","Actual","Plan"))</f>
        <v/>
      </c>
      <c r="N6" t="n">
        <v>1</v>
      </c>
    </row>
    <row r="7">
      <c r="A7">
        <f>IF(C7="","","MOV-"&amp;TEXT(ROW()-3,"0000"))</f>
        <v/>
      </c>
      <c r="B7" s="234" t="n"/>
      <c r="E7" s="64" t="n"/>
      <c r="F7" s="64" t="n"/>
      <c r="G7" s="235" t="n"/>
      <c r="J7" t="inlineStr">
        <is>
          <t>Released</t>
        </is>
      </c>
      <c r="K7" t="inlineStr">
        <is>
          <t>No</t>
        </is>
      </c>
      <c r="M7">
        <f>IF(A7="","",IF(K7="Yes","Actual","Plan"))</f>
        <v/>
      </c>
      <c r="N7" t="n">
        <v>1</v>
      </c>
    </row>
    <row r="8">
      <c r="A8">
        <f>IF(C8="","","MOV-"&amp;TEXT(ROW()-3,"0000"))</f>
        <v/>
      </c>
      <c r="B8" s="234" t="n"/>
      <c r="E8" s="64" t="n"/>
      <c r="F8" s="64" t="n"/>
      <c r="G8" s="235" t="n"/>
      <c r="J8" t="inlineStr">
        <is>
          <t>Released</t>
        </is>
      </c>
      <c r="K8" t="inlineStr">
        <is>
          <t>No</t>
        </is>
      </c>
      <c r="M8">
        <f>IF(A8="","",IF(K8="Yes","Actual","Plan"))</f>
        <v/>
      </c>
      <c r="N8" t="n">
        <v>1</v>
      </c>
    </row>
    <row r="9">
      <c r="A9">
        <f>IF(C9="","","MOV-"&amp;TEXT(ROW()-3,"0000"))</f>
        <v/>
      </c>
      <c r="B9" s="234" t="n"/>
      <c r="E9" s="64" t="n"/>
      <c r="F9" s="64" t="n"/>
      <c r="G9" s="235" t="n"/>
      <c r="J9" t="inlineStr">
        <is>
          <t>Released</t>
        </is>
      </c>
      <c r="K9" t="inlineStr">
        <is>
          <t>No</t>
        </is>
      </c>
      <c r="M9">
        <f>IF(A9="","",IF(K9="Yes","Actual","Plan"))</f>
        <v/>
      </c>
      <c r="N9" t="n">
        <v>1</v>
      </c>
    </row>
    <row r="10">
      <c r="A10">
        <f>IF(C10="","","MOV-"&amp;TEXT(ROW()-3,"0000"))</f>
        <v/>
      </c>
      <c r="B10" s="234" t="n"/>
      <c r="E10" s="64" t="n"/>
      <c r="F10" s="64" t="n"/>
      <c r="G10" s="235" t="n"/>
      <c r="J10" t="inlineStr">
        <is>
          <t>Released</t>
        </is>
      </c>
      <c r="K10" t="inlineStr">
        <is>
          <t>No</t>
        </is>
      </c>
      <c r="M10">
        <f>IF(A10="","",IF(K10="Yes","Actual","Plan"))</f>
        <v/>
      </c>
      <c r="N10" t="n">
        <v>1</v>
      </c>
    </row>
    <row r="11">
      <c r="A11">
        <f>IF(C11="","","MOV-"&amp;TEXT(ROW()-3,"0000"))</f>
        <v/>
      </c>
      <c r="B11" s="234" t="n"/>
      <c r="E11" s="64" t="n"/>
      <c r="F11" s="64" t="n"/>
      <c r="G11" s="235" t="n"/>
      <c r="J11" t="inlineStr">
        <is>
          <t>Released</t>
        </is>
      </c>
      <c r="K11" t="inlineStr">
        <is>
          <t>No</t>
        </is>
      </c>
      <c r="M11">
        <f>IF(A11="","",IF(K11="Yes","Actual","Plan"))</f>
        <v/>
      </c>
      <c r="N11" t="n">
        <v>1</v>
      </c>
    </row>
    <row r="12">
      <c r="A12">
        <f>IF(C12="","","MOV-"&amp;TEXT(ROW()-3,"0000"))</f>
        <v/>
      </c>
      <c r="B12" s="234" t="n"/>
      <c r="E12" s="64" t="n"/>
      <c r="F12" s="64" t="n"/>
      <c r="G12" s="235" t="n"/>
      <c r="J12" t="inlineStr">
        <is>
          <t>Released</t>
        </is>
      </c>
      <c r="K12" t="inlineStr">
        <is>
          <t>No</t>
        </is>
      </c>
      <c r="M12">
        <f>IF(A12="","",IF(K12="Yes","Actual","Plan"))</f>
        <v/>
      </c>
      <c r="N12" t="n">
        <v>1</v>
      </c>
    </row>
    <row r="13">
      <c r="A13">
        <f>IF(C13="","","MOV-"&amp;TEXT(ROW()-3,"0000"))</f>
        <v/>
      </c>
      <c r="B13" s="234" t="n"/>
      <c r="E13" s="64" t="n"/>
      <c r="F13" s="64" t="n"/>
      <c r="G13" s="235" t="n"/>
      <c r="J13" t="inlineStr">
        <is>
          <t>Released</t>
        </is>
      </c>
      <c r="K13" t="inlineStr">
        <is>
          <t>No</t>
        </is>
      </c>
      <c r="M13">
        <f>IF(A13="","",IF(K13="Yes","Actual","Plan"))</f>
        <v/>
      </c>
      <c r="N13" t="n">
        <v>1</v>
      </c>
    </row>
    <row r="14">
      <c r="A14">
        <f>IF(C14="","","MOV-"&amp;TEXT(ROW()-3,"0000"))</f>
        <v/>
      </c>
      <c r="B14" s="234" t="n"/>
      <c r="E14" s="64" t="n"/>
      <c r="F14" s="64" t="n"/>
      <c r="G14" s="235" t="n"/>
      <c r="J14" t="inlineStr">
        <is>
          <t>Released</t>
        </is>
      </c>
      <c r="K14" t="inlineStr">
        <is>
          <t>No</t>
        </is>
      </c>
      <c r="M14">
        <f>IF(A14="","",IF(K14="Yes","Actual","Plan"))</f>
        <v/>
      </c>
      <c r="N14" t="n">
        <v>1</v>
      </c>
    </row>
    <row r="15">
      <c r="A15">
        <f>IF(C15="","","MOV-"&amp;TEXT(ROW()-3,"0000"))</f>
        <v/>
      </c>
      <c r="B15" s="234" t="n"/>
      <c r="E15" s="64" t="n"/>
      <c r="F15" s="64" t="n"/>
      <c r="G15" s="235" t="n"/>
      <c r="J15" t="inlineStr">
        <is>
          <t>Released</t>
        </is>
      </c>
      <c r="K15" t="inlineStr">
        <is>
          <t>No</t>
        </is>
      </c>
      <c r="M15">
        <f>IF(A15="","",IF(K15="Yes","Actual","Plan"))</f>
        <v/>
      </c>
      <c r="N15" t="n">
        <v>1</v>
      </c>
    </row>
    <row r="16">
      <c r="A16">
        <f>IF(C16="","","MOV-"&amp;TEXT(ROW()-3,"0000"))</f>
        <v/>
      </c>
      <c r="B16" s="234" t="n"/>
      <c r="E16" s="64" t="n"/>
      <c r="F16" s="64" t="n"/>
      <c r="G16" s="235" t="n"/>
      <c r="J16" t="inlineStr">
        <is>
          <t>Released</t>
        </is>
      </c>
      <c r="K16" t="inlineStr">
        <is>
          <t>No</t>
        </is>
      </c>
      <c r="M16">
        <f>IF(A16="","",IF(K16="Yes","Actual","Plan"))</f>
        <v/>
      </c>
      <c r="N16" t="n">
        <v>1</v>
      </c>
    </row>
    <row r="17">
      <c r="A17">
        <f>IF(C17="","","MOV-"&amp;TEXT(ROW()-3,"0000"))</f>
        <v/>
      </c>
      <c r="B17" s="234" t="n"/>
      <c r="E17" s="64" t="n"/>
      <c r="F17" s="64" t="n"/>
      <c r="G17" s="235" t="n"/>
      <c r="J17" t="inlineStr">
        <is>
          <t>Released</t>
        </is>
      </c>
      <c r="K17" t="inlineStr">
        <is>
          <t>No</t>
        </is>
      </c>
      <c r="M17">
        <f>IF(A17="","",IF(K17="Yes","Actual","Plan"))</f>
        <v/>
      </c>
      <c r="N17" t="n">
        <v>1</v>
      </c>
    </row>
    <row r="18">
      <c r="A18">
        <f>IF(C18="","","MOV-"&amp;TEXT(ROW()-3,"0000"))</f>
        <v/>
      </c>
      <c r="B18" s="234" t="n"/>
      <c r="E18" s="64" t="n"/>
      <c r="F18" s="64" t="n"/>
      <c r="G18" s="235" t="n"/>
      <c r="J18" t="inlineStr">
        <is>
          <t>Released</t>
        </is>
      </c>
      <c r="K18" t="inlineStr">
        <is>
          <t>No</t>
        </is>
      </c>
      <c r="M18">
        <f>IF(A18="","",IF(K18="Yes","Actual","Plan"))</f>
        <v/>
      </c>
      <c r="N18" t="n">
        <v>1</v>
      </c>
    </row>
    <row r="19">
      <c r="A19">
        <f>IF(C19="","","MOV-"&amp;TEXT(ROW()-3,"0000"))</f>
        <v/>
      </c>
      <c r="B19" s="234" t="n"/>
      <c r="E19" s="64" t="n"/>
      <c r="F19" s="64" t="n"/>
      <c r="G19" s="235" t="n"/>
      <c r="J19" t="inlineStr">
        <is>
          <t>Released</t>
        </is>
      </c>
      <c r="K19" t="inlineStr">
        <is>
          <t>No</t>
        </is>
      </c>
      <c r="M19">
        <f>IF(A19="","",IF(K19="Yes","Actual","Plan"))</f>
        <v/>
      </c>
      <c r="N19" t="n">
        <v>1</v>
      </c>
    </row>
    <row r="20">
      <c r="A20">
        <f>IF(C20="","","MOV-"&amp;TEXT(ROW()-3,"0000"))</f>
        <v/>
      </c>
      <c r="B20" s="234" t="n"/>
      <c r="E20" s="64" t="n"/>
      <c r="F20" s="64" t="n"/>
      <c r="G20" s="235" t="n"/>
      <c r="J20" t="inlineStr">
        <is>
          <t>Released</t>
        </is>
      </c>
      <c r="K20" t="inlineStr">
        <is>
          <t>No</t>
        </is>
      </c>
      <c r="M20">
        <f>IF(A20="","",IF(K20="Yes","Actual","Plan"))</f>
        <v/>
      </c>
      <c r="N20" t="n">
        <v>1</v>
      </c>
    </row>
    <row r="21">
      <c r="A21">
        <f>IF(C21="","","MOV-"&amp;TEXT(ROW()-3,"0000"))</f>
        <v/>
      </c>
      <c r="B21" s="234" t="n"/>
      <c r="E21" s="64" t="n"/>
      <c r="F21" s="64" t="n"/>
      <c r="G21" s="235" t="n"/>
      <c r="J21" t="inlineStr">
        <is>
          <t>Released</t>
        </is>
      </c>
      <c r="K21" t="inlineStr">
        <is>
          <t>No</t>
        </is>
      </c>
      <c r="M21">
        <f>IF(A21="","",IF(K21="Yes","Actual","Plan"))</f>
        <v/>
      </c>
      <c r="N21" t="n">
        <v>1</v>
      </c>
    </row>
    <row r="22">
      <c r="A22">
        <f>IF(C22="","","MOV-"&amp;TEXT(ROW()-3,"0000"))</f>
        <v/>
      </c>
      <c r="B22" s="234" t="n"/>
      <c r="E22" s="64" t="n"/>
      <c r="F22" s="64" t="n"/>
      <c r="G22" s="235" t="n"/>
      <c r="J22" t="inlineStr">
        <is>
          <t>Released</t>
        </is>
      </c>
      <c r="K22" t="inlineStr">
        <is>
          <t>No</t>
        </is>
      </c>
      <c r="M22">
        <f>IF(A22="","",IF(K22="Yes","Actual","Plan"))</f>
        <v/>
      </c>
      <c r="N22" t="n">
        <v>1</v>
      </c>
    </row>
    <row r="23">
      <c r="A23">
        <f>IF(C23="","","MOV-"&amp;TEXT(ROW()-3,"0000"))</f>
        <v/>
      </c>
      <c r="B23" s="234" t="n"/>
      <c r="E23" s="64" t="n"/>
      <c r="F23" s="64" t="n"/>
      <c r="G23" s="235" t="n"/>
      <c r="J23" t="inlineStr">
        <is>
          <t>Released</t>
        </is>
      </c>
      <c r="K23" t="inlineStr">
        <is>
          <t>No</t>
        </is>
      </c>
      <c r="M23">
        <f>IF(A23="","",IF(K23="Yes","Actual","Plan"))</f>
        <v/>
      </c>
      <c r="N23" t="n">
        <v>1</v>
      </c>
    </row>
    <row r="24">
      <c r="A24">
        <f>IF(C24="","","MOV-"&amp;TEXT(ROW()-3,"0000"))</f>
        <v/>
      </c>
      <c r="B24" s="234" t="n"/>
      <c r="E24" s="64" t="n"/>
      <c r="F24" s="64" t="n"/>
      <c r="G24" s="235" t="n"/>
      <c r="J24" t="inlineStr">
        <is>
          <t>Released</t>
        </is>
      </c>
      <c r="K24" t="inlineStr">
        <is>
          <t>No</t>
        </is>
      </c>
      <c r="M24">
        <f>IF(A24="","",IF(K24="Yes","Actual","Plan"))</f>
        <v/>
      </c>
      <c r="N24" t="n">
        <v>1</v>
      </c>
    </row>
    <row r="25">
      <c r="A25">
        <f>IF(C25="","","MOV-"&amp;TEXT(ROW()-3,"0000"))</f>
        <v/>
      </c>
      <c r="B25" s="234" t="n"/>
      <c r="E25" s="64" t="n"/>
      <c r="F25" s="64" t="n"/>
      <c r="G25" s="235" t="n"/>
      <c r="J25" t="inlineStr">
        <is>
          <t>Released</t>
        </is>
      </c>
      <c r="K25" t="inlineStr">
        <is>
          <t>No</t>
        </is>
      </c>
      <c r="M25">
        <f>IF(A25="","",IF(K25="Yes","Actual","Plan"))</f>
        <v/>
      </c>
      <c r="N25" t="n">
        <v>1</v>
      </c>
    </row>
    <row r="26">
      <c r="A26">
        <f>IF(C26="","","MOV-"&amp;TEXT(ROW()-3,"0000"))</f>
        <v/>
      </c>
      <c r="B26" s="234" t="n"/>
      <c r="E26" s="64" t="n"/>
      <c r="F26" s="64" t="n"/>
      <c r="G26" s="235" t="n"/>
      <c r="J26" t="inlineStr">
        <is>
          <t>Released</t>
        </is>
      </c>
      <c r="K26" t="inlineStr">
        <is>
          <t>No</t>
        </is>
      </c>
      <c r="M26">
        <f>IF(A26="","",IF(K26="Yes","Actual","Plan"))</f>
        <v/>
      </c>
      <c r="N26" t="n">
        <v>1</v>
      </c>
    </row>
    <row r="27">
      <c r="A27">
        <f>IF(C27="","","MOV-"&amp;TEXT(ROW()-3,"0000"))</f>
        <v/>
      </c>
      <c r="B27" s="234" t="n"/>
      <c r="E27" s="64" t="n"/>
      <c r="F27" s="64" t="n"/>
      <c r="G27" s="235" t="n"/>
      <c r="J27" t="inlineStr">
        <is>
          <t>Released</t>
        </is>
      </c>
      <c r="K27" t="inlineStr">
        <is>
          <t>No</t>
        </is>
      </c>
      <c r="M27">
        <f>IF(A27="","",IF(K27="Yes","Actual","Plan"))</f>
        <v/>
      </c>
      <c r="N27" t="n">
        <v>1</v>
      </c>
    </row>
    <row r="28">
      <c r="A28">
        <f>IF(C28="","","MOV-"&amp;TEXT(ROW()-3,"0000"))</f>
        <v/>
      </c>
      <c r="B28" s="234" t="n"/>
      <c r="E28" s="64" t="n"/>
      <c r="F28" s="64" t="n"/>
      <c r="G28" s="235" t="n"/>
      <c r="J28" t="inlineStr">
        <is>
          <t>Released</t>
        </is>
      </c>
      <c r="K28" t="inlineStr">
        <is>
          <t>No</t>
        </is>
      </c>
      <c r="M28">
        <f>IF(A28="","",IF(K28="Yes","Actual","Plan"))</f>
        <v/>
      </c>
      <c r="N28" t="n">
        <v>1</v>
      </c>
    </row>
    <row r="29">
      <c r="A29">
        <f>IF(C29="","","MOV-"&amp;TEXT(ROW()-3,"0000"))</f>
        <v/>
      </c>
      <c r="B29" s="234" t="n"/>
      <c r="E29" s="64" t="n"/>
      <c r="F29" s="64" t="n"/>
      <c r="G29" s="235" t="n"/>
      <c r="J29" t="inlineStr">
        <is>
          <t>Released</t>
        </is>
      </c>
      <c r="K29" t="inlineStr">
        <is>
          <t>No</t>
        </is>
      </c>
      <c r="M29">
        <f>IF(A29="","",IF(K29="Yes","Actual","Plan"))</f>
        <v/>
      </c>
      <c r="N29" t="n">
        <v>1</v>
      </c>
    </row>
    <row r="30">
      <c r="A30">
        <f>IF(C30="","","MOV-"&amp;TEXT(ROW()-3,"0000"))</f>
        <v/>
      </c>
      <c r="B30" s="234" t="n"/>
      <c r="E30" s="64" t="n"/>
      <c r="F30" s="64" t="n"/>
      <c r="G30" s="235" t="n"/>
      <c r="J30" t="inlineStr">
        <is>
          <t>Released</t>
        </is>
      </c>
      <c r="K30" t="inlineStr">
        <is>
          <t>No</t>
        </is>
      </c>
      <c r="M30">
        <f>IF(A30="","",IF(K30="Yes","Actual","Plan"))</f>
        <v/>
      </c>
      <c r="N30" t="n">
        <v>1</v>
      </c>
    </row>
    <row r="31">
      <c r="A31">
        <f>IF(C31="","","MOV-"&amp;TEXT(ROW()-3,"0000"))</f>
        <v/>
      </c>
      <c r="B31" s="234" t="n"/>
      <c r="E31" s="64" t="n"/>
      <c r="F31" s="64" t="n"/>
      <c r="G31" s="235" t="n"/>
      <c r="J31" t="inlineStr">
        <is>
          <t>Released</t>
        </is>
      </c>
      <c r="K31" t="inlineStr">
        <is>
          <t>No</t>
        </is>
      </c>
      <c r="M31">
        <f>IF(A31="","",IF(K31="Yes","Actual","Plan"))</f>
        <v/>
      </c>
      <c r="N31" t="n">
        <v>1</v>
      </c>
    </row>
    <row r="32">
      <c r="A32">
        <f>IF(C32="","","MOV-"&amp;TEXT(ROW()-3,"0000"))</f>
        <v/>
      </c>
      <c r="B32" s="234" t="n"/>
      <c r="E32" s="64" t="n"/>
      <c r="F32" s="64" t="n"/>
      <c r="G32" s="235" t="n"/>
      <c r="J32" t="inlineStr">
        <is>
          <t>Released</t>
        </is>
      </c>
      <c r="K32" t="inlineStr">
        <is>
          <t>No</t>
        </is>
      </c>
      <c r="M32">
        <f>IF(A32="","",IF(K32="Yes","Actual","Plan"))</f>
        <v/>
      </c>
      <c r="N32" t="n">
        <v>1</v>
      </c>
    </row>
    <row r="33">
      <c r="A33">
        <f>IF(C33="","","MOV-"&amp;TEXT(ROW()-3,"0000"))</f>
        <v/>
      </c>
      <c r="B33" s="234" t="n"/>
      <c r="E33" s="64" t="n"/>
      <c r="F33" s="64" t="n"/>
      <c r="G33" s="235" t="n"/>
      <c r="J33" t="inlineStr">
        <is>
          <t>Released</t>
        </is>
      </c>
      <c r="K33" t="inlineStr">
        <is>
          <t>No</t>
        </is>
      </c>
      <c r="M33">
        <f>IF(A33="","",IF(K33="Yes","Actual","Plan"))</f>
        <v/>
      </c>
      <c r="N33" t="n">
        <v>1</v>
      </c>
    </row>
    <row r="34">
      <c r="A34">
        <f>IF(C34="","","MOV-"&amp;TEXT(ROW()-3,"0000"))</f>
        <v/>
      </c>
      <c r="B34" s="234" t="n"/>
      <c r="E34" s="64" t="n"/>
      <c r="F34" s="64" t="n"/>
      <c r="G34" s="235" t="n"/>
      <c r="J34" t="inlineStr">
        <is>
          <t>Released</t>
        </is>
      </c>
      <c r="K34" t="inlineStr">
        <is>
          <t>No</t>
        </is>
      </c>
      <c r="M34">
        <f>IF(A34="","",IF(K34="Yes","Actual","Plan"))</f>
        <v/>
      </c>
      <c r="N34" t="n">
        <v>1</v>
      </c>
    </row>
    <row r="35">
      <c r="A35">
        <f>IF(C35="","","MOV-"&amp;TEXT(ROW()-3,"0000"))</f>
        <v/>
      </c>
      <c r="B35" s="234" t="n"/>
      <c r="E35" s="64" t="n"/>
      <c r="F35" s="64" t="n"/>
      <c r="G35" s="235" t="n"/>
      <c r="J35" t="inlineStr">
        <is>
          <t>Released</t>
        </is>
      </c>
      <c r="K35" t="inlineStr">
        <is>
          <t>No</t>
        </is>
      </c>
      <c r="M35">
        <f>IF(A35="","",IF(K35="Yes","Actual","Plan"))</f>
        <v/>
      </c>
      <c r="N35" t="n">
        <v>1</v>
      </c>
    </row>
    <row r="36">
      <c r="A36">
        <f>IF(C36="","","MOV-"&amp;TEXT(ROW()-3,"0000"))</f>
        <v/>
      </c>
      <c r="B36" s="234" t="n"/>
      <c r="E36" s="64" t="n"/>
      <c r="F36" s="64" t="n"/>
      <c r="G36" s="235" t="n"/>
      <c r="J36" t="inlineStr">
        <is>
          <t>Released</t>
        </is>
      </c>
      <c r="K36" t="inlineStr">
        <is>
          <t>No</t>
        </is>
      </c>
      <c r="M36">
        <f>IF(A36="","",IF(K36="Yes","Actual","Plan"))</f>
        <v/>
      </c>
      <c r="N36" t="n">
        <v>1</v>
      </c>
    </row>
    <row r="37">
      <c r="A37">
        <f>IF(C37="","","MOV-"&amp;TEXT(ROW()-3,"0000"))</f>
        <v/>
      </c>
      <c r="B37" s="234" t="n"/>
      <c r="E37" s="64" t="n"/>
      <c r="F37" s="64" t="n"/>
      <c r="G37" s="235" t="n"/>
      <c r="J37" t="inlineStr">
        <is>
          <t>Released</t>
        </is>
      </c>
      <c r="K37" t="inlineStr">
        <is>
          <t>No</t>
        </is>
      </c>
      <c r="M37">
        <f>IF(A37="","",IF(K37="Yes","Actual","Plan"))</f>
        <v/>
      </c>
      <c r="N37" t="n">
        <v>1</v>
      </c>
    </row>
    <row r="38">
      <c r="A38">
        <f>IF(C38="","","MOV-"&amp;TEXT(ROW()-3,"0000"))</f>
        <v/>
      </c>
      <c r="B38" s="234" t="n"/>
      <c r="E38" s="64" t="n"/>
      <c r="F38" s="64" t="n"/>
      <c r="G38" s="235" t="n"/>
      <c r="J38" t="inlineStr">
        <is>
          <t>Released</t>
        </is>
      </c>
      <c r="K38" t="inlineStr">
        <is>
          <t>No</t>
        </is>
      </c>
      <c r="M38">
        <f>IF(A38="","",IF(K38="Yes","Actual","Plan"))</f>
        <v/>
      </c>
      <c r="N38" t="n">
        <v>1</v>
      </c>
    </row>
    <row r="39">
      <c r="A39">
        <f>IF(C39="","","MOV-"&amp;TEXT(ROW()-3,"0000"))</f>
        <v/>
      </c>
      <c r="B39" s="234" t="n"/>
      <c r="E39" s="64" t="n"/>
      <c r="F39" s="64" t="n"/>
      <c r="G39" s="235" t="n"/>
      <c r="J39" t="inlineStr">
        <is>
          <t>Released</t>
        </is>
      </c>
      <c r="K39" t="inlineStr">
        <is>
          <t>No</t>
        </is>
      </c>
      <c r="M39">
        <f>IF(A39="","",IF(K39="Yes","Actual","Plan"))</f>
        <v/>
      </c>
      <c r="N39" t="n">
        <v>1</v>
      </c>
    </row>
    <row r="40">
      <c r="A40">
        <f>IF(C40="","","MOV-"&amp;TEXT(ROW()-3,"0000"))</f>
        <v/>
      </c>
      <c r="B40" s="234" t="n"/>
      <c r="E40" s="64" t="n"/>
      <c r="F40" s="64" t="n"/>
      <c r="G40" s="235" t="n"/>
      <c r="J40" t="inlineStr">
        <is>
          <t>Released</t>
        </is>
      </c>
      <c r="K40" t="inlineStr">
        <is>
          <t>No</t>
        </is>
      </c>
      <c r="M40">
        <f>IF(A40="","",IF(K40="Yes","Actual","Plan"))</f>
        <v/>
      </c>
      <c r="N40" t="n">
        <v>1</v>
      </c>
    </row>
    <row r="41">
      <c r="A41">
        <f>IF(C41="","","MOV-"&amp;TEXT(ROW()-3,"0000"))</f>
        <v/>
      </c>
      <c r="B41" s="234" t="n"/>
      <c r="E41" s="64" t="n"/>
      <c r="F41" s="64" t="n"/>
      <c r="G41" s="235" t="n"/>
      <c r="J41" t="inlineStr">
        <is>
          <t>Released</t>
        </is>
      </c>
      <c r="K41" t="inlineStr">
        <is>
          <t>No</t>
        </is>
      </c>
      <c r="M41">
        <f>IF(A41="","",IF(K41="Yes","Actual","Plan"))</f>
        <v/>
      </c>
      <c r="N41" t="n">
        <v>1</v>
      </c>
    </row>
    <row r="42">
      <c r="A42">
        <f>IF(C42="","","MOV-"&amp;TEXT(ROW()-3,"0000"))</f>
        <v/>
      </c>
      <c r="B42" s="234" t="n"/>
      <c r="E42" s="64" t="n"/>
      <c r="F42" s="64" t="n"/>
      <c r="G42" s="235" t="n"/>
      <c r="J42" t="inlineStr">
        <is>
          <t>Released</t>
        </is>
      </c>
      <c r="K42" t="inlineStr">
        <is>
          <t>No</t>
        </is>
      </c>
      <c r="M42">
        <f>IF(A42="","",IF(K42="Yes","Actual","Plan"))</f>
        <v/>
      </c>
      <c r="N42" t="n">
        <v>1</v>
      </c>
    </row>
    <row r="43">
      <c r="A43">
        <f>IF(C43="","","MOV-"&amp;TEXT(ROW()-3,"0000"))</f>
        <v/>
      </c>
      <c r="B43" s="234" t="n"/>
      <c r="E43" s="64" t="n"/>
      <c r="F43" s="64" t="n"/>
      <c r="G43" s="235" t="n"/>
      <c r="J43" t="inlineStr">
        <is>
          <t>Released</t>
        </is>
      </c>
      <c r="K43" t="inlineStr">
        <is>
          <t>No</t>
        </is>
      </c>
      <c r="M43">
        <f>IF(A43="","",IF(K43="Yes","Actual","Plan"))</f>
        <v/>
      </c>
      <c r="N43" t="n">
        <v>1</v>
      </c>
    </row>
    <row r="44">
      <c r="A44">
        <f>IF(C44="","","MOV-"&amp;TEXT(ROW()-3,"0000"))</f>
        <v/>
      </c>
      <c r="B44" s="234" t="n"/>
      <c r="E44" s="64" t="n"/>
      <c r="F44" s="64" t="n"/>
      <c r="G44" s="235" t="n"/>
      <c r="J44" t="inlineStr">
        <is>
          <t>Released</t>
        </is>
      </c>
      <c r="K44" t="inlineStr">
        <is>
          <t>No</t>
        </is>
      </c>
      <c r="M44">
        <f>IF(A44="","",IF(K44="Yes","Actual","Plan"))</f>
        <v/>
      </c>
      <c r="N44" t="n">
        <v>1</v>
      </c>
    </row>
    <row r="45">
      <c r="A45">
        <f>IF(C45="","","MOV-"&amp;TEXT(ROW()-3,"0000"))</f>
        <v/>
      </c>
      <c r="B45" s="234" t="n"/>
      <c r="E45" s="64" t="n"/>
      <c r="F45" s="64" t="n"/>
      <c r="G45" s="235" t="n"/>
      <c r="J45" t="inlineStr">
        <is>
          <t>Released</t>
        </is>
      </c>
      <c r="K45" t="inlineStr">
        <is>
          <t>No</t>
        </is>
      </c>
      <c r="M45">
        <f>IF(A45="","",IF(K45="Yes","Actual","Plan"))</f>
        <v/>
      </c>
      <c r="N45" t="n">
        <v>1</v>
      </c>
    </row>
    <row r="46">
      <c r="A46">
        <f>IF(C46="","","MOV-"&amp;TEXT(ROW()-3,"0000"))</f>
        <v/>
      </c>
      <c r="B46" s="234" t="n"/>
      <c r="E46" s="64" t="n"/>
      <c r="F46" s="64" t="n"/>
      <c r="G46" s="235" t="n"/>
      <c r="J46" t="inlineStr">
        <is>
          <t>Released</t>
        </is>
      </c>
      <c r="K46" t="inlineStr">
        <is>
          <t>No</t>
        </is>
      </c>
      <c r="M46">
        <f>IF(A46="","",IF(K46="Yes","Actual","Plan"))</f>
        <v/>
      </c>
      <c r="N46" t="n">
        <v>1</v>
      </c>
    </row>
    <row r="47">
      <c r="A47">
        <f>IF(C47="","","MOV-"&amp;TEXT(ROW()-3,"0000"))</f>
        <v/>
      </c>
      <c r="B47" s="234" t="n"/>
      <c r="E47" s="64" t="n"/>
      <c r="F47" s="64" t="n"/>
      <c r="G47" s="235" t="n"/>
      <c r="J47" t="inlineStr">
        <is>
          <t>Released</t>
        </is>
      </c>
      <c r="K47" t="inlineStr">
        <is>
          <t>No</t>
        </is>
      </c>
      <c r="M47">
        <f>IF(A47="","",IF(K47="Yes","Actual","Plan"))</f>
        <v/>
      </c>
      <c r="N47" t="n">
        <v>1</v>
      </c>
    </row>
    <row r="48">
      <c r="A48">
        <f>IF(C48="","","MOV-"&amp;TEXT(ROW()-3,"0000"))</f>
        <v/>
      </c>
      <c r="B48" s="234" t="n"/>
      <c r="E48" s="64" t="n"/>
      <c r="F48" s="64" t="n"/>
      <c r="G48" s="235" t="n"/>
      <c r="J48" t="inlineStr">
        <is>
          <t>Released</t>
        </is>
      </c>
      <c r="K48" t="inlineStr">
        <is>
          <t>No</t>
        </is>
      </c>
      <c r="M48">
        <f>IF(A48="","",IF(K48="Yes","Actual","Plan"))</f>
        <v/>
      </c>
      <c r="N48" t="n">
        <v>1</v>
      </c>
    </row>
    <row r="49">
      <c r="A49">
        <f>IF(C49="","","MOV-"&amp;TEXT(ROW()-3,"0000"))</f>
        <v/>
      </c>
      <c r="B49" s="234" t="n"/>
      <c r="E49" s="64" t="n"/>
      <c r="F49" s="64" t="n"/>
      <c r="G49" s="235" t="n"/>
      <c r="J49" t="inlineStr">
        <is>
          <t>Released</t>
        </is>
      </c>
      <c r="K49" t="inlineStr">
        <is>
          <t>No</t>
        </is>
      </c>
      <c r="M49">
        <f>IF(A49="","",IF(K49="Yes","Actual","Plan"))</f>
        <v/>
      </c>
      <c r="N49" t="n">
        <v>1</v>
      </c>
    </row>
    <row r="50">
      <c r="A50">
        <f>IF(C50="","","MOV-"&amp;TEXT(ROW()-3,"0000"))</f>
        <v/>
      </c>
      <c r="B50" s="234" t="n"/>
      <c r="E50" s="64" t="n"/>
      <c r="F50" s="64" t="n"/>
      <c r="G50" s="235" t="n"/>
      <c r="J50" t="inlineStr">
        <is>
          <t>Released</t>
        </is>
      </c>
      <c r="K50" t="inlineStr">
        <is>
          <t>No</t>
        </is>
      </c>
      <c r="M50">
        <f>IF(A50="","",IF(K50="Yes","Actual","Plan"))</f>
        <v/>
      </c>
      <c r="N50" t="n">
        <v>1</v>
      </c>
    </row>
    <row r="51">
      <c r="A51">
        <f>IF(C51="","","MOV-"&amp;TEXT(ROW()-3,"0000"))</f>
        <v/>
      </c>
      <c r="B51" s="234" t="n"/>
      <c r="E51" s="64" t="n"/>
      <c r="F51" s="64" t="n"/>
      <c r="G51" s="235" t="n"/>
      <c r="J51" t="inlineStr">
        <is>
          <t>Released</t>
        </is>
      </c>
      <c r="K51" t="inlineStr">
        <is>
          <t>No</t>
        </is>
      </c>
      <c r="M51">
        <f>IF(A51="","",IF(K51="Yes","Actual","Plan"))</f>
        <v/>
      </c>
      <c r="N51" t="n">
        <v>1</v>
      </c>
    </row>
    <row r="52">
      <c r="A52">
        <f>IF(C52="","","MOV-"&amp;TEXT(ROW()-3,"0000"))</f>
        <v/>
      </c>
      <c r="B52" s="234" t="n"/>
      <c r="E52" s="64" t="n"/>
      <c r="F52" s="64" t="n"/>
      <c r="G52" s="235" t="n"/>
      <c r="J52" t="inlineStr">
        <is>
          <t>Released</t>
        </is>
      </c>
      <c r="K52" t="inlineStr">
        <is>
          <t>No</t>
        </is>
      </c>
      <c r="M52">
        <f>IF(A52="","",IF(K52="Yes","Actual","Plan"))</f>
        <v/>
      </c>
      <c r="N52" t="n">
        <v>1</v>
      </c>
    </row>
    <row r="53">
      <c r="A53">
        <f>IF(C53="","","MOV-"&amp;TEXT(ROW()-3,"0000"))</f>
        <v/>
      </c>
      <c r="B53" s="234" t="n"/>
      <c r="E53" s="64" t="n"/>
      <c r="F53" s="64" t="n"/>
      <c r="G53" s="235" t="n"/>
      <c r="J53" t="inlineStr">
        <is>
          <t>Released</t>
        </is>
      </c>
      <c r="K53" t="inlineStr">
        <is>
          <t>No</t>
        </is>
      </c>
      <c r="M53">
        <f>IF(A53="","",IF(K53="Yes","Actual","Plan"))</f>
        <v/>
      </c>
      <c r="N53" t="n">
        <v>1</v>
      </c>
    </row>
    <row r="54">
      <c r="A54">
        <f>IF(C54="","","MOV-"&amp;TEXT(ROW()-3,"0000"))</f>
        <v/>
      </c>
      <c r="B54" s="234" t="n"/>
      <c r="E54" s="64" t="n"/>
      <c r="F54" s="64" t="n"/>
      <c r="G54" s="235" t="n"/>
      <c r="J54" t="inlineStr">
        <is>
          <t>Released</t>
        </is>
      </c>
      <c r="K54" t="inlineStr">
        <is>
          <t>No</t>
        </is>
      </c>
      <c r="M54">
        <f>IF(A54="","",IF(K54="Yes","Actual","Plan"))</f>
        <v/>
      </c>
      <c r="N54" t="n">
        <v>1</v>
      </c>
    </row>
    <row r="55">
      <c r="A55">
        <f>IF(C55="","","MOV-"&amp;TEXT(ROW()-3,"0000"))</f>
        <v/>
      </c>
      <c r="B55" s="234" t="n"/>
      <c r="E55" s="64" t="n"/>
      <c r="F55" s="64" t="n"/>
      <c r="G55" s="235" t="n"/>
      <c r="J55" t="inlineStr">
        <is>
          <t>Released</t>
        </is>
      </c>
      <c r="K55" t="inlineStr">
        <is>
          <t>No</t>
        </is>
      </c>
      <c r="M55">
        <f>IF(A55="","",IF(K55="Yes","Actual","Plan"))</f>
        <v/>
      </c>
      <c r="N55" t="n">
        <v>1</v>
      </c>
    </row>
    <row r="56">
      <c r="A56">
        <f>IF(C56="","","MOV-"&amp;TEXT(ROW()-3,"0000"))</f>
        <v/>
      </c>
      <c r="B56" s="234" t="n"/>
      <c r="E56" s="64" t="n"/>
      <c r="F56" s="64" t="n"/>
      <c r="G56" s="235" t="n"/>
      <c r="J56" t="inlineStr">
        <is>
          <t>Released</t>
        </is>
      </c>
      <c r="K56" t="inlineStr">
        <is>
          <t>No</t>
        </is>
      </c>
      <c r="M56">
        <f>IF(A56="","",IF(K56="Yes","Actual","Plan"))</f>
        <v/>
      </c>
      <c r="N56" t="n">
        <v>1</v>
      </c>
    </row>
    <row r="57">
      <c r="A57">
        <f>IF(C57="","","MOV-"&amp;TEXT(ROW()-3,"0000"))</f>
        <v/>
      </c>
      <c r="B57" s="234" t="n"/>
      <c r="E57" s="64" t="n"/>
      <c r="F57" s="64" t="n"/>
      <c r="G57" s="235" t="n"/>
      <c r="J57" t="inlineStr">
        <is>
          <t>Released</t>
        </is>
      </c>
      <c r="K57" t="inlineStr">
        <is>
          <t>No</t>
        </is>
      </c>
      <c r="M57">
        <f>IF(A57="","",IF(K57="Yes","Actual","Plan"))</f>
        <v/>
      </c>
      <c r="N57" t="n">
        <v>1</v>
      </c>
    </row>
    <row r="58">
      <c r="A58">
        <f>IF(C58="","","MOV-"&amp;TEXT(ROW()-3,"0000"))</f>
        <v/>
      </c>
      <c r="B58" s="234" t="n"/>
      <c r="E58" s="64" t="n"/>
      <c r="F58" s="64" t="n"/>
      <c r="G58" s="235" t="n"/>
      <c r="J58" t="inlineStr">
        <is>
          <t>Released</t>
        </is>
      </c>
      <c r="K58" t="inlineStr">
        <is>
          <t>No</t>
        </is>
      </c>
      <c r="M58">
        <f>IF(A58="","",IF(K58="Yes","Actual","Plan"))</f>
        <v/>
      </c>
      <c r="N58" t="n">
        <v>1</v>
      </c>
    </row>
    <row r="59">
      <c r="A59">
        <f>IF(C59="","","MOV-"&amp;TEXT(ROW()-3,"0000"))</f>
        <v/>
      </c>
      <c r="B59" s="234" t="n"/>
      <c r="E59" s="64" t="n"/>
      <c r="F59" s="64" t="n"/>
      <c r="G59" s="235" t="n"/>
      <c r="J59" t="inlineStr">
        <is>
          <t>Released</t>
        </is>
      </c>
      <c r="K59" t="inlineStr">
        <is>
          <t>No</t>
        </is>
      </c>
      <c r="M59">
        <f>IF(A59="","",IF(K59="Yes","Actual","Plan"))</f>
        <v/>
      </c>
      <c r="N59" t="n">
        <v>1</v>
      </c>
    </row>
    <row r="60">
      <c r="A60">
        <f>IF(C60="","","MOV-"&amp;TEXT(ROW()-3,"0000"))</f>
        <v/>
      </c>
      <c r="B60" s="234" t="n"/>
      <c r="E60" s="64" t="n"/>
      <c r="F60" s="64" t="n"/>
      <c r="G60" s="235" t="n"/>
      <c r="J60" t="inlineStr">
        <is>
          <t>Released</t>
        </is>
      </c>
      <c r="K60" t="inlineStr">
        <is>
          <t>No</t>
        </is>
      </c>
      <c r="M60">
        <f>IF(A60="","",IF(K60="Yes","Actual","Plan"))</f>
        <v/>
      </c>
      <c r="N60" t="n">
        <v>1</v>
      </c>
    </row>
    <row r="61">
      <c r="A61">
        <f>IF(C61="","","MOV-"&amp;TEXT(ROW()-3,"0000"))</f>
        <v/>
      </c>
      <c r="B61" s="234" t="n"/>
      <c r="E61" s="64" t="n"/>
      <c r="F61" s="64" t="n"/>
      <c r="G61" s="235" t="n"/>
      <c r="J61" t="inlineStr">
        <is>
          <t>Released</t>
        </is>
      </c>
      <c r="K61" t="inlineStr">
        <is>
          <t>No</t>
        </is>
      </c>
      <c r="M61">
        <f>IF(A61="","",IF(K61="Yes","Actual","Plan"))</f>
        <v/>
      </c>
      <c r="N61" t="n">
        <v>1</v>
      </c>
    </row>
    <row r="62">
      <c r="A62">
        <f>IF(C62="","","MOV-"&amp;TEXT(ROW()-3,"0000"))</f>
        <v/>
      </c>
      <c r="B62" s="234" t="n"/>
      <c r="E62" s="64" t="n"/>
      <c r="F62" s="64" t="n"/>
      <c r="G62" s="235" t="n"/>
      <c r="J62" t="inlineStr">
        <is>
          <t>Released</t>
        </is>
      </c>
      <c r="K62" t="inlineStr">
        <is>
          <t>No</t>
        </is>
      </c>
      <c r="M62">
        <f>IF(A62="","",IF(K62="Yes","Actual","Plan"))</f>
        <v/>
      </c>
      <c r="N62" t="n">
        <v>1</v>
      </c>
    </row>
    <row r="63">
      <c r="A63">
        <f>IF(C63="","","MOV-"&amp;TEXT(ROW()-3,"0000"))</f>
        <v/>
      </c>
      <c r="B63" s="234" t="n"/>
      <c r="E63" s="64" t="n"/>
      <c r="F63" s="64" t="n"/>
      <c r="G63" s="235" t="n"/>
      <c r="J63" t="inlineStr">
        <is>
          <t>Released</t>
        </is>
      </c>
      <c r="K63" t="inlineStr">
        <is>
          <t>No</t>
        </is>
      </c>
      <c r="M63">
        <f>IF(A63="","",IF(K63="Yes","Actual","Plan"))</f>
        <v/>
      </c>
      <c r="N63" t="n">
        <v>1</v>
      </c>
    </row>
    <row r="64">
      <c r="A64">
        <f>IF(C64="","","MOV-"&amp;TEXT(ROW()-3,"0000"))</f>
        <v/>
      </c>
      <c r="B64" s="234" t="n"/>
      <c r="E64" s="64" t="n"/>
      <c r="F64" s="64" t="n"/>
      <c r="G64" s="235" t="n"/>
      <c r="J64" t="inlineStr">
        <is>
          <t>Released</t>
        </is>
      </c>
      <c r="K64" t="inlineStr">
        <is>
          <t>No</t>
        </is>
      </c>
      <c r="M64">
        <f>IF(A64="","",IF(K64="Yes","Actual","Plan"))</f>
        <v/>
      </c>
      <c r="N64" t="n">
        <v>1</v>
      </c>
    </row>
    <row r="65">
      <c r="A65">
        <f>IF(C65="","","MOV-"&amp;TEXT(ROW()-3,"0000"))</f>
        <v/>
      </c>
      <c r="B65" s="234" t="n"/>
      <c r="E65" s="64" t="n"/>
      <c r="F65" s="64" t="n"/>
      <c r="G65" s="235" t="n"/>
      <c r="J65" t="inlineStr">
        <is>
          <t>Released</t>
        </is>
      </c>
      <c r="K65" t="inlineStr">
        <is>
          <t>No</t>
        </is>
      </c>
      <c r="M65">
        <f>IF(A65="","",IF(K65="Yes","Actual","Plan"))</f>
        <v/>
      </c>
      <c r="N65" t="n">
        <v>1</v>
      </c>
    </row>
    <row r="66">
      <c r="A66">
        <f>IF(C66="","","MOV-"&amp;TEXT(ROW()-3,"0000"))</f>
        <v/>
      </c>
      <c r="B66" s="234" t="n"/>
      <c r="E66" s="64" t="n"/>
      <c r="F66" s="64" t="n"/>
      <c r="G66" s="235" t="n"/>
      <c r="J66" t="inlineStr">
        <is>
          <t>Released</t>
        </is>
      </c>
      <c r="K66" t="inlineStr">
        <is>
          <t>No</t>
        </is>
      </c>
      <c r="M66">
        <f>IF(A66="","",IF(K66="Yes","Actual","Plan"))</f>
        <v/>
      </c>
      <c r="N66" t="n">
        <v>1</v>
      </c>
    </row>
    <row r="67">
      <c r="A67">
        <f>IF(C67="","","MOV-"&amp;TEXT(ROW()-3,"0000"))</f>
        <v/>
      </c>
      <c r="B67" s="234" t="n"/>
      <c r="E67" s="64" t="n"/>
      <c r="F67" s="64" t="n"/>
      <c r="G67" s="235" t="n"/>
      <c r="J67" t="inlineStr">
        <is>
          <t>Released</t>
        </is>
      </c>
      <c r="K67" t="inlineStr">
        <is>
          <t>No</t>
        </is>
      </c>
      <c r="M67">
        <f>IF(A67="","",IF(K67="Yes","Actual","Plan"))</f>
        <v/>
      </c>
      <c r="N67" t="n">
        <v>1</v>
      </c>
    </row>
    <row r="68">
      <c r="A68">
        <f>IF(C68="","","MOV-"&amp;TEXT(ROW()-3,"0000"))</f>
        <v/>
      </c>
      <c r="B68" s="234" t="n"/>
      <c r="E68" s="64" t="n"/>
      <c r="F68" s="64" t="n"/>
      <c r="G68" s="235" t="n"/>
      <c r="J68" t="inlineStr">
        <is>
          <t>Released</t>
        </is>
      </c>
      <c r="K68" t="inlineStr">
        <is>
          <t>No</t>
        </is>
      </c>
      <c r="M68">
        <f>IF(A68="","",IF(K68="Yes","Actual","Plan"))</f>
        <v/>
      </c>
      <c r="N68" t="n">
        <v>1</v>
      </c>
    </row>
    <row r="69">
      <c r="A69">
        <f>IF(C69="","","MOV-"&amp;TEXT(ROW()-3,"0000"))</f>
        <v/>
      </c>
      <c r="B69" s="234" t="n"/>
      <c r="E69" s="64" t="n"/>
      <c r="F69" s="64" t="n"/>
      <c r="G69" s="235" t="n"/>
      <c r="J69" t="inlineStr">
        <is>
          <t>Released</t>
        </is>
      </c>
      <c r="K69" t="inlineStr">
        <is>
          <t>No</t>
        </is>
      </c>
      <c r="M69">
        <f>IF(A69="","",IF(K69="Yes","Actual","Plan"))</f>
        <v/>
      </c>
      <c r="N69" t="n">
        <v>1</v>
      </c>
    </row>
    <row r="70">
      <c r="A70">
        <f>IF(C70="","","MOV-"&amp;TEXT(ROW()-3,"0000"))</f>
        <v/>
      </c>
      <c r="B70" s="234" t="n"/>
      <c r="E70" s="64" t="n"/>
      <c r="F70" s="64" t="n"/>
      <c r="G70" s="235" t="n"/>
      <c r="J70" t="inlineStr">
        <is>
          <t>Released</t>
        </is>
      </c>
      <c r="K70" t="inlineStr">
        <is>
          <t>No</t>
        </is>
      </c>
      <c r="M70">
        <f>IF(A70="","",IF(K70="Yes","Actual","Plan"))</f>
        <v/>
      </c>
      <c r="N70" t="n">
        <v>1</v>
      </c>
    </row>
    <row r="71">
      <c r="A71">
        <f>IF(C71="","","MOV-"&amp;TEXT(ROW()-3,"0000"))</f>
        <v/>
      </c>
      <c r="B71" s="234" t="n"/>
      <c r="E71" s="64" t="n"/>
      <c r="F71" s="64" t="n"/>
      <c r="G71" s="235" t="n"/>
      <c r="J71" t="inlineStr">
        <is>
          <t>Released</t>
        </is>
      </c>
      <c r="K71" t="inlineStr">
        <is>
          <t>No</t>
        </is>
      </c>
      <c r="M71">
        <f>IF(A71="","",IF(K71="Yes","Actual","Plan"))</f>
        <v/>
      </c>
      <c r="N71" t="n">
        <v>1</v>
      </c>
    </row>
    <row r="72">
      <c r="A72">
        <f>IF(C72="","","MOV-"&amp;TEXT(ROW()-3,"0000"))</f>
        <v/>
      </c>
      <c r="B72" s="234" t="n"/>
      <c r="E72" s="64" t="n"/>
      <c r="F72" s="64" t="n"/>
      <c r="G72" s="235" t="n"/>
      <c r="J72" t="inlineStr">
        <is>
          <t>Released</t>
        </is>
      </c>
      <c r="K72" t="inlineStr">
        <is>
          <t>No</t>
        </is>
      </c>
      <c r="M72">
        <f>IF(A72="","",IF(K72="Yes","Actual","Plan"))</f>
        <v/>
      </c>
      <c r="N72" t="n">
        <v>1</v>
      </c>
    </row>
    <row r="73">
      <c r="A73">
        <f>IF(C73="","","MOV-"&amp;TEXT(ROW()-3,"0000"))</f>
        <v/>
      </c>
      <c r="B73" s="234" t="n"/>
      <c r="E73" s="64" t="n"/>
      <c r="F73" s="64" t="n"/>
      <c r="G73" s="235" t="n"/>
      <c r="J73" t="inlineStr">
        <is>
          <t>Released</t>
        </is>
      </c>
      <c r="K73" t="inlineStr">
        <is>
          <t>No</t>
        </is>
      </c>
      <c r="M73">
        <f>IF(A73="","",IF(K73="Yes","Actual","Plan"))</f>
        <v/>
      </c>
      <c r="N73" t="n">
        <v>1</v>
      </c>
    </row>
    <row r="74">
      <c r="A74">
        <f>IF(C74="","","MOV-"&amp;TEXT(ROW()-3,"0000"))</f>
        <v/>
      </c>
      <c r="B74" s="234" t="n"/>
      <c r="E74" s="64" t="n"/>
      <c r="F74" s="64" t="n"/>
      <c r="G74" s="235" t="n"/>
      <c r="J74" t="inlineStr">
        <is>
          <t>Released</t>
        </is>
      </c>
      <c r="K74" t="inlineStr">
        <is>
          <t>No</t>
        </is>
      </c>
      <c r="M74">
        <f>IF(A74="","",IF(K74="Yes","Actual","Plan"))</f>
        <v/>
      </c>
      <c r="N74" t="n">
        <v>1</v>
      </c>
    </row>
    <row r="75">
      <c r="A75">
        <f>IF(C75="","","MOV-"&amp;TEXT(ROW()-3,"0000"))</f>
        <v/>
      </c>
      <c r="B75" s="234" t="n"/>
      <c r="E75" s="64" t="n"/>
      <c r="F75" s="64" t="n"/>
      <c r="G75" s="235" t="n"/>
      <c r="J75" t="inlineStr">
        <is>
          <t>Released</t>
        </is>
      </c>
      <c r="K75" t="inlineStr">
        <is>
          <t>No</t>
        </is>
      </c>
      <c r="M75">
        <f>IF(A75="","",IF(K75="Yes","Actual","Plan"))</f>
        <v/>
      </c>
      <c r="N75" t="n">
        <v>1</v>
      </c>
    </row>
    <row r="76">
      <c r="A76">
        <f>IF(C76="","","MOV-"&amp;TEXT(ROW()-3,"0000"))</f>
        <v/>
      </c>
      <c r="B76" s="234" t="n"/>
      <c r="E76" s="64" t="n"/>
      <c r="F76" s="64" t="n"/>
      <c r="G76" s="235" t="n"/>
      <c r="J76" t="inlineStr">
        <is>
          <t>Released</t>
        </is>
      </c>
      <c r="K76" t="inlineStr">
        <is>
          <t>No</t>
        </is>
      </c>
      <c r="M76">
        <f>IF(A76="","",IF(K76="Yes","Actual","Plan"))</f>
        <v/>
      </c>
      <c r="N76" t="n">
        <v>1</v>
      </c>
    </row>
    <row r="77">
      <c r="A77">
        <f>IF(C77="","","MOV-"&amp;TEXT(ROW()-3,"0000"))</f>
        <v/>
      </c>
      <c r="B77" s="234" t="n"/>
      <c r="E77" s="64" t="n"/>
      <c r="F77" s="64" t="n"/>
      <c r="G77" s="235" t="n"/>
      <c r="J77" t="inlineStr">
        <is>
          <t>Released</t>
        </is>
      </c>
      <c r="K77" t="inlineStr">
        <is>
          <t>No</t>
        </is>
      </c>
      <c r="M77">
        <f>IF(A77="","",IF(K77="Yes","Actual","Plan"))</f>
        <v/>
      </c>
      <c r="N77" t="n">
        <v>1</v>
      </c>
    </row>
    <row r="78">
      <c r="A78">
        <f>IF(C78="","","MOV-"&amp;TEXT(ROW()-3,"0000"))</f>
        <v/>
      </c>
      <c r="B78" s="234" t="n"/>
      <c r="E78" s="64" t="n"/>
      <c r="F78" s="64" t="n"/>
      <c r="G78" s="235" t="n"/>
      <c r="J78" t="inlineStr">
        <is>
          <t>Released</t>
        </is>
      </c>
      <c r="K78" t="inlineStr">
        <is>
          <t>No</t>
        </is>
      </c>
      <c r="M78">
        <f>IF(A78="","",IF(K78="Yes","Actual","Plan"))</f>
        <v/>
      </c>
      <c r="N78" t="n">
        <v>1</v>
      </c>
    </row>
    <row r="79">
      <c r="A79">
        <f>IF(C79="","","MOV-"&amp;TEXT(ROW()-3,"0000"))</f>
        <v/>
      </c>
      <c r="B79" s="234" t="n"/>
      <c r="E79" s="64" t="n"/>
      <c r="F79" s="64" t="n"/>
      <c r="G79" s="235" t="n"/>
      <c r="J79" t="inlineStr">
        <is>
          <t>Released</t>
        </is>
      </c>
      <c r="K79" t="inlineStr">
        <is>
          <t>No</t>
        </is>
      </c>
      <c r="M79">
        <f>IF(A79="","",IF(K79="Yes","Actual","Plan"))</f>
        <v/>
      </c>
      <c r="N79" t="n">
        <v>1</v>
      </c>
    </row>
    <row r="80">
      <c r="A80">
        <f>IF(C80="","","MOV-"&amp;TEXT(ROW()-3,"0000"))</f>
        <v/>
      </c>
      <c r="B80" s="234" t="n"/>
      <c r="E80" s="64" t="n"/>
      <c r="F80" s="64" t="n"/>
      <c r="G80" s="235" t="n"/>
      <c r="J80" t="inlineStr">
        <is>
          <t>Released</t>
        </is>
      </c>
      <c r="K80" t="inlineStr">
        <is>
          <t>No</t>
        </is>
      </c>
      <c r="M80">
        <f>IF(A80="","",IF(K80="Yes","Actual","Plan"))</f>
        <v/>
      </c>
      <c r="N80" t="n">
        <v>1</v>
      </c>
    </row>
    <row r="81">
      <c r="A81">
        <f>IF(C81="","","MOV-"&amp;TEXT(ROW()-3,"0000"))</f>
        <v/>
      </c>
      <c r="B81" s="234" t="n"/>
      <c r="E81" s="64" t="n"/>
      <c r="F81" s="64" t="n"/>
      <c r="G81" s="235" t="n"/>
      <c r="J81" t="inlineStr">
        <is>
          <t>Released</t>
        </is>
      </c>
      <c r="K81" t="inlineStr">
        <is>
          <t>No</t>
        </is>
      </c>
      <c r="M81">
        <f>IF(A81="","",IF(K81="Yes","Actual","Plan"))</f>
        <v/>
      </c>
      <c r="N81" t="n">
        <v>1</v>
      </c>
    </row>
    <row r="82">
      <c r="A82">
        <f>IF(C82="","","MOV-"&amp;TEXT(ROW()-3,"0000"))</f>
        <v/>
      </c>
      <c r="B82" s="234" t="n"/>
      <c r="E82" s="64" t="n"/>
      <c r="F82" s="64" t="n"/>
      <c r="G82" s="235" t="n"/>
      <c r="J82" t="inlineStr">
        <is>
          <t>Released</t>
        </is>
      </c>
      <c r="K82" t="inlineStr">
        <is>
          <t>No</t>
        </is>
      </c>
      <c r="M82">
        <f>IF(A82="","",IF(K82="Yes","Actual","Plan"))</f>
        <v/>
      </c>
      <c r="N82" t="n">
        <v>1</v>
      </c>
    </row>
    <row r="83">
      <c r="A83">
        <f>IF(C83="","","MOV-"&amp;TEXT(ROW()-3,"0000"))</f>
        <v/>
      </c>
      <c r="B83" s="234" t="n"/>
      <c r="E83" s="64" t="n"/>
      <c r="F83" s="64" t="n"/>
      <c r="G83" s="235" t="n"/>
      <c r="J83" t="inlineStr">
        <is>
          <t>Released</t>
        </is>
      </c>
      <c r="K83" t="inlineStr">
        <is>
          <t>No</t>
        </is>
      </c>
      <c r="M83">
        <f>IF(A83="","",IF(K83="Yes","Actual","Plan"))</f>
        <v/>
      </c>
      <c r="N83" t="n">
        <v>1</v>
      </c>
    </row>
    <row r="84">
      <c r="A84">
        <f>IF(C84="","","MOV-"&amp;TEXT(ROW()-3,"0000"))</f>
        <v/>
      </c>
      <c r="B84" s="234" t="n"/>
      <c r="E84" s="64" t="n"/>
      <c r="F84" s="64" t="n"/>
      <c r="G84" s="235" t="n"/>
      <c r="J84" t="inlineStr">
        <is>
          <t>Released</t>
        </is>
      </c>
      <c r="K84" t="inlineStr">
        <is>
          <t>No</t>
        </is>
      </c>
      <c r="M84">
        <f>IF(A84="","",IF(K84="Yes","Actual","Plan"))</f>
        <v/>
      </c>
      <c r="N84" t="n">
        <v>1</v>
      </c>
    </row>
    <row r="85">
      <c r="A85">
        <f>IF(C85="","","MOV-"&amp;TEXT(ROW()-3,"0000"))</f>
        <v/>
      </c>
      <c r="B85" s="234" t="n"/>
      <c r="E85" s="64" t="n"/>
      <c r="F85" s="64" t="n"/>
      <c r="G85" s="235" t="n"/>
      <c r="J85" t="inlineStr">
        <is>
          <t>Released</t>
        </is>
      </c>
      <c r="K85" t="inlineStr">
        <is>
          <t>No</t>
        </is>
      </c>
      <c r="M85">
        <f>IF(A85="","",IF(K85="Yes","Actual","Plan"))</f>
        <v/>
      </c>
      <c r="N85" t="n">
        <v>1</v>
      </c>
    </row>
    <row r="86">
      <c r="A86">
        <f>IF(C86="","","MOV-"&amp;TEXT(ROW()-3,"0000"))</f>
        <v/>
      </c>
      <c r="B86" s="234" t="n"/>
      <c r="E86" s="64" t="n"/>
      <c r="F86" s="64" t="n"/>
      <c r="G86" s="235" t="n"/>
      <c r="J86" t="inlineStr">
        <is>
          <t>Released</t>
        </is>
      </c>
      <c r="K86" t="inlineStr">
        <is>
          <t>No</t>
        </is>
      </c>
      <c r="M86">
        <f>IF(A86="","",IF(K86="Yes","Actual","Plan"))</f>
        <v/>
      </c>
      <c r="N86" t="n">
        <v>1</v>
      </c>
    </row>
    <row r="87">
      <c r="A87">
        <f>IF(C87="","","MOV-"&amp;TEXT(ROW()-3,"0000"))</f>
        <v/>
      </c>
      <c r="B87" s="234" t="n"/>
      <c r="E87" s="64" t="n"/>
      <c r="F87" s="64" t="n"/>
      <c r="G87" s="235" t="n"/>
      <c r="J87" t="inlineStr">
        <is>
          <t>Released</t>
        </is>
      </c>
      <c r="K87" t="inlineStr">
        <is>
          <t>No</t>
        </is>
      </c>
      <c r="M87">
        <f>IF(A87="","",IF(K87="Yes","Actual","Plan"))</f>
        <v/>
      </c>
      <c r="N87" t="n">
        <v>1</v>
      </c>
    </row>
    <row r="88">
      <c r="A88">
        <f>IF(C88="","","MOV-"&amp;TEXT(ROW()-3,"0000"))</f>
        <v/>
      </c>
      <c r="B88" s="234" t="n"/>
      <c r="E88" s="64" t="n"/>
      <c r="F88" s="64" t="n"/>
      <c r="G88" s="235" t="n"/>
      <c r="J88" t="inlineStr">
        <is>
          <t>Released</t>
        </is>
      </c>
      <c r="K88" t="inlineStr">
        <is>
          <t>No</t>
        </is>
      </c>
      <c r="M88">
        <f>IF(A88="","",IF(K88="Yes","Actual","Plan"))</f>
        <v/>
      </c>
      <c r="N88" t="n">
        <v>1</v>
      </c>
    </row>
    <row r="89">
      <c r="A89">
        <f>IF(C89="","","MOV-"&amp;TEXT(ROW()-3,"0000"))</f>
        <v/>
      </c>
      <c r="B89" s="234" t="n"/>
      <c r="E89" s="64" t="n"/>
      <c r="F89" s="64" t="n"/>
      <c r="G89" s="235" t="n"/>
      <c r="J89" t="inlineStr">
        <is>
          <t>Released</t>
        </is>
      </c>
      <c r="K89" t="inlineStr">
        <is>
          <t>No</t>
        </is>
      </c>
      <c r="M89">
        <f>IF(A89="","",IF(K89="Yes","Actual","Plan"))</f>
        <v/>
      </c>
      <c r="N89" t="n">
        <v>1</v>
      </c>
    </row>
    <row r="90">
      <c r="A90">
        <f>IF(C90="","","MOV-"&amp;TEXT(ROW()-3,"0000"))</f>
        <v/>
      </c>
      <c r="B90" s="234" t="n"/>
      <c r="E90" s="64" t="n"/>
      <c r="F90" s="64" t="n"/>
      <c r="G90" s="235" t="n"/>
      <c r="J90" t="inlineStr">
        <is>
          <t>Released</t>
        </is>
      </c>
      <c r="K90" t="inlineStr">
        <is>
          <t>No</t>
        </is>
      </c>
      <c r="M90">
        <f>IF(A90="","",IF(K90="Yes","Actual","Plan"))</f>
        <v/>
      </c>
      <c r="N90" t="n">
        <v>1</v>
      </c>
    </row>
    <row r="91">
      <c r="A91">
        <f>IF(C91="","","MOV-"&amp;TEXT(ROW()-3,"0000"))</f>
        <v/>
      </c>
      <c r="B91" s="234" t="n"/>
      <c r="E91" s="64" t="n"/>
      <c r="F91" s="64" t="n"/>
      <c r="G91" s="235" t="n"/>
      <c r="J91" t="inlineStr">
        <is>
          <t>Released</t>
        </is>
      </c>
      <c r="K91" t="inlineStr">
        <is>
          <t>No</t>
        </is>
      </c>
      <c r="M91">
        <f>IF(A91="","",IF(K91="Yes","Actual","Plan"))</f>
        <v/>
      </c>
      <c r="N91" t="n">
        <v>1</v>
      </c>
    </row>
    <row r="92">
      <c r="A92">
        <f>IF(C92="","","MOV-"&amp;TEXT(ROW()-3,"0000"))</f>
        <v/>
      </c>
      <c r="B92" s="234" t="n"/>
      <c r="E92" s="64" t="n"/>
      <c r="F92" s="64" t="n"/>
      <c r="G92" s="235" t="n"/>
      <c r="J92" t="inlineStr">
        <is>
          <t>Released</t>
        </is>
      </c>
      <c r="K92" t="inlineStr">
        <is>
          <t>No</t>
        </is>
      </c>
      <c r="M92">
        <f>IF(A92="","",IF(K92="Yes","Actual","Plan"))</f>
        <v/>
      </c>
      <c r="N92" t="n">
        <v>1</v>
      </c>
    </row>
    <row r="93">
      <c r="A93">
        <f>IF(C93="","","MOV-"&amp;TEXT(ROW()-3,"0000"))</f>
        <v/>
      </c>
      <c r="B93" s="234" t="n"/>
      <c r="E93" s="64" t="n"/>
      <c r="F93" s="64" t="n"/>
      <c r="G93" s="235" t="n"/>
      <c r="J93" t="inlineStr">
        <is>
          <t>Released</t>
        </is>
      </c>
      <c r="K93" t="inlineStr">
        <is>
          <t>No</t>
        </is>
      </c>
      <c r="M93">
        <f>IF(A93="","",IF(K93="Yes","Actual","Plan"))</f>
        <v/>
      </c>
      <c r="N93" t="n">
        <v>1</v>
      </c>
    </row>
    <row r="94">
      <c r="A94">
        <f>IF(C94="","","MOV-"&amp;TEXT(ROW()-3,"0000"))</f>
        <v/>
      </c>
      <c r="B94" s="234" t="n"/>
      <c r="E94" s="64" t="n"/>
      <c r="F94" s="64" t="n"/>
      <c r="G94" s="235" t="n"/>
      <c r="J94" t="inlineStr">
        <is>
          <t>Released</t>
        </is>
      </c>
      <c r="K94" t="inlineStr">
        <is>
          <t>No</t>
        </is>
      </c>
      <c r="M94">
        <f>IF(A94="","",IF(K94="Yes","Actual","Plan"))</f>
        <v/>
      </c>
      <c r="N94" t="n">
        <v>1</v>
      </c>
    </row>
    <row r="95">
      <c r="A95">
        <f>IF(C95="","","MOV-"&amp;TEXT(ROW()-3,"0000"))</f>
        <v/>
      </c>
      <c r="B95" s="234" t="n"/>
      <c r="E95" s="64" t="n"/>
      <c r="F95" s="64" t="n"/>
      <c r="G95" s="235" t="n"/>
      <c r="J95" t="inlineStr">
        <is>
          <t>Released</t>
        </is>
      </c>
      <c r="K95" t="inlineStr">
        <is>
          <t>No</t>
        </is>
      </c>
      <c r="M95">
        <f>IF(A95="","",IF(K95="Yes","Actual","Plan"))</f>
        <v/>
      </c>
      <c r="N95" t="n">
        <v>1</v>
      </c>
    </row>
    <row r="96">
      <c r="A96">
        <f>IF(C96="","","MOV-"&amp;TEXT(ROW()-3,"0000"))</f>
        <v/>
      </c>
      <c r="B96" s="234" t="n"/>
      <c r="E96" s="64" t="n"/>
      <c r="F96" s="64" t="n"/>
      <c r="G96" s="235" t="n"/>
      <c r="J96" t="inlineStr">
        <is>
          <t>Released</t>
        </is>
      </c>
      <c r="K96" t="inlineStr">
        <is>
          <t>No</t>
        </is>
      </c>
      <c r="M96">
        <f>IF(A96="","",IF(K96="Yes","Actual","Plan"))</f>
        <v/>
      </c>
      <c r="N96" t="n">
        <v>1</v>
      </c>
    </row>
    <row r="97">
      <c r="A97">
        <f>IF(C97="","","MOV-"&amp;TEXT(ROW()-3,"0000"))</f>
        <v/>
      </c>
      <c r="B97" s="234" t="n"/>
      <c r="E97" s="64" t="n"/>
      <c r="F97" s="64" t="n"/>
      <c r="G97" s="235" t="n"/>
      <c r="J97" t="inlineStr">
        <is>
          <t>Released</t>
        </is>
      </c>
      <c r="K97" t="inlineStr">
        <is>
          <t>No</t>
        </is>
      </c>
      <c r="M97">
        <f>IF(A97="","",IF(K97="Yes","Actual","Plan"))</f>
        <v/>
      </c>
      <c r="N97" t="n">
        <v>1</v>
      </c>
    </row>
    <row r="98">
      <c r="A98">
        <f>IF(C98="","","MOV-"&amp;TEXT(ROW()-3,"0000"))</f>
        <v/>
      </c>
      <c r="B98" s="234" t="n"/>
      <c r="E98" s="64" t="n"/>
      <c r="F98" s="64" t="n"/>
      <c r="G98" s="235" t="n"/>
      <c r="J98" t="inlineStr">
        <is>
          <t>Released</t>
        </is>
      </c>
      <c r="K98" t="inlineStr">
        <is>
          <t>No</t>
        </is>
      </c>
      <c r="M98">
        <f>IF(A98="","",IF(K98="Yes","Actual","Plan"))</f>
        <v/>
      </c>
      <c r="N98" t="n">
        <v>1</v>
      </c>
    </row>
    <row r="99">
      <c r="A99">
        <f>IF(C99="","","MOV-"&amp;TEXT(ROW()-3,"0000"))</f>
        <v/>
      </c>
      <c r="B99" s="234" t="n"/>
      <c r="E99" s="64" t="n"/>
      <c r="F99" s="64" t="n"/>
      <c r="G99" s="235" t="n"/>
      <c r="J99" t="inlineStr">
        <is>
          <t>Released</t>
        </is>
      </c>
      <c r="K99" t="inlineStr">
        <is>
          <t>No</t>
        </is>
      </c>
      <c r="M99">
        <f>IF(A99="","",IF(K99="Yes","Actual","Plan"))</f>
        <v/>
      </c>
      <c r="N99" t="n">
        <v>1</v>
      </c>
    </row>
    <row r="100">
      <c r="A100">
        <f>IF(C100="","","MOV-"&amp;TEXT(ROW()-3,"0000"))</f>
        <v/>
      </c>
      <c r="B100" s="234" t="n"/>
      <c r="E100" s="64" t="n"/>
      <c r="F100" s="64" t="n"/>
      <c r="G100" s="235" t="n"/>
      <c r="J100" t="inlineStr">
        <is>
          <t>Released</t>
        </is>
      </c>
      <c r="K100" t="inlineStr">
        <is>
          <t>No</t>
        </is>
      </c>
      <c r="M100">
        <f>IF(A100="","",IF(K100="Yes","Actual","Plan"))</f>
        <v/>
      </c>
      <c r="N100" t="n">
        <v>1</v>
      </c>
    </row>
    <row r="101">
      <c r="A101">
        <f>IF(C101="","","MOV-"&amp;TEXT(ROW()-3,"0000"))</f>
        <v/>
      </c>
      <c r="B101" s="234" t="n"/>
      <c r="E101" s="64" t="n"/>
      <c r="F101" s="64" t="n"/>
      <c r="G101" s="235" t="n"/>
      <c r="J101" t="inlineStr">
        <is>
          <t>Released</t>
        </is>
      </c>
      <c r="K101" t="inlineStr">
        <is>
          <t>No</t>
        </is>
      </c>
      <c r="M101">
        <f>IF(A101="","",IF(K101="Yes","Actual","Plan"))</f>
        <v/>
      </c>
      <c r="N101" t="n">
        <v>1</v>
      </c>
    </row>
    <row r="102">
      <c r="A102">
        <f>IF(C102="","","MOV-"&amp;TEXT(ROW()-3,"0000"))</f>
        <v/>
      </c>
      <c r="B102" s="234" t="n"/>
      <c r="E102" s="64" t="n"/>
      <c r="F102" s="64" t="n"/>
      <c r="G102" s="235" t="n"/>
      <c r="J102" t="inlineStr">
        <is>
          <t>Released</t>
        </is>
      </c>
      <c r="K102" t="inlineStr">
        <is>
          <t>No</t>
        </is>
      </c>
      <c r="M102">
        <f>IF(A102="","",IF(K102="Yes","Actual","Plan"))</f>
        <v/>
      </c>
      <c r="N102" t="n">
        <v>1</v>
      </c>
    </row>
    <row r="103">
      <c r="A103">
        <f>IF(C103="","","MOV-"&amp;TEXT(ROW()-3,"0000"))</f>
        <v/>
      </c>
      <c r="B103" s="234" t="n"/>
      <c r="E103" s="64" t="n"/>
      <c r="F103" s="64" t="n"/>
      <c r="G103" s="235" t="n"/>
      <c r="J103" t="inlineStr">
        <is>
          <t>Released</t>
        </is>
      </c>
      <c r="K103" t="inlineStr">
        <is>
          <t>No</t>
        </is>
      </c>
      <c r="M103">
        <f>IF(A103="","",IF(K103="Yes","Actual","Plan"))</f>
        <v/>
      </c>
      <c r="N103" t="n">
        <v>1</v>
      </c>
    </row>
    <row r="104">
      <c r="A104">
        <f>IF(C104="","","MOV-"&amp;TEXT(ROW()-3,"0000"))</f>
        <v/>
      </c>
      <c r="B104" s="234" t="n"/>
      <c r="E104" s="64" t="n"/>
      <c r="F104" s="64" t="n"/>
      <c r="G104" s="235" t="n"/>
      <c r="J104" t="inlineStr">
        <is>
          <t>Released</t>
        </is>
      </c>
      <c r="K104" t="inlineStr">
        <is>
          <t>No</t>
        </is>
      </c>
      <c r="M104">
        <f>IF(A104="","",IF(K104="Yes","Actual","Plan"))</f>
        <v/>
      </c>
      <c r="N104" t="n">
        <v>1</v>
      </c>
    </row>
    <row r="105">
      <c r="A105">
        <f>IF(C105="","","MOV-"&amp;TEXT(ROW()-3,"0000"))</f>
        <v/>
      </c>
      <c r="B105" s="234" t="n"/>
      <c r="E105" s="64" t="n"/>
      <c r="F105" s="64" t="n"/>
      <c r="G105" s="235" t="n"/>
      <c r="J105" t="inlineStr">
        <is>
          <t>Released</t>
        </is>
      </c>
      <c r="K105" t="inlineStr">
        <is>
          <t>No</t>
        </is>
      </c>
      <c r="M105">
        <f>IF(A105="","",IF(K105="Yes","Actual","Plan"))</f>
        <v/>
      </c>
      <c r="N105" t="n">
        <v>1</v>
      </c>
    </row>
    <row r="106">
      <c r="A106">
        <f>IF(C106="","","MOV-"&amp;TEXT(ROW()-3,"0000"))</f>
        <v/>
      </c>
      <c r="B106" s="234" t="n"/>
      <c r="E106" s="64" t="n"/>
      <c r="F106" s="64" t="n"/>
      <c r="G106" s="235" t="n"/>
      <c r="J106" t="inlineStr">
        <is>
          <t>Released</t>
        </is>
      </c>
      <c r="K106" t="inlineStr">
        <is>
          <t>No</t>
        </is>
      </c>
      <c r="M106">
        <f>IF(A106="","",IF(K106="Yes","Actual","Plan"))</f>
        <v/>
      </c>
      <c r="N106" t="n">
        <v>1</v>
      </c>
    </row>
    <row r="107">
      <c r="A107">
        <f>IF(C107="","","MOV-"&amp;TEXT(ROW()-3,"0000"))</f>
        <v/>
      </c>
      <c r="B107" s="234" t="n"/>
      <c r="E107" s="64" t="n"/>
      <c r="F107" s="64" t="n"/>
      <c r="G107" s="235" t="n"/>
      <c r="J107" t="inlineStr">
        <is>
          <t>Released</t>
        </is>
      </c>
      <c r="K107" t="inlineStr">
        <is>
          <t>No</t>
        </is>
      </c>
      <c r="M107">
        <f>IF(A107="","",IF(K107="Yes","Actual","Plan"))</f>
        <v/>
      </c>
      <c r="N107" t="n">
        <v>1</v>
      </c>
    </row>
    <row r="108">
      <c r="A108">
        <f>IF(C108="","","MOV-"&amp;TEXT(ROW()-3,"0000"))</f>
        <v/>
      </c>
      <c r="B108" s="234" t="n"/>
      <c r="E108" s="64" t="n"/>
      <c r="F108" s="64" t="n"/>
      <c r="G108" s="235" t="n"/>
      <c r="J108" t="inlineStr">
        <is>
          <t>Released</t>
        </is>
      </c>
      <c r="K108" t="inlineStr">
        <is>
          <t>No</t>
        </is>
      </c>
      <c r="M108">
        <f>IF(A108="","",IF(K108="Yes","Actual","Plan"))</f>
        <v/>
      </c>
      <c r="N108" t="n">
        <v>1</v>
      </c>
    </row>
    <row r="109">
      <c r="A109">
        <f>IF(C109="","","MOV-"&amp;TEXT(ROW()-3,"0000"))</f>
        <v/>
      </c>
      <c r="B109" s="234" t="n"/>
      <c r="E109" s="64" t="n"/>
      <c r="F109" s="64" t="n"/>
      <c r="G109" s="235" t="n"/>
      <c r="J109" t="inlineStr">
        <is>
          <t>Released</t>
        </is>
      </c>
      <c r="K109" t="inlineStr">
        <is>
          <t>No</t>
        </is>
      </c>
      <c r="M109">
        <f>IF(A109="","",IF(K109="Yes","Actual","Plan"))</f>
        <v/>
      </c>
      <c r="N109" t="n">
        <v>1</v>
      </c>
    </row>
    <row r="110">
      <c r="A110">
        <f>IF(C110="","","MOV-"&amp;TEXT(ROW()-3,"0000"))</f>
        <v/>
      </c>
      <c r="B110" s="234" t="n"/>
      <c r="E110" s="64" t="n"/>
      <c r="F110" s="64" t="n"/>
      <c r="G110" s="235" t="n"/>
      <c r="J110" t="inlineStr">
        <is>
          <t>Released</t>
        </is>
      </c>
      <c r="K110" t="inlineStr">
        <is>
          <t>No</t>
        </is>
      </c>
      <c r="M110">
        <f>IF(A110="","",IF(K110="Yes","Actual","Plan"))</f>
        <v/>
      </c>
      <c r="N110" t="n">
        <v>1</v>
      </c>
    </row>
    <row r="111">
      <c r="A111">
        <f>IF(C111="","","MOV-"&amp;TEXT(ROW()-3,"0000"))</f>
        <v/>
      </c>
      <c r="B111" s="234" t="n"/>
      <c r="E111" s="64" t="n"/>
      <c r="F111" s="64" t="n"/>
      <c r="G111" s="235" t="n"/>
      <c r="J111" t="inlineStr">
        <is>
          <t>Released</t>
        </is>
      </c>
      <c r="K111" t="inlineStr">
        <is>
          <t>No</t>
        </is>
      </c>
      <c r="M111">
        <f>IF(A111="","",IF(K111="Yes","Actual","Plan"))</f>
        <v/>
      </c>
      <c r="N111" t="n">
        <v>1</v>
      </c>
    </row>
    <row r="112">
      <c r="A112">
        <f>IF(C112="","","MOV-"&amp;TEXT(ROW()-3,"0000"))</f>
        <v/>
      </c>
      <c r="B112" s="234" t="n"/>
      <c r="E112" s="64" t="n"/>
      <c r="F112" s="64" t="n"/>
      <c r="G112" s="235" t="n"/>
      <c r="J112" t="inlineStr">
        <is>
          <t>Released</t>
        </is>
      </c>
      <c r="K112" t="inlineStr">
        <is>
          <t>No</t>
        </is>
      </c>
      <c r="M112">
        <f>IF(A112="","",IF(K112="Yes","Actual","Plan"))</f>
        <v/>
      </c>
      <c r="N112" t="n">
        <v>1</v>
      </c>
    </row>
    <row r="113">
      <c r="A113">
        <f>IF(C113="","","MOV-"&amp;TEXT(ROW()-3,"0000"))</f>
        <v/>
      </c>
      <c r="B113" s="234" t="n"/>
      <c r="E113" s="64" t="n"/>
      <c r="F113" s="64" t="n"/>
      <c r="G113" s="235" t="n"/>
      <c r="J113" t="inlineStr">
        <is>
          <t>Released</t>
        </is>
      </c>
      <c r="K113" t="inlineStr">
        <is>
          <t>No</t>
        </is>
      </c>
      <c r="M113">
        <f>IF(A113="","",IF(K113="Yes","Actual","Plan"))</f>
        <v/>
      </c>
      <c r="N113" t="n">
        <v>1</v>
      </c>
    </row>
    <row r="114">
      <c r="A114">
        <f>IF(C114="","","MOV-"&amp;TEXT(ROW()-3,"0000"))</f>
        <v/>
      </c>
      <c r="B114" s="234" t="n"/>
      <c r="E114" s="64" t="n"/>
      <c r="F114" s="64" t="n"/>
      <c r="G114" s="235" t="n"/>
      <c r="J114" t="inlineStr">
        <is>
          <t>Released</t>
        </is>
      </c>
      <c r="K114" t="inlineStr">
        <is>
          <t>No</t>
        </is>
      </c>
      <c r="M114">
        <f>IF(A114="","",IF(K114="Yes","Actual","Plan"))</f>
        <v/>
      </c>
      <c r="N114" t="n">
        <v>1</v>
      </c>
    </row>
    <row r="115">
      <c r="A115">
        <f>IF(C115="","","MOV-"&amp;TEXT(ROW()-3,"0000"))</f>
        <v/>
      </c>
      <c r="B115" s="234" t="n"/>
      <c r="E115" s="64" t="n"/>
      <c r="F115" s="64" t="n"/>
      <c r="G115" s="235" t="n"/>
      <c r="J115" t="inlineStr">
        <is>
          <t>Released</t>
        </is>
      </c>
      <c r="K115" t="inlineStr">
        <is>
          <t>No</t>
        </is>
      </c>
      <c r="M115">
        <f>IF(A115="","",IF(K115="Yes","Actual","Plan"))</f>
        <v/>
      </c>
      <c r="N115" t="n">
        <v>1</v>
      </c>
    </row>
    <row r="116">
      <c r="A116">
        <f>IF(C116="","","MOV-"&amp;TEXT(ROW()-3,"0000"))</f>
        <v/>
      </c>
      <c r="B116" s="234" t="n"/>
      <c r="E116" s="64" t="n"/>
      <c r="F116" s="64" t="n"/>
      <c r="G116" s="235" t="n"/>
      <c r="J116" t="inlineStr">
        <is>
          <t>Released</t>
        </is>
      </c>
      <c r="K116" t="inlineStr">
        <is>
          <t>No</t>
        </is>
      </c>
      <c r="M116">
        <f>IF(A116="","",IF(K116="Yes","Actual","Plan"))</f>
        <v/>
      </c>
      <c r="N116" t="n">
        <v>1</v>
      </c>
    </row>
    <row r="117">
      <c r="A117">
        <f>IF(C117="","","MOV-"&amp;TEXT(ROW()-3,"0000"))</f>
        <v/>
      </c>
      <c r="B117" s="234" t="n"/>
      <c r="E117" s="64" t="n"/>
      <c r="F117" s="64" t="n"/>
      <c r="G117" s="235" t="n"/>
      <c r="J117" t="inlineStr">
        <is>
          <t>Released</t>
        </is>
      </c>
      <c r="K117" t="inlineStr">
        <is>
          <t>No</t>
        </is>
      </c>
      <c r="M117">
        <f>IF(A117="","",IF(K117="Yes","Actual","Plan"))</f>
        <v/>
      </c>
      <c r="N117" t="n">
        <v>1</v>
      </c>
    </row>
    <row r="118">
      <c r="A118">
        <f>IF(C118="","","MOV-"&amp;TEXT(ROW()-3,"0000"))</f>
        <v/>
      </c>
      <c r="B118" s="234" t="n"/>
      <c r="E118" s="64" t="n"/>
      <c r="F118" s="64" t="n"/>
      <c r="G118" s="235" t="n"/>
      <c r="J118" t="inlineStr">
        <is>
          <t>Released</t>
        </is>
      </c>
      <c r="K118" t="inlineStr">
        <is>
          <t>No</t>
        </is>
      </c>
      <c r="M118">
        <f>IF(A118="","",IF(K118="Yes","Actual","Plan"))</f>
        <v/>
      </c>
      <c r="N118" t="n">
        <v>1</v>
      </c>
    </row>
    <row r="119">
      <c r="A119">
        <f>IF(C119="","","MOV-"&amp;TEXT(ROW()-3,"0000"))</f>
        <v/>
      </c>
      <c r="B119" s="234" t="n"/>
      <c r="E119" s="64" t="n"/>
      <c r="F119" s="64" t="n"/>
      <c r="G119" s="235" t="n"/>
      <c r="J119" t="inlineStr">
        <is>
          <t>Released</t>
        </is>
      </c>
      <c r="K119" t="inlineStr">
        <is>
          <t>No</t>
        </is>
      </c>
      <c r="M119">
        <f>IF(A119="","",IF(K119="Yes","Actual","Plan"))</f>
        <v/>
      </c>
      <c r="N119" t="n">
        <v>1</v>
      </c>
    </row>
    <row r="120">
      <c r="A120">
        <f>IF(C120="","","MOV-"&amp;TEXT(ROW()-3,"0000"))</f>
        <v/>
      </c>
      <c r="B120" s="234" t="n"/>
      <c r="E120" s="64" t="n"/>
      <c r="F120" s="64" t="n"/>
      <c r="G120" s="235" t="n"/>
      <c r="J120" t="inlineStr">
        <is>
          <t>Released</t>
        </is>
      </c>
      <c r="K120" t="inlineStr">
        <is>
          <t>No</t>
        </is>
      </c>
      <c r="M120">
        <f>IF(A120="","",IF(K120="Yes","Actual","Plan"))</f>
        <v/>
      </c>
      <c r="N120" t="n">
        <v>1</v>
      </c>
    </row>
    <row r="121">
      <c r="A121">
        <f>IF(C121="","","MOV-"&amp;TEXT(ROW()-3,"0000"))</f>
        <v/>
      </c>
      <c r="B121" s="234" t="n"/>
      <c r="E121" s="64" t="n"/>
      <c r="F121" s="64" t="n"/>
      <c r="G121" s="235" t="n"/>
      <c r="J121" t="inlineStr">
        <is>
          <t>Released</t>
        </is>
      </c>
      <c r="K121" t="inlineStr">
        <is>
          <t>No</t>
        </is>
      </c>
      <c r="M121">
        <f>IF(A121="","",IF(K121="Yes","Actual","Plan"))</f>
        <v/>
      </c>
      <c r="N121" t="n">
        <v>1</v>
      </c>
    </row>
    <row r="122">
      <c r="A122">
        <f>IF(C122="","","MOV-"&amp;TEXT(ROW()-3,"0000"))</f>
        <v/>
      </c>
      <c r="B122" s="234" t="n"/>
      <c r="E122" s="64" t="n"/>
      <c r="F122" s="64" t="n"/>
      <c r="G122" s="235" t="n"/>
      <c r="J122" t="inlineStr">
        <is>
          <t>Released</t>
        </is>
      </c>
      <c r="K122" t="inlineStr">
        <is>
          <t>No</t>
        </is>
      </c>
      <c r="M122">
        <f>IF(A122="","",IF(K122="Yes","Actual","Plan"))</f>
        <v/>
      </c>
      <c r="N122" t="n">
        <v>1</v>
      </c>
    </row>
    <row r="123">
      <c r="A123">
        <f>IF(C123="","","MOV-"&amp;TEXT(ROW()-3,"0000"))</f>
        <v/>
      </c>
      <c r="B123" s="234" t="n"/>
      <c r="E123" s="64" t="n"/>
      <c r="F123" s="64" t="n"/>
      <c r="G123" s="235" t="n"/>
      <c r="J123" t="inlineStr">
        <is>
          <t>Released</t>
        </is>
      </c>
      <c r="K123" t="inlineStr">
        <is>
          <t>No</t>
        </is>
      </c>
      <c r="M123">
        <f>IF(A123="","",IF(K123="Yes","Actual","Plan"))</f>
        <v/>
      </c>
      <c r="N123" t="n">
        <v>1</v>
      </c>
    </row>
    <row r="124">
      <c r="A124">
        <f>IF(C124="","","MOV-"&amp;TEXT(ROW()-3,"0000"))</f>
        <v/>
      </c>
      <c r="B124" s="234" t="n"/>
      <c r="E124" s="64" t="n"/>
      <c r="F124" s="64" t="n"/>
      <c r="G124" s="235" t="n"/>
      <c r="J124" t="inlineStr">
        <is>
          <t>Released</t>
        </is>
      </c>
      <c r="K124" t="inlineStr">
        <is>
          <t>No</t>
        </is>
      </c>
      <c r="M124">
        <f>IF(A124="","",IF(K124="Yes","Actual","Plan"))</f>
        <v/>
      </c>
      <c r="N124" t="n">
        <v>1</v>
      </c>
    </row>
    <row r="125">
      <c r="A125">
        <f>IF(C125="","","MOV-"&amp;TEXT(ROW()-3,"0000"))</f>
        <v/>
      </c>
      <c r="B125" s="234" t="n"/>
      <c r="E125" s="64" t="n"/>
      <c r="F125" s="64" t="n"/>
      <c r="G125" s="235" t="n"/>
      <c r="J125" t="inlineStr">
        <is>
          <t>Released</t>
        </is>
      </c>
      <c r="K125" t="inlineStr">
        <is>
          <t>No</t>
        </is>
      </c>
      <c r="M125">
        <f>IF(A125="","",IF(K125="Yes","Actual","Plan"))</f>
        <v/>
      </c>
      <c r="N125" t="n">
        <v>1</v>
      </c>
    </row>
    <row r="126">
      <c r="A126">
        <f>IF(C126="","","MOV-"&amp;TEXT(ROW()-3,"0000"))</f>
        <v/>
      </c>
      <c r="B126" s="234" t="n"/>
      <c r="E126" s="64" t="n"/>
      <c r="F126" s="64" t="n"/>
      <c r="G126" s="235" t="n"/>
      <c r="J126" t="inlineStr">
        <is>
          <t>Released</t>
        </is>
      </c>
      <c r="K126" t="inlineStr">
        <is>
          <t>No</t>
        </is>
      </c>
      <c r="M126">
        <f>IF(A126="","",IF(K126="Yes","Actual","Plan"))</f>
        <v/>
      </c>
      <c r="N126" t="n">
        <v>1</v>
      </c>
    </row>
    <row r="127">
      <c r="A127">
        <f>IF(C127="","","MOV-"&amp;TEXT(ROW()-3,"0000"))</f>
        <v/>
      </c>
      <c r="B127" s="234" t="n"/>
      <c r="E127" s="64" t="n"/>
      <c r="F127" s="64" t="n"/>
      <c r="G127" s="235" t="n"/>
      <c r="J127" t="inlineStr">
        <is>
          <t>Released</t>
        </is>
      </c>
      <c r="K127" t="inlineStr">
        <is>
          <t>No</t>
        </is>
      </c>
      <c r="M127">
        <f>IF(A127="","",IF(K127="Yes","Actual","Plan"))</f>
        <v/>
      </c>
      <c r="N127" t="n">
        <v>1</v>
      </c>
    </row>
    <row r="128">
      <c r="A128">
        <f>IF(C128="","","MOV-"&amp;TEXT(ROW()-3,"0000"))</f>
        <v/>
      </c>
      <c r="B128" s="234" t="n"/>
      <c r="E128" s="64" t="n"/>
      <c r="F128" s="64" t="n"/>
      <c r="G128" s="235" t="n"/>
      <c r="J128" t="inlineStr">
        <is>
          <t>Released</t>
        </is>
      </c>
      <c r="K128" t="inlineStr">
        <is>
          <t>No</t>
        </is>
      </c>
      <c r="M128">
        <f>IF(A128="","",IF(K128="Yes","Actual","Plan"))</f>
        <v/>
      </c>
      <c r="N128" t="n">
        <v>1</v>
      </c>
    </row>
    <row r="129">
      <c r="A129">
        <f>IF(C129="","","MOV-"&amp;TEXT(ROW()-3,"0000"))</f>
        <v/>
      </c>
      <c r="B129" s="234" t="n"/>
      <c r="E129" s="64" t="n"/>
      <c r="F129" s="64" t="n"/>
      <c r="G129" s="235" t="n"/>
      <c r="J129" t="inlineStr">
        <is>
          <t>Released</t>
        </is>
      </c>
      <c r="K129" t="inlineStr">
        <is>
          <t>No</t>
        </is>
      </c>
      <c r="M129">
        <f>IF(A129="","",IF(K129="Yes","Actual","Plan"))</f>
        <v/>
      </c>
      <c r="N129" t="n">
        <v>1</v>
      </c>
    </row>
    <row r="130">
      <c r="A130">
        <f>IF(C130="","","MOV-"&amp;TEXT(ROW()-3,"0000"))</f>
        <v/>
      </c>
      <c r="B130" s="234" t="n"/>
      <c r="E130" s="64" t="n"/>
      <c r="F130" s="64" t="n"/>
      <c r="G130" s="235" t="n"/>
      <c r="J130" t="inlineStr">
        <is>
          <t>Released</t>
        </is>
      </c>
      <c r="K130" t="inlineStr">
        <is>
          <t>No</t>
        </is>
      </c>
      <c r="M130">
        <f>IF(A130="","",IF(K130="Yes","Actual","Plan"))</f>
        <v/>
      </c>
      <c r="N130" t="n">
        <v>1</v>
      </c>
    </row>
    <row r="131">
      <c r="A131">
        <f>IF(C131="","","MOV-"&amp;TEXT(ROW()-3,"0000"))</f>
        <v/>
      </c>
      <c r="B131" s="234" t="n"/>
      <c r="E131" s="64" t="n"/>
      <c r="F131" s="64" t="n"/>
      <c r="G131" s="235" t="n"/>
      <c r="J131" t="inlineStr">
        <is>
          <t>Released</t>
        </is>
      </c>
      <c r="K131" t="inlineStr">
        <is>
          <t>No</t>
        </is>
      </c>
      <c r="M131">
        <f>IF(A131="","",IF(K131="Yes","Actual","Plan"))</f>
        <v/>
      </c>
      <c r="N131" t="n">
        <v>1</v>
      </c>
    </row>
    <row r="132">
      <c r="A132">
        <f>IF(C132="","","MOV-"&amp;TEXT(ROW()-3,"0000"))</f>
        <v/>
      </c>
      <c r="B132" s="234" t="n"/>
      <c r="E132" s="64" t="n"/>
      <c r="F132" s="64" t="n"/>
      <c r="G132" s="235" t="n"/>
      <c r="J132" t="inlineStr">
        <is>
          <t>Released</t>
        </is>
      </c>
      <c r="K132" t="inlineStr">
        <is>
          <t>No</t>
        </is>
      </c>
      <c r="M132">
        <f>IF(A132="","",IF(K132="Yes","Actual","Plan"))</f>
        <v/>
      </c>
      <c r="N132" t="n">
        <v>1</v>
      </c>
    </row>
    <row r="133">
      <c r="A133">
        <f>IF(C133="","","MOV-"&amp;TEXT(ROW()-3,"0000"))</f>
        <v/>
      </c>
      <c r="B133" s="234" t="n"/>
      <c r="E133" s="64" t="n"/>
      <c r="F133" s="64" t="n"/>
      <c r="G133" s="235" t="n"/>
      <c r="J133" t="inlineStr">
        <is>
          <t>Released</t>
        </is>
      </c>
      <c r="K133" t="inlineStr">
        <is>
          <t>No</t>
        </is>
      </c>
      <c r="M133">
        <f>IF(A133="","",IF(K133="Yes","Actual","Plan"))</f>
        <v/>
      </c>
      <c r="N133" t="n">
        <v>1</v>
      </c>
    </row>
    <row r="134">
      <c r="A134">
        <f>IF(C134="","","MOV-"&amp;TEXT(ROW()-3,"0000"))</f>
        <v/>
      </c>
      <c r="B134" s="234" t="n"/>
      <c r="E134" s="64" t="n"/>
      <c r="F134" s="64" t="n"/>
      <c r="G134" s="235" t="n"/>
      <c r="J134" t="inlineStr">
        <is>
          <t>Released</t>
        </is>
      </c>
      <c r="K134" t="inlineStr">
        <is>
          <t>No</t>
        </is>
      </c>
      <c r="M134">
        <f>IF(A134="","",IF(K134="Yes","Actual","Plan"))</f>
        <v/>
      </c>
      <c r="N134" t="n">
        <v>1</v>
      </c>
    </row>
    <row r="135">
      <c r="A135">
        <f>IF(C135="","","MOV-"&amp;TEXT(ROW()-3,"0000"))</f>
        <v/>
      </c>
      <c r="B135" s="234" t="n"/>
      <c r="E135" s="64" t="n"/>
      <c r="F135" s="64" t="n"/>
      <c r="G135" s="235" t="n"/>
      <c r="J135" t="inlineStr">
        <is>
          <t>Released</t>
        </is>
      </c>
      <c r="K135" t="inlineStr">
        <is>
          <t>No</t>
        </is>
      </c>
      <c r="M135">
        <f>IF(A135="","",IF(K135="Yes","Actual","Plan"))</f>
        <v/>
      </c>
      <c r="N135" t="n">
        <v>1</v>
      </c>
    </row>
    <row r="136">
      <c r="A136">
        <f>IF(C136="","","MOV-"&amp;TEXT(ROW()-3,"0000"))</f>
        <v/>
      </c>
      <c r="B136" s="234" t="n"/>
      <c r="E136" s="64" t="n"/>
      <c r="F136" s="64" t="n"/>
      <c r="G136" s="235" t="n"/>
      <c r="J136" t="inlineStr">
        <is>
          <t>Released</t>
        </is>
      </c>
      <c r="K136" t="inlineStr">
        <is>
          <t>No</t>
        </is>
      </c>
      <c r="M136">
        <f>IF(A136="","",IF(K136="Yes","Actual","Plan"))</f>
        <v/>
      </c>
      <c r="N136" t="n">
        <v>1</v>
      </c>
    </row>
    <row r="137">
      <c r="A137">
        <f>IF(C137="","","MOV-"&amp;TEXT(ROW()-3,"0000"))</f>
        <v/>
      </c>
      <c r="B137" s="234" t="n"/>
      <c r="E137" s="64" t="n"/>
      <c r="F137" s="64" t="n"/>
      <c r="G137" s="235" t="n"/>
      <c r="J137" t="inlineStr">
        <is>
          <t>Released</t>
        </is>
      </c>
      <c r="K137" t="inlineStr">
        <is>
          <t>No</t>
        </is>
      </c>
      <c r="M137">
        <f>IF(A137="","",IF(K137="Yes","Actual","Plan"))</f>
        <v/>
      </c>
      <c r="N137" t="n">
        <v>1</v>
      </c>
    </row>
    <row r="138">
      <c r="A138">
        <f>IF(C138="","","MOV-"&amp;TEXT(ROW()-3,"0000"))</f>
        <v/>
      </c>
      <c r="B138" s="234" t="n"/>
      <c r="E138" s="64" t="n"/>
      <c r="F138" s="64" t="n"/>
      <c r="G138" s="235" t="n"/>
      <c r="J138" t="inlineStr">
        <is>
          <t>Released</t>
        </is>
      </c>
      <c r="K138" t="inlineStr">
        <is>
          <t>No</t>
        </is>
      </c>
      <c r="M138">
        <f>IF(A138="","",IF(K138="Yes","Actual","Plan"))</f>
        <v/>
      </c>
      <c r="N138" t="n">
        <v>1</v>
      </c>
    </row>
    <row r="139">
      <c r="A139">
        <f>IF(C139="","","MOV-"&amp;TEXT(ROW()-3,"0000"))</f>
        <v/>
      </c>
      <c r="B139" s="234" t="n"/>
      <c r="E139" s="64" t="n"/>
      <c r="F139" s="64" t="n"/>
      <c r="G139" s="235" t="n"/>
      <c r="J139" t="inlineStr">
        <is>
          <t>Released</t>
        </is>
      </c>
      <c r="K139" t="inlineStr">
        <is>
          <t>No</t>
        </is>
      </c>
      <c r="M139">
        <f>IF(A139="","",IF(K139="Yes","Actual","Plan"))</f>
        <v/>
      </c>
      <c r="N139" t="n">
        <v>1</v>
      </c>
    </row>
    <row r="140">
      <c r="A140">
        <f>IF(C140="","","MOV-"&amp;TEXT(ROW()-3,"0000"))</f>
        <v/>
      </c>
      <c r="B140" s="234" t="n"/>
      <c r="E140" s="64" t="n"/>
      <c r="F140" s="64" t="n"/>
      <c r="G140" s="235" t="n"/>
      <c r="J140" t="inlineStr">
        <is>
          <t>Released</t>
        </is>
      </c>
      <c r="K140" t="inlineStr">
        <is>
          <t>No</t>
        </is>
      </c>
      <c r="M140">
        <f>IF(A140="","",IF(K140="Yes","Actual","Plan"))</f>
        <v/>
      </c>
      <c r="N140" t="n">
        <v>1</v>
      </c>
    </row>
    <row r="141">
      <c r="A141">
        <f>IF(C141="","","MOV-"&amp;TEXT(ROW()-3,"0000"))</f>
        <v/>
      </c>
      <c r="B141" s="234" t="n"/>
      <c r="E141" s="64" t="n"/>
      <c r="F141" s="64" t="n"/>
      <c r="G141" s="235" t="n"/>
      <c r="J141" t="inlineStr">
        <is>
          <t>Released</t>
        </is>
      </c>
      <c r="K141" t="inlineStr">
        <is>
          <t>No</t>
        </is>
      </c>
      <c r="M141">
        <f>IF(A141="","",IF(K141="Yes","Actual","Plan"))</f>
        <v/>
      </c>
      <c r="N141" t="n">
        <v>1</v>
      </c>
    </row>
    <row r="142">
      <c r="A142">
        <f>IF(C142="","","MOV-"&amp;TEXT(ROW()-3,"0000"))</f>
        <v/>
      </c>
      <c r="B142" s="234" t="n"/>
      <c r="E142" s="64" t="n"/>
      <c r="F142" s="64" t="n"/>
      <c r="G142" s="235" t="n"/>
      <c r="J142" t="inlineStr">
        <is>
          <t>Released</t>
        </is>
      </c>
      <c r="K142" t="inlineStr">
        <is>
          <t>No</t>
        </is>
      </c>
      <c r="M142">
        <f>IF(A142="","",IF(K142="Yes","Actual","Plan"))</f>
        <v/>
      </c>
      <c r="N142" t="n">
        <v>1</v>
      </c>
    </row>
    <row r="143">
      <c r="A143">
        <f>IF(C143="","","MOV-"&amp;TEXT(ROW()-3,"0000"))</f>
        <v/>
      </c>
      <c r="B143" s="234" t="n"/>
      <c r="E143" s="64" t="n"/>
      <c r="F143" s="64" t="n"/>
      <c r="G143" s="235" t="n"/>
      <c r="J143" t="inlineStr">
        <is>
          <t>Released</t>
        </is>
      </c>
      <c r="K143" t="inlineStr">
        <is>
          <t>No</t>
        </is>
      </c>
      <c r="M143">
        <f>IF(A143="","",IF(K143="Yes","Actual","Plan"))</f>
        <v/>
      </c>
      <c r="N143" t="n">
        <v>1</v>
      </c>
    </row>
    <row r="144">
      <c r="A144">
        <f>IF(C144="","","MOV-"&amp;TEXT(ROW()-3,"0000"))</f>
        <v/>
      </c>
      <c r="B144" s="234" t="n"/>
      <c r="E144" s="64" t="n"/>
      <c r="F144" s="64" t="n"/>
      <c r="G144" s="235" t="n"/>
      <c r="J144" t="inlineStr">
        <is>
          <t>Released</t>
        </is>
      </c>
      <c r="K144" t="inlineStr">
        <is>
          <t>No</t>
        </is>
      </c>
      <c r="M144">
        <f>IF(A144="","",IF(K144="Yes","Actual","Plan"))</f>
        <v/>
      </c>
      <c r="N144" t="n">
        <v>1</v>
      </c>
    </row>
    <row r="145">
      <c r="A145">
        <f>IF(C145="","","MOV-"&amp;TEXT(ROW()-3,"0000"))</f>
        <v/>
      </c>
      <c r="B145" s="234" t="n"/>
      <c r="E145" s="64" t="n"/>
      <c r="F145" s="64" t="n"/>
      <c r="G145" s="235" t="n"/>
      <c r="J145" t="inlineStr">
        <is>
          <t>Released</t>
        </is>
      </c>
      <c r="K145" t="inlineStr">
        <is>
          <t>No</t>
        </is>
      </c>
      <c r="M145">
        <f>IF(A145="","",IF(K145="Yes","Actual","Plan"))</f>
        <v/>
      </c>
      <c r="N145" t="n">
        <v>1</v>
      </c>
    </row>
    <row r="146">
      <c r="A146">
        <f>IF(C146="","","MOV-"&amp;TEXT(ROW()-3,"0000"))</f>
        <v/>
      </c>
      <c r="B146" s="234" t="n"/>
      <c r="E146" s="64" t="n"/>
      <c r="F146" s="64" t="n"/>
      <c r="G146" s="235" t="n"/>
      <c r="J146" t="inlineStr">
        <is>
          <t>Released</t>
        </is>
      </c>
      <c r="K146" t="inlineStr">
        <is>
          <t>No</t>
        </is>
      </c>
      <c r="M146">
        <f>IF(A146="","",IF(K146="Yes","Actual","Plan"))</f>
        <v/>
      </c>
      <c r="N146" t="n">
        <v>1</v>
      </c>
    </row>
    <row r="147">
      <c r="A147">
        <f>IF(C147="","","MOV-"&amp;TEXT(ROW()-3,"0000"))</f>
        <v/>
      </c>
      <c r="B147" s="234" t="n"/>
      <c r="E147" s="64" t="n"/>
      <c r="F147" s="64" t="n"/>
      <c r="G147" s="235" t="n"/>
      <c r="J147" t="inlineStr">
        <is>
          <t>Released</t>
        </is>
      </c>
      <c r="K147" t="inlineStr">
        <is>
          <t>No</t>
        </is>
      </c>
      <c r="M147">
        <f>IF(A147="","",IF(K147="Yes","Actual","Plan"))</f>
        <v/>
      </c>
      <c r="N147" t="n">
        <v>1</v>
      </c>
    </row>
    <row r="148">
      <c r="A148">
        <f>IF(C148="","","MOV-"&amp;TEXT(ROW()-3,"0000"))</f>
        <v/>
      </c>
      <c r="B148" s="234" t="n"/>
      <c r="E148" s="64" t="n"/>
      <c r="F148" s="64" t="n"/>
      <c r="G148" s="235" t="n"/>
      <c r="J148" t="inlineStr">
        <is>
          <t>Released</t>
        </is>
      </c>
      <c r="K148" t="inlineStr">
        <is>
          <t>No</t>
        </is>
      </c>
      <c r="M148">
        <f>IF(A148="","",IF(K148="Yes","Actual","Plan"))</f>
        <v/>
      </c>
      <c r="N148" t="n">
        <v>1</v>
      </c>
    </row>
    <row r="149">
      <c r="A149">
        <f>IF(C149="","","MOV-"&amp;TEXT(ROW()-3,"0000"))</f>
        <v/>
      </c>
      <c r="B149" s="234" t="n"/>
      <c r="E149" s="64" t="n"/>
      <c r="F149" s="64" t="n"/>
      <c r="G149" s="235" t="n"/>
      <c r="J149" t="inlineStr">
        <is>
          <t>Released</t>
        </is>
      </c>
      <c r="K149" t="inlineStr">
        <is>
          <t>No</t>
        </is>
      </c>
      <c r="M149">
        <f>IF(A149="","",IF(K149="Yes","Actual","Plan"))</f>
        <v/>
      </c>
      <c r="N149" t="n">
        <v>1</v>
      </c>
    </row>
    <row r="150">
      <c r="A150">
        <f>IF(C150="","","MOV-"&amp;TEXT(ROW()-3,"0000"))</f>
        <v/>
      </c>
      <c r="B150" s="234" t="n"/>
      <c r="E150" s="64" t="n"/>
      <c r="F150" s="64" t="n"/>
      <c r="G150" s="235" t="n"/>
      <c r="J150" t="inlineStr">
        <is>
          <t>Released</t>
        </is>
      </c>
      <c r="K150" t="inlineStr">
        <is>
          <t>No</t>
        </is>
      </c>
      <c r="M150">
        <f>IF(A150="","",IF(K150="Yes","Actual","Plan"))</f>
        <v/>
      </c>
      <c r="N150" t="n">
        <v>1</v>
      </c>
    </row>
    <row r="151">
      <c r="A151">
        <f>IF(C151="","","MOV-"&amp;TEXT(ROW()-3,"0000"))</f>
        <v/>
      </c>
      <c r="B151" s="234" t="n"/>
      <c r="E151" s="64" t="n"/>
      <c r="F151" s="64" t="n"/>
      <c r="G151" s="235" t="n"/>
      <c r="J151" t="inlineStr">
        <is>
          <t>Released</t>
        </is>
      </c>
      <c r="K151" t="inlineStr">
        <is>
          <t>No</t>
        </is>
      </c>
      <c r="M151">
        <f>IF(A151="","",IF(K151="Yes","Actual","Plan"))</f>
        <v/>
      </c>
      <c r="N151" t="n">
        <v>1</v>
      </c>
    </row>
    <row r="152">
      <c r="A152">
        <f>IF(C152="","","MOV-"&amp;TEXT(ROW()-3,"0000"))</f>
        <v/>
      </c>
      <c r="B152" s="234" t="n"/>
      <c r="E152" s="64" t="n"/>
      <c r="F152" s="64" t="n"/>
      <c r="G152" s="235" t="n"/>
      <c r="J152" t="inlineStr">
        <is>
          <t>Released</t>
        </is>
      </c>
      <c r="K152" t="inlineStr">
        <is>
          <t>No</t>
        </is>
      </c>
      <c r="M152">
        <f>IF(A152="","",IF(K152="Yes","Actual","Plan"))</f>
        <v/>
      </c>
      <c r="N152" t="n">
        <v>1</v>
      </c>
    </row>
    <row r="153">
      <c r="A153">
        <f>IF(C153="","","MOV-"&amp;TEXT(ROW()-3,"0000"))</f>
        <v/>
      </c>
      <c r="B153" s="234" t="n"/>
      <c r="E153" s="64" t="n"/>
      <c r="F153" s="64" t="n"/>
      <c r="G153" s="235" t="n"/>
      <c r="J153" t="inlineStr">
        <is>
          <t>Released</t>
        </is>
      </c>
      <c r="K153" t="inlineStr">
        <is>
          <t>No</t>
        </is>
      </c>
      <c r="M153">
        <f>IF(A153="","",IF(K153="Yes","Actual","Plan"))</f>
        <v/>
      </c>
      <c r="N153" t="n">
        <v>1</v>
      </c>
    </row>
    <row r="154">
      <c r="A154">
        <f>IF(C154="","","MOV-"&amp;TEXT(ROW()-3,"0000"))</f>
        <v/>
      </c>
      <c r="B154" s="234" t="n"/>
      <c r="E154" s="64" t="n"/>
      <c r="F154" s="64" t="n"/>
      <c r="G154" s="235" t="n"/>
      <c r="J154" t="inlineStr">
        <is>
          <t>Released</t>
        </is>
      </c>
      <c r="K154" t="inlineStr">
        <is>
          <t>No</t>
        </is>
      </c>
      <c r="M154">
        <f>IF(A154="","",IF(K154="Yes","Actual","Plan"))</f>
        <v/>
      </c>
      <c r="N154" t="n">
        <v>1</v>
      </c>
    </row>
    <row r="155">
      <c r="A155">
        <f>IF(C155="","","MOV-"&amp;TEXT(ROW()-3,"0000"))</f>
        <v/>
      </c>
      <c r="B155" s="234" t="n"/>
      <c r="E155" s="64" t="n"/>
      <c r="F155" s="64" t="n"/>
      <c r="G155" s="235" t="n"/>
      <c r="J155" t="inlineStr">
        <is>
          <t>Released</t>
        </is>
      </c>
      <c r="K155" t="inlineStr">
        <is>
          <t>No</t>
        </is>
      </c>
      <c r="M155">
        <f>IF(A155="","",IF(K155="Yes","Actual","Plan"))</f>
        <v/>
      </c>
      <c r="N155" t="n">
        <v>1</v>
      </c>
    </row>
    <row r="156">
      <c r="A156">
        <f>IF(C156="","","MOV-"&amp;TEXT(ROW()-3,"0000"))</f>
        <v/>
      </c>
      <c r="B156" s="234" t="n"/>
      <c r="E156" s="64" t="n"/>
      <c r="F156" s="64" t="n"/>
      <c r="G156" s="235" t="n"/>
      <c r="J156" t="inlineStr">
        <is>
          <t>Released</t>
        </is>
      </c>
      <c r="K156" t="inlineStr">
        <is>
          <t>No</t>
        </is>
      </c>
      <c r="M156">
        <f>IF(A156="","",IF(K156="Yes","Actual","Plan"))</f>
        <v/>
      </c>
      <c r="N156" t="n">
        <v>1</v>
      </c>
    </row>
    <row r="157">
      <c r="A157">
        <f>IF(C157="","","MOV-"&amp;TEXT(ROW()-3,"0000"))</f>
        <v/>
      </c>
      <c r="B157" s="234" t="n"/>
      <c r="E157" s="64" t="n"/>
      <c r="F157" s="64" t="n"/>
      <c r="G157" s="235" t="n"/>
      <c r="J157" t="inlineStr">
        <is>
          <t>Released</t>
        </is>
      </c>
      <c r="K157" t="inlineStr">
        <is>
          <t>No</t>
        </is>
      </c>
      <c r="M157">
        <f>IF(A157="","",IF(K157="Yes","Actual","Plan"))</f>
        <v/>
      </c>
      <c r="N157" t="n">
        <v>1</v>
      </c>
    </row>
    <row r="158">
      <c r="A158">
        <f>IF(C158="","","MOV-"&amp;TEXT(ROW()-3,"0000"))</f>
        <v/>
      </c>
      <c r="B158" s="234" t="n"/>
      <c r="E158" s="64" t="n"/>
      <c r="F158" s="64" t="n"/>
      <c r="G158" s="235" t="n"/>
      <c r="J158" t="inlineStr">
        <is>
          <t>Released</t>
        </is>
      </c>
      <c r="K158" t="inlineStr">
        <is>
          <t>No</t>
        </is>
      </c>
      <c r="M158">
        <f>IF(A158="","",IF(K158="Yes","Actual","Plan"))</f>
        <v/>
      </c>
      <c r="N158" t="n">
        <v>1</v>
      </c>
    </row>
    <row r="159">
      <c r="A159">
        <f>IF(C159="","","MOV-"&amp;TEXT(ROW()-3,"0000"))</f>
        <v/>
      </c>
      <c r="B159" s="234" t="n"/>
      <c r="E159" s="64" t="n"/>
      <c r="F159" s="64" t="n"/>
      <c r="G159" s="235" t="n"/>
      <c r="J159" t="inlineStr">
        <is>
          <t>Released</t>
        </is>
      </c>
      <c r="K159" t="inlineStr">
        <is>
          <t>No</t>
        </is>
      </c>
      <c r="M159">
        <f>IF(A159="","",IF(K159="Yes","Actual","Plan"))</f>
        <v/>
      </c>
      <c r="N159" t="n">
        <v>1</v>
      </c>
    </row>
    <row r="160">
      <c r="A160">
        <f>IF(C160="","","MOV-"&amp;TEXT(ROW()-3,"0000"))</f>
        <v/>
      </c>
      <c r="B160" s="234" t="n"/>
      <c r="E160" s="64" t="n"/>
      <c r="F160" s="64" t="n"/>
      <c r="G160" s="235" t="n"/>
      <c r="J160" t="inlineStr">
        <is>
          <t>Released</t>
        </is>
      </c>
      <c r="K160" t="inlineStr">
        <is>
          <t>No</t>
        </is>
      </c>
      <c r="M160">
        <f>IF(A160="","",IF(K160="Yes","Actual","Plan"))</f>
        <v/>
      </c>
      <c r="N160" t="n">
        <v>1</v>
      </c>
    </row>
    <row r="161">
      <c r="A161">
        <f>IF(C161="","","MOV-"&amp;TEXT(ROW()-3,"0000"))</f>
        <v/>
      </c>
      <c r="B161" s="234" t="n"/>
      <c r="E161" s="64" t="n"/>
      <c r="F161" s="64" t="n"/>
      <c r="G161" s="235" t="n"/>
      <c r="J161" t="inlineStr">
        <is>
          <t>Released</t>
        </is>
      </c>
      <c r="K161" t="inlineStr">
        <is>
          <t>No</t>
        </is>
      </c>
      <c r="M161">
        <f>IF(A161="","",IF(K161="Yes","Actual","Plan"))</f>
        <v/>
      </c>
      <c r="N161" t="n">
        <v>1</v>
      </c>
    </row>
    <row r="162">
      <c r="A162">
        <f>IF(C162="","","MOV-"&amp;TEXT(ROW()-3,"0000"))</f>
        <v/>
      </c>
      <c r="B162" s="234" t="n"/>
      <c r="E162" s="64" t="n"/>
      <c r="F162" s="64" t="n"/>
      <c r="G162" s="235" t="n"/>
      <c r="J162" t="inlineStr">
        <is>
          <t>Released</t>
        </is>
      </c>
      <c r="K162" t="inlineStr">
        <is>
          <t>No</t>
        </is>
      </c>
      <c r="M162">
        <f>IF(A162="","",IF(K162="Yes","Actual","Plan"))</f>
        <v/>
      </c>
      <c r="N162" t="n">
        <v>1</v>
      </c>
    </row>
    <row r="163">
      <c r="A163">
        <f>IF(C163="","","MOV-"&amp;TEXT(ROW()-3,"0000"))</f>
        <v/>
      </c>
      <c r="B163" s="234" t="n"/>
      <c r="E163" s="64" t="n"/>
      <c r="F163" s="64" t="n"/>
      <c r="G163" s="235" t="n"/>
      <c r="J163" t="inlineStr">
        <is>
          <t>Released</t>
        </is>
      </c>
      <c r="K163" t="inlineStr">
        <is>
          <t>No</t>
        </is>
      </c>
      <c r="M163">
        <f>IF(A163="","",IF(K163="Yes","Actual","Plan"))</f>
        <v/>
      </c>
      <c r="N163" t="n">
        <v>1</v>
      </c>
    </row>
    <row r="164">
      <c r="A164">
        <f>IF(C164="","","MOV-"&amp;TEXT(ROW()-3,"0000"))</f>
        <v/>
      </c>
      <c r="B164" s="234" t="n"/>
      <c r="E164" s="64" t="n"/>
      <c r="F164" s="64" t="n"/>
      <c r="G164" s="235" t="n"/>
      <c r="J164" t="inlineStr">
        <is>
          <t>Released</t>
        </is>
      </c>
      <c r="K164" t="inlineStr">
        <is>
          <t>No</t>
        </is>
      </c>
      <c r="M164">
        <f>IF(A164="","",IF(K164="Yes","Actual","Plan"))</f>
        <v/>
      </c>
      <c r="N164" t="n">
        <v>1</v>
      </c>
    </row>
    <row r="165">
      <c r="A165">
        <f>IF(C165="","","MOV-"&amp;TEXT(ROW()-3,"0000"))</f>
        <v/>
      </c>
      <c r="B165" s="234" t="n"/>
      <c r="E165" s="64" t="n"/>
      <c r="F165" s="64" t="n"/>
      <c r="G165" s="235" t="n"/>
      <c r="J165" t="inlineStr">
        <is>
          <t>Released</t>
        </is>
      </c>
      <c r="K165" t="inlineStr">
        <is>
          <t>No</t>
        </is>
      </c>
      <c r="M165">
        <f>IF(A165="","",IF(K165="Yes","Actual","Plan"))</f>
        <v/>
      </c>
      <c r="N165" t="n">
        <v>1</v>
      </c>
    </row>
    <row r="166">
      <c r="A166">
        <f>IF(C166="","","MOV-"&amp;TEXT(ROW()-3,"0000"))</f>
        <v/>
      </c>
      <c r="B166" s="234" t="n"/>
      <c r="E166" s="64" t="n"/>
      <c r="F166" s="64" t="n"/>
      <c r="G166" s="235" t="n"/>
      <c r="J166" t="inlineStr">
        <is>
          <t>Released</t>
        </is>
      </c>
      <c r="K166" t="inlineStr">
        <is>
          <t>No</t>
        </is>
      </c>
      <c r="M166">
        <f>IF(A166="","",IF(K166="Yes","Actual","Plan"))</f>
        <v/>
      </c>
      <c r="N166" t="n">
        <v>1</v>
      </c>
    </row>
    <row r="167">
      <c r="A167">
        <f>IF(C167="","","MOV-"&amp;TEXT(ROW()-3,"0000"))</f>
        <v/>
      </c>
      <c r="B167" s="234" t="n"/>
      <c r="E167" s="64" t="n"/>
      <c r="F167" s="64" t="n"/>
      <c r="G167" s="235" t="n"/>
      <c r="J167" t="inlineStr">
        <is>
          <t>Released</t>
        </is>
      </c>
      <c r="K167" t="inlineStr">
        <is>
          <t>No</t>
        </is>
      </c>
      <c r="M167">
        <f>IF(A167="","",IF(K167="Yes","Actual","Plan"))</f>
        <v/>
      </c>
      <c r="N167" t="n">
        <v>1</v>
      </c>
    </row>
    <row r="168">
      <c r="A168">
        <f>IF(C168="","","MOV-"&amp;TEXT(ROW()-3,"0000"))</f>
        <v/>
      </c>
      <c r="B168" s="234" t="n"/>
      <c r="E168" s="64" t="n"/>
      <c r="F168" s="64" t="n"/>
      <c r="G168" s="235" t="n"/>
      <c r="J168" t="inlineStr">
        <is>
          <t>Released</t>
        </is>
      </c>
      <c r="K168" t="inlineStr">
        <is>
          <t>No</t>
        </is>
      </c>
      <c r="M168">
        <f>IF(A168="","",IF(K168="Yes","Actual","Plan"))</f>
        <v/>
      </c>
      <c r="N168" t="n">
        <v>1</v>
      </c>
    </row>
    <row r="169">
      <c r="A169">
        <f>IF(C169="","","MOV-"&amp;TEXT(ROW()-3,"0000"))</f>
        <v/>
      </c>
      <c r="B169" s="234" t="n"/>
      <c r="E169" s="64" t="n"/>
      <c r="F169" s="64" t="n"/>
      <c r="G169" s="235" t="n"/>
      <c r="J169" t="inlineStr">
        <is>
          <t>Released</t>
        </is>
      </c>
      <c r="K169" t="inlineStr">
        <is>
          <t>No</t>
        </is>
      </c>
      <c r="M169">
        <f>IF(A169="","",IF(K169="Yes","Actual","Plan"))</f>
        <v/>
      </c>
      <c r="N169" t="n">
        <v>1</v>
      </c>
    </row>
    <row r="170">
      <c r="A170">
        <f>IF(C170="","","MOV-"&amp;TEXT(ROW()-3,"0000"))</f>
        <v/>
      </c>
      <c r="B170" s="234" t="n"/>
      <c r="E170" s="64" t="n"/>
      <c r="F170" s="64" t="n"/>
      <c r="G170" s="235" t="n"/>
      <c r="J170" t="inlineStr">
        <is>
          <t>Released</t>
        </is>
      </c>
      <c r="K170" t="inlineStr">
        <is>
          <t>No</t>
        </is>
      </c>
      <c r="M170">
        <f>IF(A170="","",IF(K170="Yes","Actual","Plan"))</f>
        <v/>
      </c>
      <c r="N170" t="n">
        <v>1</v>
      </c>
    </row>
    <row r="171">
      <c r="A171">
        <f>IF(C171="","","MOV-"&amp;TEXT(ROW()-3,"0000"))</f>
        <v/>
      </c>
      <c r="B171" s="234" t="n"/>
      <c r="E171" s="64" t="n"/>
      <c r="F171" s="64" t="n"/>
      <c r="G171" s="235" t="n"/>
      <c r="J171" t="inlineStr">
        <is>
          <t>Released</t>
        </is>
      </c>
      <c r="K171" t="inlineStr">
        <is>
          <t>No</t>
        </is>
      </c>
      <c r="M171">
        <f>IF(A171="","",IF(K171="Yes","Actual","Plan"))</f>
        <v/>
      </c>
      <c r="N171" t="n">
        <v>1</v>
      </c>
    </row>
    <row r="172">
      <c r="A172">
        <f>IF(C172="","","MOV-"&amp;TEXT(ROW()-3,"0000"))</f>
        <v/>
      </c>
      <c r="B172" s="234" t="n"/>
      <c r="E172" s="64" t="n"/>
      <c r="F172" s="64" t="n"/>
      <c r="G172" s="235" t="n"/>
      <c r="J172" t="inlineStr">
        <is>
          <t>Released</t>
        </is>
      </c>
      <c r="K172" t="inlineStr">
        <is>
          <t>No</t>
        </is>
      </c>
      <c r="M172">
        <f>IF(A172="","",IF(K172="Yes","Actual","Plan"))</f>
        <v/>
      </c>
      <c r="N172" t="n">
        <v>1</v>
      </c>
    </row>
    <row r="173">
      <c r="A173">
        <f>IF(C173="","","MOV-"&amp;TEXT(ROW()-3,"0000"))</f>
        <v/>
      </c>
      <c r="B173" s="234" t="n"/>
      <c r="E173" s="64" t="n"/>
      <c r="F173" s="64" t="n"/>
      <c r="G173" s="235" t="n"/>
      <c r="J173" t="inlineStr">
        <is>
          <t>Released</t>
        </is>
      </c>
      <c r="K173" t="inlineStr">
        <is>
          <t>No</t>
        </is>
      </c>
      <c r="M173">
        <f>IF(A173="","",IF(K173="Yes","Actual","Plan"))</f>
        <v/>
      </c>
      <c r="N173" t="n">
        <v>1</v>
      </c>
    </row>
    <row r="174">
      <c r="A174">
        <f>IF(C174="","","MOV-"&amp;TEXT(ROW()-3,"0000"))</f>
        <v/>
      </c>
      <c r="B174" s="234" t="n"/>
      <c r="E174" s="64" t="n"/>
      <c r="F174" s="64" t="n"/>
      <c r="G174" s="235" t="n"/>
      <c r="J174" t="inlineStr">
        <is>
          <t>Released</t>
        </is>
      </c>
      <c r="K174" t="inlineStr">
        <is>
          <t>No</t>
        </is>
      </c>
      <c r="M174">
        <f>IF(A174="","",IF(K174="Yes","Actual","Plan"))</f>
        <v/>
      </c>
      <c r="N174" t="n">
        <v>1</v>
      </c>
    </row>
    <row r="175">
      <c r="A175">
        <f>IF(C175="","","MOV-"&amp;TEXT(ROW()-3,"0000"))</f>
        <v/>
      </c>
      <c r="B175" s="234" t="n"/>
      <c r="E175" s="64" t="n"/>
      <c r="F175" s="64" t="n"/>
      <c r="G175" s="235" t="n"/>
      <c r="J175" t="inlineStr">
        <is>
          <t>Released</t>
        </is>
      </c>
      <c r="K175" t="inlineStr">
        <is>
          <t>No</t>
        </is>
      </c>
      <c r="M175">
        <f>IF(A175="","",IF(K175="Yes","Actual","Plan"))</f>
        <v/>
      </c>
      <c r="N175" t="n">
        <v>1</v>
      </c>
    </row>
    <row r="176">
      <c r="A176">
        <f>IF(C176="","","MOV-"&amp;TEXT(ROW()-3,"0000"))</f>
        <v/>
      </c>
      <c r="B176" s="234" t="n"/>
      <c r="E176" s="64" t="n"/>
      <c r="F176" s="64" t="n"/>
      <c r="G176" s="235" t="n"/>
      <c r="J176" t="inlineStr">
        <is>
          <t>Released</t>
        </is>
      </c>
      <c r="K176" t="inlineStr">
        <is>
          <t>No</t>
        </is>
      </c>
      <c r="M176">
        <f>IF(A176="","",IF(K176="Yes","Actual","Plan"))</f>
        <v/>
      </c>
      <c r="N176" t="n">
        <v>1</v>
      </c>
    </row>
    <row r="177">
      <c r="A177">
        <f>IF(C177="","","MOV-"&amp;TEXT(ROW()-3,"0000"))</f>
        <v/>
      </c>
      <c r="B177" s="234" t="n"/>
      <c r="E177" s="64" t="n"/>
      <c r="F177" s="64" t="n"/>
      <c r="G177" s="235" t="n"/>
      <c r="J177" t="inlineStr">
        <is>
          <t>Released</t>
        </is>
      </c>
      <c r="K177" t="inlineStr">
        <is>
          <t>No</t>
        </is>
      </c>
      <c r="M177">
        <f>IF(A177="","",IF(K177="Yes","Actual","Plan"))</f>
        <v/>
      </c>
      <c r="N177" t="n">
        <v>1</v>
      </c>
    </row>
    <row r="178">
      <c r="A178">
        <f>IF(C178="","","MOV-"&amp;TEXT(ROW()-3,"0000"))</f>
        <v/>
      </c>
      <c r="B178" s="234" t="n"/>
      <c r="E178" s="64" t="n"/>
      <c r="F178" s="64" t="n"/>
      <c r="G178" s="235" t="n"/>
      <c r="J178" t="inlineStr">
        <is>
          <t>Released</t>
        </is>
      </c>
      <c r="K178" t="inlineStr">
        <is>
          <t>No</t>
        </is>
      </c>
      <c r="M178">
        <f>IF(A178="","",IF(K178="Yes","Actual","Plan"))</f>
        <v/>
      </c>
      <c r="N178" t="n">
        <v>1</v>
      </c>
    </row>
    <row r="179">
      <c r="A179">
        <f>IF(C179="","","MOV-"&amp;TEXT(ROW()-3,"0000"))</f>
        <v/>
      </c>
      <c r="B179" s="234" t="n"/>
      <c r="E179" s="64" t="n"/>
      <c r="F179" s="64" t="n"/>
      <c r="G179" s="235" t="n"/>
      <c r="J179" t="inlineStr">
        <is>
          <t>Released</t>
        </is>
      </c>
      <c r="K179" t="inlineStr">
        <is>
          <t>No</t>
        </is>
      </c>
      <c r="M179">
        <f>IF(A179="","",IF(K179="Yes","Actual","Plan"))</f>
        <v/>
      </c>
      <c r="N179" t="n">
        <v>1</v>
      </c>
    </row>
    <row r="180">
      <c r="A180">
        <f>IF(C180="","","MOV-"&amp;TEXT(ROW()-3,"0000"))</f>
        <v/>
      </c>
      <c r="B180" s="234" t="n"/>
      <c r="E180" s="64" t="n"/>
      <c r="F180" s="64" t="n"/>
      <c r="G180" s="235" t="n"/>
      <c r="J180" t="inlineStr">
        <is>
          <t>Released</t>
        </is>
      </c>
      <c r="K180" t="inlineStr">
        <is>
          <t>No</t>
        </is>
      </c>
      <c r="M180">
        <f>IF(A180="","",IF(K180="Yes","Actual","Plan"))</f>
        <v/>
      </c>
      <c r="N180" t="n">
        <v>1</v>
      </c>
    </row>
    <row r="181">
      <c r="A181">
        <f>IF(C181="","","MOV-"&amp;TEXT(ROW()-3,"0000"))</f>
        <v/>
      </c>
      <c r="B181" s="234" t="n"/>
      <c r="E181" s="64" t="n"/>
      <c r="F181" s="64" t="n"/>
      <c r="G181" s="235" t="n"/>
      <c r="J181" t="inlineStr">
        <is>
          <t>Released</t>
        </is>
      </c>
      <c r="K181" t="inlineStr">
        <is>
          <t>No</t>
        </is>
      </c>
      <c r="M181">
        <f>IF(A181="","",IF(K181="Yes","Actual","Plan"))</f>
        <v/>
      </c>
      <c r="N181" t="n">
        <v>1</v>
      </c>
    </row>
    <row r="182">
      <c r="A182">
        <f>IF(C182="","","MOV-"&amp;TEXT(ROW()-3,"0000"))</f>
        <v/>
      </c>
      <c r="B182" s="234" t="n"/>
      <c r="E182" s="64" t="n"/>
      <c r="F182" s="64" t="n"/>
      <c r="G182" s="235" t="n"/>
      <c r="J182" t="inlineStr">
        <is>
          <t>Released</t>
        </is>
      </c>
      <c r="K182" t="inlineStr">
        <is>
          <t>No</t>
        </is>
      </c>
      <c r="M182">
        <f>IF(A182="","",IF(K182="Yes","Actual","Plan"))</f>
        <v/>
      </c>
      <c r="N182" t="n">
        <v>1</v>
      </c>
    </row>
    <row r="183">
      <c r="A183">
        <f>IF(C183="","","MOV-"&amp;TEXT(ROW()-3,"0000"))</f>
        <v/>
      </c>
      <c r="B183" s="234" t="n"/>
      <c r="E183" s="64" t="n"/>
      <c r="F183" s="64" t="n"/>
      <c r="G183" s="235" t="n"/>
      <c r="J183" t="inlineStr">
        <is>
          <t>Released</t>
        </is>
      </c>
      <c r="K183" t="inlineStr">
        <is>
          <t>No</t>
        </is>
      </c>
      <c r="M183">
        <f>IF(A183="","",IF(K183="Yes","Actual","Plan"))</f>
        <v/>
      </c>
      <c r="N183" t="n">
        <v>1</v>
      </c>
    </row>
    <row r="184">
      <c r="A184">
        <f>IF(C184="","","MOV-"&amp;TEXT(ROW()-3,"0000"))</f>
        <v/>
      </c>
      <c r="B184" s="234" t="n"/>
      <c r="E184" s="64" t="n"/>
      <c r="F184" s="64" t="n"/>
      <c r="G184" s="235" t="n"/>
      <c r="J184" t="inlineStr">
        <is>
          <t>Released</t>
        </is>
      </c>
      <c r="K184" t="inlineStr">
        <is>
          <t>No</t>
        </is>
      </c>
      <c r="M184">
        <f>IF(A184="","",IF(K184="Yes","Actual","Plan"))</f>
        <v/>
      </c>
      <c r="N184" t="n">
        <v>1</v>
      </c>
    </row>
    <row r="185">
      <c r="A185">
        <f>IF(C185="","","MOV-"&amp;TEXT(ROW()-3,"0000"))</f>
        <v/>
      </c>
      <c r="B185" s="234" t="n"/>
      <c r="E185" s="64" t="n"/>
      <c r="F185" s="64" t="n"/>
      <c r="G185" s="235" t="n"/>
      <c r="J185" t="inlineStr">
        <is>
          <t>Released</t>
        </is>
      </c>
      <c r="K185" t="inlineStr">
        <is>
          <t>No</t>
        </is>
      </c>
      <c r="M185">
        <f>IF(A185="","",IF(K185="Yes","Actual","Plan"))</f>
        <v/>
      </c>
      <c r="N185" t="n">
        <v>1</v>
      </c>
    </row>
    <row r="186">
      <c r="A186">
        <f>IF(C186="","","MOV-"&amp;TEXT(ROW()-3,"0000"))</f>
        <v/>
      </c>
      <c r="B186" s="234" t="n"/>
      <c r="E186" s="64" t="n"/>
      <c r="F186" s="64" t="n"/>
      <c r="G186" s="235" t="n"/>
      <c r="J186" t="inlineStr">
        <is>
          <t>Released</t>
        </is>
      </c>
      <c r="K186" t="inlineStr">
        <is>
          <t>No</t>
        </is>
      </c>
      <c r="M186">
        <f>IF(A186="","",IF(K186="Yes","Actual","Plan"))</f>
        <v/>
      </c>
      <c r="N186" t="n">
        <v>1</v>
      </c>
    </row>
    <row r="187">
      <c r="A187">
        <f>IF(C187="","","MOV-"&amp;TEXT(ROW()-3,"0000"))</f>
        <v/>
      </c>
      <c r="B187" s="234" t="n"/>
      <c r="E187" s="64" t="n"/>
      <c r="F187" s="64" t="n"/>
      <c r="G187" s="235" t="n"/>
      <c r="J187" t="inlineStr">
        <is>
          <t>Released</t>
        </is>
      </c>
      <c r="K187" t="inlineStr">
        <is>
          <t>No</t>
        </is>
      </c>
      <c r="M187">
        <f>IF(A187="","",IF(K187="Yes","Actual","Plan"))</f>
        <v/>
      </c>
      <c r="N187" t="n">
        <v>1</v>
      </c>
    </row>
    <row r="188">
      <c r="A188">
        <f>IF(C188="","","MOV-"&amp;TEXT(ROW()-3,"0000"))</f>
        <v/>
      </c>
      <c r="B188" s="234" t="n"/>
      <c r="E188" s="64" t="n"/>
      <c r="F188" s="64" t="n"/>
      <c r="G188" s="235" t="n"/>
      <c r="J188" t="inlineStr">
        <is>
          <t>Released</t>
        </is>
      </c>
      <c r="K188" t="inlineStr">
        <is>
          <t>No</t>
        </is>
      </c>
      <c r="M188">
        <f>IF(A188="","",IF(K188="Yes","Actual","Plan"))</f>
        <v/>
      </c>
      <c r="N188" t="n">
        <v>1</v>
      </c>
    </row>
    <row r="189">
      <c r="A189">
        <f>IF(C189="","","MOV-"&amp;TEXT(ROW()-3,"0000"))</f>
        <v/>
      </c>
      <c r="B189" s="234" t="n"/>
      <c r="E189" s="64" t="n"/>
      <c r="F189" s="64" t="n"/>
      <c r="G189" s="235" t="n"/>
      <c r="J189" t="inlineStr">
        <is>
          <t>Released</t>
        </is>
      </c>
      <c r="K189" t="inlineStr">
        <is>
          <t>No</t>
        </is>
      </c>
      <c r="M189">
        <f>IF(A189="","",IF(K189="Yes","Actual","Plan"))</f>
        <v/>
      </c>
      <c r="N189" t="n">
        <v>1</v>
      </c>
    </row>
    <row r="190">
      <c r="A190">
        <f>IF(C190="","","MOV-"&amp;TEXT(ROW()-3,"0000"))</f>
        <v/>
      </c>
      <c r="B190" s="234" t="n"/>
      <c r="E190" s="64" t="n"/>
      <c r="F190" s="64" t="n"/>
      <c r="G190" s="235" t="n"/>
      <c r="J190" t="inlineStr">
        <is>
          <t>Released</t>
        </is>
      </c>
      <c r="K190" t="inlineStr">
        <is>
          <t>No</t>
        </is>
      </c>
      <c r="M190">
        <f>IF(A190="","",IF(K190="Yes","Actual","Plan"))</f>
        <v/>
      </c>
      <c r="N190" t="n">
        <v>1</v>
      </c>
    </row>
    <row r="191">
      <c r="A191">
        <f>IF(C191="","","MOV-"&amp;TEXT(ROW()-3,"0000"))</f>
        <v/>
      </c>
      <c r="B191" s="234" t="n"/>
      <c r="E191" s="64" t="n"/>
      <c r="F191" s="64" t="n"/>
      <c r="G191" s="235" t="n"/>
      <c r="J191" t="inlineStr">
        <is>
          <t>Released</t>
        </is>
      </c>
      <c r="K191" t="inlineStr">
        <is>
          <t>No</t>
        </is>
      </c>
      <c r="M191">
        <f>IF(A191="","",IF(K191="Yes","Actual","Plan"))</f>
        <v/>
      </c>
      <c r="N191" t="n">
        <v>1</v>
      </c>
    </row>
    <row r="192">
      <c r="A192">
        <f>IF(C192="","","MOV-"&amp;TEXT(ROW()-3,"0000"))</f>
        <v/>
      </c>
      <c r="B192" s="234" t="n"/>
      <c r="E192" s="64" t="n"/>
      <c r="F192" s="64" t="n"/>
      <c r="G192" s="235" t="n"/>
      <c r="J192" t="inlineStr">
        <is>
          <t>Released</t>
        </is>
      </c>
      <c r="K192" t="inlineStr">
        <is>
          <t>No</t>
        </is>
      </c>
      <c r="M192">
        <f>IF(A192="","",IF(K192="Yes","Actual","Plan"))</f>
        <v/>
      </c>
      <c r="N192" t="n">
        <v>1</v>
      </c>
    </row>
    <row r="193">
      <c r="A193">
        <f>IF(C193="","","MOV-"&amp;TEXT(ROW()-3,"0000"))</f>
        <v/>
      </c>
      <c r="B193" s="234" t="n"/>
      <c r="E193" s="64" t="n"/>
      <c r="F193" s="64" t="n"/>
      <c r="G193" s="235" t="n"/>
      <c r="J193" t="inlineStr">
        <is>
          <t>Released</t>
        </is>
      </c>
      <c r="K193" t="inlineStr">
        <is>
          <t>No</t>
        </is>
      </c>
      <c r="M193">
        <f>IF(A193="","",IF(K193="Yes","Actual","Plan"))</f>
        <v/>
      </c>
      <c r="N193" t="n">
        <v>1</v>
      </c>
    </row>
    <row r="194">
      <c r="A194">
        <f>IF(C194="","","MOV-"&amp;TEXT(ROW()-3,"0000"))</f>
        <v/>
      </c>
      <c r="B194" s="234" t="n"/>
      <c r="E194" s="64" t="n"/>
      <c r="F194" s="64" t="n"/>
      <c r="G194" s="235" t="n"/>
      <c r="J194" t="inlineStr">
        <is>
          <t>Released</t>
        </is>
      </c>
      <c r="K194" t="inlineStr">
        <is>
          <t>No</t>
        </is>
      </c>
      <c r="M194">
        <f>IF(A194="","",IF(K194="Yes","Actual","Plan"))</f>
        <v/>
      </c>
      <c r="N194" t="n">
        <v>1</v>
      </c>
    </row>
    <row r="195">
      <c r="A195">
        <f>IF(C195="","","MOV-"&amp;TEXT(ROW()-3,"0000"))</f>
        <v/>
      </c>
      <c r="B195" s="234" t="n"/>
      <c r="E195" s="64" t="n"/>
      <c r="F195" s="64" t="n"/>
      <c r="G195" s="235" t="n"/>
      <c r="J195" t="inlineStr">
        <is>
          <t>Released</t>
        </is>
      </c>
      <c r="K195" t="inlineStr">
        <is>
          <t>No</t>
        </is>
      </c>
      <c r="M195">
        <f>IF(A195="","",IF(K195="Yes","Actual","Plan"))</f>
        <v/>
      </c>
      <c r="N195" t="n">
        <v>1</v>
      </c>
    </row>
    <row r="196">
      <c r="A196">
        <f>IF(C196="","","MOV-"&amp;TEXT(ROW()-3,"0000"))</f>
        <v/>
      </c>
      <c r="B196" s="234" t="n"/>
      <c r="E196" s="64" t="n"/>
      <c r="F196" s="64" t="n"/>
      <c r="G196" s="235" t="n"/>
      <c r="J196" t="inlineStr">
        <is>
          <t>Released</t>
        </is>
      </c>
      <c r="K196" t="inlineStr">
        <is>
          <t>No</t>
        </is>
      </c>
      <c r="M196">
        <f>IF(A196="","",IF(K196="Yes","Actual","Plan"))</f>
        <v/>
      </c>
      <c r="N196" t="n">
        <v>1</v>
      </c>
    </row>
    <row r="197">
      <c r="A197">
        <f>IF(C197="","","MOV-"&amp;TEXT(ROW()-3,"0000"))</f>
        <v/>
      </c>
      <c r="B197" s="234" t="n"/>
      <c r="E197" s="64" t="n"/>
      <c r="F197" s="64" t="n"/>
      <c r="G197" s="235" t="n"/>
      <c r="J197" t="inlineStr">
        <is>
          <t>Released</t>
        </is>
      </c>
      <c r="K197" t="inlineStr">
        <is>
          <t>No</t>
        </is>
      </c>
      <c r="M197">
        <f>IF(A197="","",IF(K197="Yes","Actual","Plan"))</f>
        <v/>
      </c>
      <c r="N197" t="n">
        <v>1</v>
      </c>
    </row>
    <row r="198">
      <c r="A198">
        <f>IF(C198="","","MOV-"&amp;TEXT(ROW()-3,"0000"))</f>
        <v/>
      </c>
      <c r="B198" s="234" t="n"/>
      <c r="E198" s="64" t="n"/>
      <c r="F198" s="64" t="n"/>
      <c r="G198" s="235" t="n"/>
      <c r="J198" t="inlineStr">
        <is>
          <t>Released</t>
        </is>
      </c>
      <c r="K198" t="inlineStr">
        <is>
          <t>No</t>
        </is>
      </c>
      <c r="M198">
        <f>IF(A198="","",IF(K198="Yes","Actual","Plan"))</f>
        <v/>
      </c>
      <c r="N198" t="n">
        <v>1</v>
      </c>
    </row>
    <row r="199">
      <c r="A199">
        <f>IF(C199="","","MOV-"&amp;TEXT(ROW()-3,"0000"))</f>
        <v/>
      </c>
      <c r="B199" s="234" t="n"/>
      <c r="E199" s="64" t="n"/>
      <c r="F199" s="64" t="n"/>
      <c r="G199" s="235" t="n"/>
      <c r="J199" t="inlineStr">
        <is>
          <t>Released</t>
        </is>
      </c>
      <c r="K199" t="inlineStr">
        <is>
          <t>No</t>
        </is>
      </c>
      <c r="M199">
        <f>IF(A199="","",IF(K199="Yes","Actual","Plan"))</f>
        <v/>
      </c>
      <c r="N199" t="n">
        <v>1</v>
      </c>
    </row>
    <row r="200">
      <c r="A200">
        <f>IF(C200="","","MOV-"&amp;TEXT(ROW()-3,"0000"))</f>
        <v/>
      </c>
      <c r="B200" s="234" t="n"/>
      <c r="E200" s="64" t="n"/>
      <c r="F200" s="64" t="n"/>
      <c r="G200" s="235" t="n"/>
      <c r="J200" t="inlineStr">
        <is>
          <t>Released</t>
        </is>
      </c>
      <c r="K200" t="inlineStr">
        <is>
          <t>No</t>
        </is>
      </c>
      <c r="M200">
        <f>IF(A200="","",IF(K200="Yes","Actual","Plan"))</f>
        <v/>
      </c>
      <c r="N200" t="n">
        <v>1</v>
      </c>
    </row>
    <row r="201">
      <c r="A201">
        <f>IF(C201="","","MOV-"&amp;TEXT(ROW()-3,"0000"))</f>
        <v/>
      </c>
      <c r="B201" s="234" t="n"/>
      <c r="E201" s="64" t="n"/>
      <c r="F201" s="64" t="n"/>
      <c r="G201" s="235" t="n"/>
      <c r="J201" t="inlineStr">
        <is>
          <t>Released</t>
        </is>
      </c>
      <c r="K201" t="inlineStr">
        <is>
          <t>No</t>
        </is>
      </c>
      <c r="M201">
        <f>IF(A201="","",IF(K201="Yes","Actual","Plan"))</f>
        <v/>
      </c>
      <c r="N201" t="n">
        <v>1</v>
      </c>
    </row>
    <row r="202">
      <c r="A202">
        <f>IF(C202="","","MOV-"&amp;TEXT(ROW()-3,"0000"))</f>
        <v/>
      </c>
      <c r="B202" s="234" t="n"/>
      <c r="E202" s="64" t="n"/>
      <c r="F202" s="64" t="n"/>
      <c r="G202" s="235" t="n"/>
      <c r="J202" t="inlineStr">
        <is>
          <t>Released</t>
        </is>
      </c>
      <c r="K202" t="inlineStr">
        <is>
          <t>No</t>
        </is>
      </c>
      <c r="M202">
        <f>IF(A202="","",IF(K202="Yes","Actual","Plan"))</f>
        <v/>
      </c>
      <c r="N202" t="n">
        <v>1</v>
      </c>
    </row>
    <row r="203">
      <c r="A203">
        <f>IF(C203="","","MOV-"&amp;TEXT(ROW()-3,"0000"))</f>
        <v/>
      </c>
      <c r="B203" s="234" t="n"/>
      <c r="E203" s="64" t="n"/>
      <c r="F203" s="64" t="n"/>
      <c r="G203" s="235" t="n"/>
      <c r="J203" t="inlineStr">
        <is>
          <t>Released</t>
        </is>
      </c>
      <c r="K203" t="inlineStr">
        <is>
          <t>No</t>
        </is>
      </c>
      <c r="M203">
        <f>IF(A203="","",IF(K203="Yes","Actual","Plan"))</f>
        <v/>
      </c>
      <c r="N203" t="n">
        <v>1</v>
      </c>
    </row>
  </sheetData>
  <mergeCells count="1">
    <mergeCell ref="A1:L1"/>
  </mergeCells>
  <dataValidations count="3">
    <dataValidation sqref="D4:D203" showDropDown="0" showInputMessage="0" showErrorMessage="0" allowBlank="0" type="list">
      <formula1>"Receipt,Issue,Adjustment+,Adjustment-,Return"</formula1>
    </dataValidation>
    <dataValidation sqref="J4:J203" showDropDown="0" showInputMessage="0" showErrorMessage="0" allowBlank="0" type="list">
      <formula1>"Released,Hold,Rejected"</formula1>
    </dataValidation>
    <dataValidation sqref="K4:K203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3.80000019073486"/>
  <sheetData>
    <row r="1" ht="21" customHeight="1" s="88">
      <c r="A1" s="180" t="inlineStr">
        <is>
          <t>Reservation Ledger · committed demand allocation before FIFO issue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</row>
    <row r="3">
      <c r="A3" s="231" t="inlineStr">
        <is>
          <t>Reservation ID</t>
        </is>
      </c>
      <c r="B3" s="231" t="inlineStr">
        <is>
          <t>Order ID</t>
        </is>
      </c>
      <c r="C3" s="231" t="inlineStr">
        <is>
          <t>Order Rev</t>
        </is>
      </c>
      <c r="D3" s="231" t="inlineStr">
        <is>
          <t>Job Card</t>
        </is>
      </c>
      <c r="E3" s="231" t="inlineStr">
        <is>
          <t>SKU</t>
        </is>
      </c>
      <c r="F3" s="231" t="inlineStr">
        <is>
          <t>Qty Required</t>
        </is>
      </c>
      <c r="G3" s="231" t="inlineStr">
        <is>
          <t>Qty Reserved</t>
        </is>
      </c>
      <c r="H3" s="231" t="inlineStr">
        <is>
          <t>Status</t>
        </is>
      </c>
      <c r="I3" s="231" t="inlineStr">
        <is>
          <t>Release / Issue Ref</t>
        </is>
      </c>
      <c r="J3" s="231" t="inlineStr">
        <is>
          <t>Note</t>
        </is>
      </c>
      <c r="K3" s="231" t="inlineStr">
        <is>
          <t>Truth Class</t>
        </is>
      </c>
      <c r="L3" s="231" t="inlineStr">
        <is>
          <t>Revision</t>
        </is>
      </c>
      <c r="M3" s="231" t="inlineStr">
        <is>
          <t>Created At</t>
        </is>
      </c>
      <c r="N3" s="231" t="inlineStr">
        <is>
          <t>Approved By</t>
        </is>
      </c>
    </row>
    <row r="4">
      <c r="A4">
        <f>IF(E4="","","RES-"&amp;TEXT(ROW()-3,"0000"))</f>
        <v/>
      </c>
      <c r="F4" s="64" t="n"/>
      <c r="G4" s="64" t="n"/>
      <c r="H4" t="inlineStr">
        <is>
          <t>Draft</t>
        </is>
      </c>
      <c r="K4">
        <f>IF(A4="","",IF(H4="Consumed","Actual",IF(H4="Active","Committed","Plan")))</f>
        <v/>
      </c>
      <c r="L4" t="n">
        <v>1</v>
      </c>
    </row>
    <row r="5">
      <c r="A5">
        <f>IF(E5="","","RES-"&amp;TEXT(ROW()-3,"0000"))</f>
        <v/>
      </c>
      <c r="F5" s="64" t="n"/>
      <c r="G5" s="64" t="n"/>
      <c r="H5" t="inlineStr">
        <is>
          <t>Draft</t>
        </is>
      </c>
      <c r="K5">
        <f>IF(A5="","",IF(H5="Consumed","Actual",IF(H5="Active","Committed","Plan")))</f>
        <v/>
      </c>
      <c r="L5" t="n">
        <v>1</v>
      </c>
    </row>
    <row r="6">
      <c r="A6">
        <f>IF(E6="","","RES-"&amp;TEXT(ROW()-3,"0000"))</f>
        <v/>
      </c>
      <c r="F6" s="64" t="n"/>
      <c r="G6" s="64" t="n"/>
      <c r="H6" t="inlineStr">
        <is>
          <t>Draft</t>
        </is>
      </c>
      <c r="K6">
        <f>IF(A6="","",IF(H6="Consumed","Actual",IF(H6="Active","Committed","Plan")))</f>
        <v/>
      </c>
      <c r="L6" t="n">
        <v>1</v>
      </c>
    </row>
    <row r="7">
      <c r="A7">
        <f>IF(E7="","","RES-"&amp;TEXT(ROW()-3,"0000"))</f>
        <v/>
      </c>
      <c r="F7" s="64" t="n"/>
      <c r="G7" s="64" t="n"/>
      <c r="H7" t="inlineStr">
        <is>
          <t>Draft</t>
        </is>
      </c>
      <c r="K7">
        <f>IF(A7="","",IF(H7="Consumed","Actual",IF(H7="Active","Committed","Plan")))</f>
        <v/>
      </c>
      <c r="L7" t="n">
        <v>1</v>
      </c>
    </row>
    <row r="8">
      <c r="A8">
        <f>IF(E8="","","RES-"&amp;TEXT(ROW()-3,"0000"))</f>
        <v/>
      </c>
      <c r="F8" s="64" t="n"/>
      <c r="G8" s="64" t="n"/>
      <c r="H8" t="inlineStr">
        <is>
          <t>Draft</t>
        </is>
      </c>
      <c r="K8">
        <f>IF(A8="","",IF(H8="Consumed","Actual",IF(H8="Active","Committed","Plan")))</f>
        <v/>
      </c>
      <c r="L8" t="n">
        <v>1</v>
      </c>
    </row>
    <row r="9">
      <c r="A9">
        <f>IF(E9="","","RES-"&amp;TEXT(ROW()-3,"0000"))</f>
        <v/>
      </c>
      <c r="F9" s="64" t="n"/>
      <c r="G9" s="64" t="n"/>
      <c r="H9" t="inlineStr">
        <is>
          <t>Draft</t>
        </is>
      </c>
      <c r="K9">
        <f>IF(A9="","",IF(H9="Consumed","Actual",IF(H9="Active","Committed","Plan")))</f>
        <v/>
      </c>
      <c r="L9" t="n">
        <v>1</v>
      </c>
    </row>
    <row r="10">
      <c r="A10">
        <f>IF(E10="","","RES-"&amp;TEXT(ROW()-3,"0000"))</f>
        <v/>
      </c>
      <c r="F10" s="64" t="n"/>
      <c r="G10" s="64" t="n"/>
      <c r="H10" t="inlineStr">
        <is>
          <t>Draft</t>
        </is>
      </c>
      <c r="K10">
        <f>IF(A10="","",IF(H10="Consumed","Actual",IF(H10="Active","Committed","Plan")))</f>
        <v/>
      </c>
      <c r="L10" t="n">
        <v>1</v>
      </c>
    </row>
    <row r="11">
      <c r="A11">
        <f>IF(E11="","","RES-"&amp;TEXT(ROW()-3,"0000"))</f>
        <v/>
      </c>
      <c r="F11" s="64" t="n"/>
      <c r="G11" s="64" t="n"/>
      <c r="H11" t="inlineStr">
        <is>
          <t>Draft</t>
        </is>
      </c>
      <c r="K11">
        <f>IF(A11="","",IF(H11="Consumed","Actual",IF(H11="Active","Committed","Plan")))</f>
        <v/>
      </c>
      <c r="L11" t="n">
        <v>1</v>
      </c>
    </row>
    <row r="12">
      <c r="A12">
        <f>IF(E12="","","RES-"&amp;TEXT(ROW()-3,"0000"))</f>
        <v/>
      </c>
      <c r="F12" s="64" t="n"/>
      <c r="G12" s="64" t="n"/>
      <c r="H12" t="inlineStr">
        <is>
          <t>Draft</t>
        </is>
      </c>
      <c r="K12">
        <f>IF(A12="","",IF(H12="Consumed","Actual",IF(H12="Active","Committed","Plan")))</f>
        <v/>
      </c>
      <c r="L12" t="n">
        <v>1</v>
      </c>
    </row>
    <row r="13">
      <c r="A13">
        <f>IF(E13="","","RES-"&amp;TEXT(ROW()-3,"0000"))</f>
        <v/>
      </c>
      <c r="F13" s="64" t="n"/>
      <c r="G13" s="64" t="n"/>
      <c r="H13" t="inlineStr">
        <is>
          <t>Draft</t>
        </is>
      </c>
      <c r="K13">
        <f>IF(A13="","",IF(H13="Consumed","Actual",IF(H13="Active","Committed","Plan")))</f>
        <v/>
      </c>
      <c r="L13" t="n">
        <v>1</v>
      </c>
    </row>
    <row r="14">
      <c r="A14">
        <f>IF(E14="","","RES-"&amp;TEXT(ROW()-3,"0000"))</f>
        <v/>
      </c>
      <c r="F14" s="64" t="n"/>
      <c r="G14" s="64" t="n"/>
      <c r="H14" t="inlineStr">
        <is>
          <t>Draft</t>
        </is>
      </c>
      <c r="K14">
        <f>IF(A14="","",IF(H14="Consumed","Actual",IF(H14="Active","Committed","Plan")))</f>
        <v/>
      </c>
      <c r="L14" t="n">
        <v>1</v>
      </c>
    </row>
    <row r="15">
      <c r="A15">
        <f>IF(E15="","","RES-"&amp;TEXT(ROW()-3,"0000"))</f>
        <v/>
      </c>
      <c r="F15" s="64" t="n"/>
      <c r="G15" s="64" t="n"/>
      <c r="H15" t="inlineStr">
        <is>
          <t>Draft</t>
        </is>
      </c>
      <c r="K15">
        <f>IF(A15="","",IF(H15="Consumed","Actual",IF(H15="Active","Committed","Plan")))</f>
        <v/>
      </c>
      <c r="L15" t="n">
        <v>1</v>
      </c>
    </row>
    <row r="16">
      <c r="A16">
        <f>IF(E16="","","RES-"&amp;TEXT(ROW()-3,"0000"))</f>
        <v/>
      </c>
      <c r="F16" s="64" t="n"/>
      <c r="G16" s="64" t="n"/>
      <c r="H16" t="inlineStr">
        <is>
          <t>Draft</t>
        </is>
      </c>
      <c r="K16">
        <f>IF(A16="","",IF(H16="Consumed","Actual",IF(H16="Active","Committed","Plan")))</f>
        <v/>
      </c>
      <c r="L16" t="n">
        <v>1</v>
      </c>
    </row>
    <row r="17">
      <c r="A17">
        <f>IF(E17="","","RES-"&amp;TEXT(ROW()-3,"0000"))</f>
        <v/>
      </c>
      <c r="F17" s="64" t="n"/>
      <c r="G17" s="64" t="n"/>
      <c r="H17" t="inlineStr">
        <is>
          <t>Draft</t>
        </is>
      </c>
      <c r="K17">
        <f>IF(A17="","",IF(H17="Consumed","Actual",IF(H17="Active","Committed","Plan")))</f>
        <v/>
      </c>
      <c r="L17" t="n">
        <v>1</v>
      </c>
    </row>
    <row r="18">
      <c r="A18">
        <f>IF(E18="","","RES-"&amp;TEXT(ROW()-3,"0000"))</f>
        <v/>
      </c>
      <c r="F18" s="64" t="n"/>
      <c r="G18" s="64" t="n"/>
      <c r="H18" t="inlineStr">
        <is>
          <t>Draft</t>
        </is>
      </c>
      <c r="K18">
        <f>IF(A18="","",IF(H18="Consumed","Actual",IF(H18="Active","Committed","Plan")))</f>
        <v/>
      </c>
      <c r="L18" t="n">
        <v>1</v>
      </c>
    </row>
    <row r="19">
      <c r="A19">
        <f>IF(E19="","","RES-"&amp;TEXT(ROW()-3,"0000"))</f>
        <v/>
      </c>
      <c r="F19" s="64" t="n"/>
      <c r="G19" s="64" t="n"/>
      <c r="H19" t="inlineStr">
        <is>
          <t>Draft</t>
        </is>
      </c>
      <c r="K19">
        <f>IF(A19="","",IF(H19="Consumed","Actual",IF(H19="Active","Committed","Plan")))</f>
        <v/>
      </c>
      <c r="L19" t="n">
        <v>1</v>
      </c>
    </row>
    <row r="20">
      <c r="A20">
        <f>IF(E20="","","RES-"&amp;TEXT(ROW()-3,"0000"))</f>
        <v/>
      </c>
      <c r="F20" s="64" t="n"/>
      <c r="G20" s="64" t="n"/>
      <c r="H20" t="inlineStr">
        <is>
          <t>Draft</t>
        </is>
      </c>
      <c r="K20">
        <f>IF(A20="","",IF(H20="Consumed","Actual",IF(H20="Active","Committed","Plan")))</f>
        <v/>
      </c>
      <c r="L20" t="n">
        <v>1</v>
      </c>
    </row>
    <row r="21">
      <c r="A21">
        <f>IF(E21="","","RES-"&amp;TEXT(ROW()-3,"0000"))</f>
        <v/>
      </c>
      <c r="F21" s="64" t="n"/>
      <c r="G21" s="64" t="n"/>
      <c r="H21" t="inlineStr">
        <is>
          <t>Draft</t>
        </is>
      </c>
      <c r="K21">
        <f>IF(A21="","",IF(H21="Consumed","Actual",IF(H21="Active","Committed","Plan")))</f>
        <v/>
      </c>
      <c r="L21" t="n">
        <v>1</v>
      </c>
    </row>
    <row r="22">
      <c r="A22">
        <f>IF(E22="","","RES-"&amp;TEXT(ROW()-3,"0000"))</f>
        <v/>
      </c>
      <c r="F22" s="64" t="n"/>
      <c r="G22" s="64" t="n"/>
      <c r="H22" t="inlineStr">
        <is>
          <t>Draft</t>
        </is>
      </c>
      <c r="K22">
        <f>IF(A22="","",IF(H22="Consumed","Actual",IF(H22="Active","Committed","Plan")))</f>
        <v/>
      </c>
      <c r="L22" t="n">
        <v>1</v>
      </c>
    </row>
    <row r="23">
      <c r="A23">
        <f>IF(E23="","","RES-"&amp;TEXT(ROW()-3,"0000"))</f>
        <v/>
      </c>
      <c r="F23" s="64" t="n"/>
      <c r="G23" s="64" t="n"/>
      <c r="H23" t="inlineStr">
        <is>
          <t>Draft</t>
        </is>
      </c>
      <c r="K23">
        <f>IF(A23="","",IF(H23="Consumed","Actual",IF(H23="Active","Committed","Plan")))</f>
        <v/>
      </c>
      <c r="L23" t="n">
        <v>1</v>
      </c>
    </row>
    <row r="24">
      <c r="A24">
        <f>IF(E24="","","RES-"&amp;TEXT(ROW()-3,"0000"))</f>
        <v/>
      </c>
      <c r="F24" s="64" t="n"/>
      <c r="G24" s="64" t="n"/>
      <c r="H24" t="inlineStr">
        <is>
          <t>Draft</t>
        </is>
      </c>
      <c r="K24">
        <f>IF(A24="","",IF(H24="Consumed","Actual",IF(H24="Active","Committed","Plan")))</f>
        <v/>
      </c>
      <c r="L24" t="n">
        <v>1</v>
      </c>
    </row>
    <row r="25">
      <c r="A25">
        <f>IF(E25="","","RES-"&amp;TEXT(ROW()-3,"0000"))</f>
        <v/>
      </c>
      <c r="F25" s="64" t="n"/>
      <c r="G25" s="64" t="n"/>
      <c r="H25" t="inlineStr">
        <is>
          <t>Draft</t>
        </is>
      </c>
      <c r="K25">
        <f>IF(A25="","",IF(H25="Consumed","Actual",IF(H25="Active","Committed","Plan")))</f>
        <v/>
      </c>
      <c r="L25" t="n">
        <v>1</v>
      </c>
    </row>
    <row r="26">
      <c r="A26">
        <f>IF(E26="","","RES-"&amp;TEXT(ROW()-3,"0000"))</f>
        <v/>
      </c>
      <c r="F26" s="64" t="n"/>
      <c r="G26" s="64" t="n"/>
      <c r="H26" t="inlineStr">
        <is>
          <t>Draft</t>
        </is>
      </c>
      <c r="K26">
        <f>IF(A26="","",IF(H26="Consumed","Actual",IF(H26="Active","Committed","Plan")))</f>
        <v/>
      </c>
      <c r="L26" t="n">
        <v>1</v>
      </c>
    </row>
    <row r="27">
      <c r="A27">
        <f>IF(E27="","","RES-"&amp;TEXT(ROW()-3,"0000"))</f>
        <v/>
      </c>
      <c r="F27" s="64" t="n"/>
      <c r="G27" s="64" t="n"/>
      <c r="H27" t="inlineStr">
        <is>
          <t>Draft</t>
        </is>
      </c>
      <c r="K27">
        <f>IF(A27="","",IF(H27="Consumed","Actual",IF(H27="Active","Committed","Plan")))</f>
        <v/>
      </c>
      <c r="L27" t="n">
        <v>1</v>
      </c>
    </row>
    <row r="28">
      <c r="A28">
        <f>IF(E28="","","RES-"&amp;TEXT(ROW()-3,"0000"))</f>
        <v/>
      </c>
      <c r="F28" s="64" t="n"/>
      <c r="G28" s="64" t="n"/>
      <c r="H28" t="inlineStr">
        <is>
          <t>Draft</t>
        </is>
      </c>
      <c r="K28">
        <f>IF(A28="","",IF(H28="Consumed","Actual",IF(H28="Active","Committed","Plan")))</f>
        <v/>
      </c>
      <c r="L28" t="n">
        <v>1</v>
      </c>
    </row>
    <row r="29">
      <c r="A29">
        <f>IF(E29="","","RES-"&amp;TEXT(ROW()-3,"0000"))</f>
        <v/>
      </c>
      <c r="F29" s="64" t="n"/>
      <c r="G29" s="64" t="n"/>
      <c r="H29" t="inlineStr">
        <is>
          <t>Draft</t>
        </is>
      </c>
      <c r="K29">
        <f>IF(A29="","",IF(H29="Consumed","Actual",IF(H29="Active","Committed","Plan")))</f>
        <v/>
      </c>
      <c r="L29" t="n">
        <v>1</v>
      </c>
    </row>
    <row r="30">
      <c r="A30">
        <f>IF(E30="","","RES-"&amp;TEXT(ROW()-3,"0000"))</f>
        <v/>
      </c>
      <c r="F30" s="64" t="n"/>
      <c r="G30" s="64" t="n"/>
      <c r="H30" t="inlineStr">
        <is>
          <t>Draft</t>
        </is>
      </c>
      <c r="K30">
        <f>IF(A30="","",IF(H30="Consumed","Actual",IF(H30="Active","Committed","Plan")))</f>
        <v/>
      </c>
      <c r="L30" t="n">
        <v>1</v>
      </c>
    </row>
    <row r="31">
      <c r="A31">
        <f>IF(E31="","","RES-"&amp;TEXT(ROW()-3,"0000"))</f>
        <v/>
      </c>
      <c r="F31" s="64" t="n"/>
      <c r="G31" s="64" t="n"/>
      <c r="H31" t="inlineStr">
        <is>
          <t>Draft</t>
        </is>
      </c>
      <c r="K31">
        <f>IF(A31="","",IF(H31="Consumed","Actual",IF(H31="Active","Committed","Plan")))</f>
        <v/>
      </c>
      <c r="L31" t="n">
        <v>1</v>
      </c>
    </row>
    <row r="32">
      <c r="A32">
        <f>IF(E32="","","RES-"&amp;TEXT(ROW()-3,"0000"))</f>
        <v/>
      </c>
      <c r="F32" s="64" t="n"/>
      <c r="G32" s="64" t="n"/>
      <c r="H32" t="inlineStr">
        <is>
          <t>Draft</t>
        </is>
      </c>
      <c r="K32">
        <f>IF(A32="","",IF(H32="Consumed","Actual",IF(H32="Active","Committed","Plan")))</f>
        <v/>
      </c>
      <c r="L32" t="n">
        <v>1</v>
      </c>
    </row>
    <row r="33">
      <c r="A33">
        <f>IF(E33="","","RES-"&amp;TEXT(ROW()-3,"0000"))</f>
        <v/>
      </c>
      <c r="F33" s="64" t="n"/>
      <c r="G33" s="64" t="n"/>
      <c r="H33" t="inlineStr">
        <is>
          <t>Draft</t>
        </is>
      </c>
      <c r="K33">
        <f>IF(A33="","",IF(H33="Consumed","Actual",IF(H33="Active","Committed","Plan")))</f>
        <v/>
      </c>
      <c r="L33" t="n">
        <v>1</v>
      </c>
    </row>
    <row r="34">
      <c r="A34">
        <f>IF(E34="","","RES-"&amp;TEXT(ROW()-3,"0000"))</f>
        <v/>
      </c>
      <c r="F34" s="64" t="n"/>
      <c r="G34" s="64" t="n"/>
      <c r="H34" t="inlineStr">
        <is>
          <t>Draft</t>
        </is>
      </c>
      <c r="K34">
        <f>IF(A34="","",IF(H34="Consumed","Actual",IF(H34="Active","Committed","Plan")))</f>
        <v/>
      </c>
      <c r="L34" t="n">
        <v>1</v>
      </c>
    </row>
    <row r="35">
      <c r="A35">
        <f>IF(E35="","","RES-"&amp;TEXT(ROW()-3,"0000"))</f>
        <v/>
      </c>
      <c r="F35" s="64" t="n"/>
      <c r="G35" s="64" t="n"/>
      <c r="H35" t="inlineStr">
        <is>
          <t>Draft</t>
        </is>
      </c>
      <c r="K35">
        <f>IF(A35="","",IF(H35="Consumed","Actual",IF(H35="Active","Committed","Plan")))</f>
        <v/>
      </c>
      <c r="L35" t="n">
        <v>1</v>
      </c>
    </row>
    <row r="36">
      <c r="A36">
        <f>IF(E36="","","RES-"&amp;TEXT(ROW()-3,"0000"))</f>
        <v/>
      </c>
      <c r="F36" s="64" t="n"/>
      <c r="G36" s="64" t="n"/>
      <c r="H36" t="inlineStr">
        <is>
          <t>Draft</t>
        </is>
      </c>
      <c r="K36">
        <f>IF(A36="","",IF(H36="Consumed","Actual",IF(H36="Active","Committed","Plan")))</f>
        <v/>
      </c>
      <c r="L36" t="n">
        <v>1</v>
      </c>
    </row>
    <row r="37">
      <c r="A37">
        <f>IF(E37="","","RES-"&amp;TEXT(ROW()-3,"0000"))</f>
        <v/>
      </c>
      <c r="F37" s="64" t="n"/>
      <c r="G37" s="64" t="n"/>
      <c r="H37" t="inlineStr">
        <is>
          <t>Draft</t>
        </is>
      </c>
      <c r="K37">
        <f>IF(A37="","",IF(H37="Consumed","Actual",IF(H37="Active","Committed","Plan")))</f>
        <v/>
      </c>
      <c r="L37" t="n">
        <v>1</v>
      </c>
    </row>
    <row r="38">
      <c r="A38">
        <f>IF(E38="","","RES-"&amp;TEXT(ROW()-3,"0000"))</f>
        <v/>
      </c>
      <c r="F38" s="64" t="n"/>
      <c r="G38" s="64" t="n"/>
      <c r="H38" t="inlineStr">
        <is>
          <t>Draft</t>
        </is>
      </c>
      <c r="K38">
        <f>IF(A38="","",IF(H38="Consumed","Actual",IF(H38="Active","Committed","Plan")))</f>
        <v/>
      </c>
      <c r="L38" t="n">
        <v>1</v>
      </c>
    </row>
    <row r="39">
      <c r="A39">
        <f>IF(E39="","","RES-"&amp;TEXT(ROW()-3,"0000"))</f>
        <v/>
      </c>
      <c r="F39" s="64" t="n"/>
      <c r="G39" s="64" t="n"/>
      <c r="H39" t="inlineStr">
        <is>
          <t>Draft</t>
        </is>
      </c>
      <c r="K39">
        <f>IF(A39="","",IF(H39="Consumed","Actual",IF(H39="Active","Committed","Plan")))</f>
        <v/>
      </c>
      <c r="L39" t="n">
        <v>1</v>
      </c>
    </row>
    <row r="40">
      <c r="A40">
        <f>IF(E40="","","RES-"&amp;TEXT(ROW()-3,"0000"))</f>
        <v/>
      </c>
      <c r="F40" s="64" t="n"/>
      <c r="G40" s="64" t="n"/>
      <c r="H40" t="inlineStr">
        <is>
          <t>Draft</t>
        </is>
      </c>
      <c r="K40">
        <f>IF(A40="","",IF(H40="Consumed","Actual",IF(H40="Active","Committed","Plan")))</f>
        <v/>
      </c>
      <c r="L40" t="n">
        <v>1</v>
      </c>
    </row>
    <row r="41">
      <c r="A41">
        <f>IF(E41="","","RES-"&amp;TEXT(ROW()-3,"0000"))</f>
        <v/>
      </c>
      <c r="F41" s="64" t="n"/>
      <c r="G41" s="64" t="n"/>
      <c r="H41" t="inlineStr">
        <is>
          <t>Draft</t>
        </is>
      </c>
      <c r="K41">
        <f>IF(A41="","",IF(H41="Consumed","Actual",IF(H41="Active","Committed","Plan")))</f>
        <v/>
      </c>
      <c r="L41" t="n">
        <v>1</v>
      </c>
    </row>
    <row r="42">
      <c r="A42">
        <f>IF(E42="","","RES-"&amp;TEXT(ROW()-3,"0000"))</f>
        <v/>
      </c>
      <c r="F42" s="64" t="n"/>
      <c r="G42" s="64" t="n"/>
      <c r="H42" t="inlineStr">
        <is>
          <t>Draft</t>
        </is>
      </c>
      <c r="K42">
        <f>IF(A42="","",IF(H42="Consumed","Actual",IF(H42="Active","Committed","Plan")))</f>
        <v/>
      </c>
      <c r="L42" t="n">
        <v>1</v>
      </c>
    </row>
    <row r="43">
      <c r="A43">
        <f>IF(E43="","","RES-"&amp;TEXT(ROW()-3,"0000"))</f>
        <v/>
      </c>
      <c r="F43" s="64" t="n"/>
      <c r="G43" s="64" t="n"/>
      <c r="H43" t="inlineStr">
        <is>
          <t>Draft</t>
        </is>
      </c>
      <c r="K43">
        <f>IF(A43="","",IF(H43="Consumed","Actual",IF(H43="Active","Committed","Plan")))</f>
        <v/>
      </c>
      <c r="L43" t="n">
        <v>1</v>
      </c>
    </row>
    <row r="44">
      <c r="A44">
        <f>IF(E44="","","RES-"&amp;TEXT(ROW()-3,"0000"))</f>
        <v/>
      </c>
      <c r="F44" s="64" t="n"/>
      <c r="G44" s="64" t="n"/>
      <c r="H44" t="inlineStr">
        <is>
          <t>Draft</t>
        </is>
      </c>
      <c r="K44">
        <f>IF(A44="","",IF(H44="Consumed","Actual",IF(H44="Active","Committed","Plan")))</f>
        <v/>
      </c>
      <c r="L44" t="n">
        <v>1</v>
      </c>
    </row>
    <row r="45">
      <c r="A45">
        <f>IF(E45="","","RES-"&amp;TEXT(ROW()-3,"0000"))</f>
        <v/>
      </c>
      <c r="F45" s="64" t="n"/>
      <c r="G45" s="64" t="n"/>
      <c r="H45" t="inlineStr">
        <is>
          <t>Draft</t>
        </is>
      </c>
      <c r="K45">
        <f>IF(A45="","",IF(H45="Consumed","Actual",IF(H45="Active","Committed","Plan")))</f>
        <v/>
      </c>
      <c r="L45" t="n">
        <v>1</v>
      </c>
    </row>
    <row r="46">
      <c r="A46">
        <f>IF(E46="","","RES-"&amp;TEXT(ROW()-3,"0000"))</f>
        <v/>
      </c>
      <c r="F46" s="64" t="n"/>
      <c r="G46" s="64" t="n"/>
      <c r="H46" t="inlineStr">
        <is>
          <t>Draft</t>
        </is>
      </c>
      <c r="K46">
        <f>IF(A46="","",IF(H46="Consumed","Actual",IF(H46="Active","Committed","Plan")))</f>
        <v/>
      </c>
      <c r="L46" t="n">
        <v>1</v>
      </c>
    </row>
    <row r="47">
      <c r="A47">
        <f>IF(E47="","","RES-"&amp;TEXT(ROW()-3,"0000"))</f>
        <v/>
      </c>
      <c r="F47" s="64" t="n"/>
      <c r="G47" s="64" t="n"/>
      <c r="H47" t="inlineStr">
        <is>
          <t>Draft</t>
        </is>
      </c>
      <c r="K47">
        <f>IF(A47="","",IF(H47="Consumed","Actual",IF(H47="Active","Committed","Plan")))</f>
        <v/>
      </c>
      <c r="L47" t="n">
        <v>1</v>
      </c>
    </row>
    <row r="48">
      <c r="A48">
        <f>IF(E48="","","RES-"&amp;TEXT(ROW()-3,"0000"))</f>
        <v/>
      </c>
      <c r="F48" s="64" t="n"/>
      <c r="G48" s="64" t="n"/>
      <c r="H48" t="inlineStr">
        <is>
          <t>Draft</t>
        </is>
      </c>
      <c r="K48">
        <f>IF(A48="","",IF(H48="Consumed","Actual",IF(H48="Active","Committed","Plan")))</f>
        <v/>
      </c>
      <c r="L48" t="n">
        <v>1</v>
      </c>
    </row>
    <row r="49">
      <c r="A49">
        <f>IF(E49="","","RES-"&amp;TEXT(ROW()-3,"0000"))</f>
        <v/>
      </c>
      <c r="F49" s="64" t="n"/>
      <c r="G49" s="64" t="n"/>
      <c r="H49" t="inlineStr">
        <is>
          <t>Draft</t>
        </is>
      </c>
      <c r="K49">
        <f>IF(A49="","",IF(H49="Consumed","Actual",IF(H49="Active","Committed","Plan")))</f>
        <v/>
      </c>
      <c r="L49" t="n">
        <v>1</v>
      </c>
    </row>
    <row r="50">
      <c r="A50">
        <f>IF(E50="","","RES-"&amp;TEXT(ROW()-3,"0000"))</f>
        <v/>
      </c>
      <c r="F50" s="64" t="n"/>
      <c r="G50" s="64" t="n"/>
      <c r="H50" t="inlineStr">
        <is>
          <t>Draft</t>
        </is>
      </c>
      <c r="K50">
        <f>IF(A50="","",IF(H50="Consumed","Actual",IF(H50="Active","Committed","Plan")))</f>
        <v/>
      </c>
      <c r="L50" t="n">
        <v>1</v>
      </c>
    </row>
    <row r="51">
      <c r="A51">
        <f>IF(E51="","","RES-"&amp;TEXT(ROW()-3,"0000"))</f>
        <v/>
      </c>
      <c r="F51" s="64" t="n"/>
      <c r="G51" s="64" t="n"/>
      <c r="H51" t="inlineStr">
        <is>
          <t>Draft</t>
        </is>
      </c>
      <c r="K51">
        <f>IF(A51="","",IF(H51="Consumed","Actual",IF(H51="Active","Committed","Plan")))</f>
        <v/>
      </c>
      <c r="L51" t="n">
        <v>1</v>
      </c>
    </row>
    <row r="52">
      <c r="A52">
        <f>IF(E52="","","RES-"&amp;TEXT(ROW()-3,"0000"))</f>
        <v/>
      </c>
      <c r="F52" s="64" t="n"/>
      <c r="G52" s="64" t="n"/>
      <c r="H52" t="inlineStr">
        <is>
          <t>Draft</t>
        </is>
      </c>
      <c r="K52">
        <f>IF(A52="","",IF(H52="Consumed","Actual",IF(H52="Active","Committed","Plan")))</f>
        <v/>
      </c>
      <c r="L52" t="n">
        <v>1</v>
      </c>
    </row>
    <row r="53">
      <c r="A53">
        <f>IF(E53="","","RES-"&amp;TEXT(ROW()-3,"0000"))</f>
        <v/>
      </c>
      <c r="F53" s="64" t="n"/>
      <c r="G53" s="64" t="n"/>
      <c r="H53" t="inlineStr">
        <is>
          <t>Draft</t>
        </is>
      </c>
      <c r="K53">
        <f>IF(A53="","",IF(H53="Consumed","Actual",IF(H53="Active","Committed","Plan")))</f>
        <v/>
      </c>
      <c r="L53" t="n">
        <v>1</v>
      </c>
    </row>
    <row r="54">
      <c r="A54">
        <f>IF(E54="","","RES-"&amp;TEXT(ROW()-3,"0000"))</f>
        <v/>
      </c>
      <c r="F54" s="64" t="n"/>
      <c r="G54" s="64" t="n"/>
      <c r="H54" t="inlineStr">
        <is>
          <t>Draft</t>
        </is>
      </c>
      <c r="K54">
        <f>IF(A54="","",IF(H54="Consumed","Actual",IF(H54="Active","Committed","Plan")))</f>
        <v/>
      </c>
      <c r="L54" t="n">
        <v>1</v>
      </c>
    </row>
    <row r="55">
      <c r="A55">
        <f>IF(E55="","","RES-"&amp;TEXT(ROW()-3,"0000"))</f>
        <v/>
      </c>
      <c r="F55" s="64" t="n"/>
      <c r="G55" s="64" t="n"/>
      <c r="H55" t="inlineStr">
        <is>
          <t>Draft</t>
        </is>
      </c>
      <c r="K55">
        <f>IF(A55="","",IF(H55="Consumed","Actual",IF(H55="Active","Committed","Plan")))</f>
        <v/>
      </c>
      <c r="L55" t="n">
        <v>1</v>
      </c>
    </row>
    <row r="56">
      <c r="A56">
        <f>IF(E56="","","RES-"&amp;TEXT(ROW()-3,"0000"))</f>
        <v/>
      </c>
      <c r="F56" s="64" t="n"/>
      <c r="G56" s="64" t="n"/>
      <c r="H56" t="inlineStr">
        <is>
          <t>Draft</t>
        </is>
      </c>
      <c r="K56">
        <f>IF(A56="","",IF(H56="Consumed","Actual",IF(H56="Active","Committed","Plan")))</f>
        <v/>
      </c>
      <c r="L56" t="n">
        <v>1</v>
      </c>
    </row>
    <row r="57">
      <c r="A57">
        <f>IF(E57="","","RES-"&amp;TEXT(ROW()-3,"0000"))</f>
        <v/>
      </c>
      <c r="F57" s="64" t="n"/>
      <c r="G57" s="64" t="n"/>
      <c r="H57" t="inlineStr">
        <is>
          <t>Draft</t>
        </is>
      </c>
      <c r="K57">
        <f>IF(A57="","",IF(H57="Consumed","Actual",IF(H57="Active","Committed","Plan")))</f>
        <v/>
      </c>
      <c r="L57" t="n">
        <v>1</v>
      </c>
    </row>
    <row r="58">
      <c r="A58">
        <f>IF(E58="","","RES-"&amp;TEXT(ROW()-3,"0000"))</f>
        <v/>
      </c>
      <c r="F58" s="64" t="n"/>
      <c r="G58" s="64" t="n"/>
      <c r="H58" t="inlineStr">
        <is>
          <t>Draft</t>
        </is>
      </c>
      <c r="K58">
        <f>IF(A58="","",IF(H58="Consumed","Actual",IF(H58="Active","Committed","Plan")))</f>
        <v/>
      </c>
      <c r="L58" t="n">
        <v>1</v>
      </c>
    </row>
    <row r="59">
      <c r="A59">
        <f>IF(E59="","","RES-"&amp;TEXT(ROW()-3,"0000"))</f>
        <v/>
      </c>
      <c r="F59" s="64" t="n"/>
      <c r="G59" s="64" t="n"/>
      <c r="H59" t="inlineStr">
        <is>
          <t>Draft</t>
        </is>
      </c>
      <c r="K59">
        <f>IF(A59="","",IF(H59="Consumed","Actual",IF(H59="Active","Committed","Plan")))</f>
        <v/>
      </c>
      <c r="L59" t="n">
        <v>1</v>
      </c>
    </row>
    <row r="60">
      <c r="A60">
        <f>IF(E60="","","RES-"&amp;TEXT(ROW()-3,"0000"))</f>
        <v/>
      </c>
      <c r="F60" s="64" t="n"/>
      <c r="G60" s="64" t="n"/>
      <c r="H60" t="inlineStr">
        <is>
          <t>Draft</t>
        </is>
      </c>
      <c r="K60">
        <f>IF(A60="","",IF(H60="Consumed","Actual",IF(H60="Active","Committed","Plan")))</f>
        <v/>
      </c>
      <c r="L60" t="n">
        <v>1</v>
      </c>
    </row>
    <row r="61">
      <c r="A61">
        <f>IF(E61="","","RES-"&amp;TEXT(ROW()-3,"0000"))</f>
        <v/>
      </c>
      <c r="F61" s="64" t="n"/>
      <c r="G61" s="64" t="n"/>
      <c r="H61" t="inlineStr">
        <is>
          <t>Draft</t>
        </is>
      </c>
      <c r="K61">
        <f>IF(A61="","",IF(H61="Consumed","Actual",IF(H61="Active","Committed","Plan")))</f>
        <v/>
      </c>
      <c r="L61" t="n">
        <v>1</v>
      </c>
    </row>
    <row r="62">
      <c r="A62">
        <f>IF(E62="","","RES-"&amp;TEXT(ROW()-3,"0000"))</f>
        <v/>
      </c>
      <c r="F62" s="64" t="n"/>
      <c r="G62" s="64" t="n"/>
      <c r="H62" t="inlineStr">
        <is>
          <t>Draft</t>
        </is>
      </c>
      <c r="K62">
        <f>IF(A62="","",IF(H62="Consumed","Actual",IF(H62="Active","Committed","Plan")))</f>
        <v/>
      </c>
      <c r="L62" t="n">
        <v>1</v>
      </c>
    </row>
    <row r="63">
      <c r="A63">
        <f>IF(E63="","","RES-"&amp;TEXT(ROW()-3,"0000"))</f>
        <v/>
      </c>
      <c r="F63" s="64" t="n"/>
      <c r="G63" s="64" t="n"/>
      <c r="H63" t="inlineStr">
        <is>
          <t>Draft</t>
        </is>
      </c>
      <c r="K63">
        <f>IF(A63="","",IF(H63="Consumed","Actual",IF(H63="Active","Committed","Plan")))</f>
        <v/>
      </c>
      <c r="L63" t="n">
        <v>1</v>
      </c>
    </row>
    <row r="64">
      <c r="A64">
        <f>IF(E64="","","RES-"&amp;TEXT(ROW()-3,"0000"))</f>
        <v/>
      </c>
      <c r="F64" s="64" t="n"/>
      <c r="G64" s="64" t="n"/>
      <c r="H64" t="inlineStr">
        <is>
          <t>Draft</t>
        </is>
      </c>
      <c r="K64">
        <f>IF(A64="","",IF(H64="Consumed","Actual",IF(H64="Active","Committed","Plan")))</f>
        <v/>
      </c>
      <c r="L64" t="n">
        <v>1</v>
      </c>
    </row>
    <row r="65">
      <c r="A65">
        <f>IF(E65="","","RES-"&amp;TEXT(ROW()-3,"0000"))</f>
        <v/>
      </c>
      <c r="F65" s="64" t="n"/>
      <c r="G65" s="64" t="n"/>
      <c r="H65" t="inlineStr">
        <is>
          <t>Draft</t>
        </is>
      </c>
      <c r="K65">
        <f>IF(A65="","",IF(H65="Consumed","Actual",IF(H65="Active","Committed","Plan")))</f>
        <v/>
      </c>
      <c r="L65" t="n">
        <v>1</v>
      </c>
    </row>
    <row r="66">
      <c r="A66">
        <f>IF(E66="","","RES-"&amp;TEXT(ROW()-3,"0000"))</f>
        <v/>
      </c>
      <c r="F66" s="64" t="n"/>
      <c r="G66" s="64" t="n"/>
      <c r="H66" t="inlineStr">
        <is>
          <t>Draft</t>
        </is>
      </c>
      <c r="K66">
        <f>IF(A66="","",IF(H66="Consumed","Actual",IF(H66="Active","Committed","Plan")))</f>
        <v/>
      </c>
      <c r="L66" t="n">
        <v>1</v>
      </c>
    </row>
    <row r="67">
      <c r="A67">
        <f>IF(E67="","","RES-"&amp;TEXT(ROW()-3,"0000"))</f>
        <v/>
      </c>
      <c r="F67" s="64" t="n"/>
      <c r="G67" s="64" t="n"/>
      <c r="H67" t="inlineStr">
        <is>
          <t>Draft</t>
        </is>
      </c>
      <c r="K67">
        <f>IF(A67="","",IF(H67="Consumed","Actual",IF(H67="Active","Committed","Plan")))</f>
        <v/>
      </c>
      <c r="L67" t="n">
        <v>1</v>
      </c>
    </row>
    <row r="68">
      <c r="A68">
        <f>IF(E68="","","RES-"&amp;TEXT(ROW()-3,"0000"))</f>
        <v/>
      </c>
      <c r="F68" s="64" t="n"/>
      <c r="G68" s="64" t="n"/>
      <c r="H68" t="inlineStr">
        <is>
          <t>Draft</t>
        </is>
      </c>
      <c r="K68">
        <f>IF(A68="","",IF(H68="Consumed","Actual",IF(H68="Active","Committed","Plan")))</f>
        <v/>
      </c>
      <c r="L68" t="n">
        <v>1</v>
      </c>
    </row>
    <row r="69">
      <c r="A69">
        <f>IF(E69="","","RES-"&amp;TEXT(ROW()-3,"0000"))</f>
        <v/>
      </c>
      <c r="F69" s="64" t="n"/>
      <c r="G69" s="64" t="n"/>
      <c r="H69" t="inlineStr">
        <is>
          <t>Draft</t>
        </is>
      </c>
      <c r="K69">
        <f>IF(A69="","",IF(H69="Consumed","Actual",IF(H69="Active","Committed","Plan")))</f>
        <v/>
      </c>
      <c r="L69" t="n">
        <v>1</v>
      </c>
    </row>
    <row r="70">
      <c r="A70">
        <f>IF(E70="","","RES-"&amp;TEXT(ROW()-3,"0000"))</f>
        <v/>
      </c>
      <c r="F70" s="64" t="n"/>
      <c r="G70" s="64" t="n"/>
      <c r="H70" t="inlineStr">
        <is>
          <t>Draft</t>
        </is>
      </c>
      <c r="K70">
        <f>IF(A70="","",IF(H70="Consumed","Actual",IF(H70="Active","Committed","Plan")))</f>
        <v/>
      </c>
      <c r="L70" t="n">
        <v>1</v>
      </c>
    </row>
    <row r="71">
      <c r="A71">
        <f>IF(E71="","","RES-"&amp;TEXT(ROW()-3,"0000"))</f>
        <v/>
      </c>
      <c r="F71" s="64" t="n"/>
      <c r="G71" s="64" t="n"/>
      <c r="H71" t="inlineStr">
        <is>
          <t>Draft</t>
        </is>
      </c>
      <c r="K71">
        <f>IF(A71="","",IF(H71="Consumed","Actual",IF(H71="Active","Committed","Plan")))</f>
        <v/>
      </c>
      <c r="L71" t="n">
        <v>1</v>
      </c>
    </row>
    <row r="72">
      <c r="A72">
        <f>IF(E72="","","RES-"&amp;TEXT(ROW()-3,"0000"))</f>
        <v/>
      </c>
      <c r="F72" s="64" t="n"/>
      <c r="G72" s="64" t="n"/>
      <c r="H72" t="inlineStr">
        <is>
          <t>Draft</t>
        </is>
      </c>
      <c r="K72">
        <f>IF(A72="","",IF(H72="Consumed","Actual",IF(H72="Active","Committed","Plan")))</f>
        <v/>
      </c>
      <c r="L72" t="n">
        <v>1</v>
      </c>
    </row>
    <row r="73">
      <c r="A73">
        <f>IF(E73="","","RES-"&amp;TEXT(ROW()-3,"0000"))</f>
        <v/>
      </c>
      <c r="F73" s="64" t="n"/>
      <c r="G73" s="64" t="n"/>
      <c r="H73" t="inlineStr">
        <is>
          <t>Draft</t>
        </is>
      </c>
      <c r="K73">
        <f>IF(A73="","",IF(H73="Consumed","Actual",IF(H73="Active","Committed","Plan")))</f>
        <v/>
      </c>
      <c r="L73" t="n">
        <v>1</v>
      </c>
    </row>
    <row r="74">
      <c r="A74">
        <f>IF(E74="","","RES-"&amp;TEXT(ROW()-3,"0000"))</f>
        <v/>
      </c>
      <c r="F74" s="64" t="n"/>
      <c r="G74" s="64" t="n"/>
      <c r="H74" t="inlineStr">
        <is>
          <t>Draft</t>
        </is>
      </c>
      <c r="K74">
        <f>IF(A74="","",IF(H74="Consumed","Actual",IF(H74="Active","Committed","Plan")))</f>
        <v/>
      </c>
      <c r="L74" t="n">
        <v>1</v>
      </c>
    </row>
    <row r="75">
      <c r="A75">
        <f>IF(E75="","","RES-"&amp;TEXT(ROW()-3,"0000"))</f>
        <v/>
      </c>
      <c r="F75" s="64" t="n"/>
      <c r="G75" s="64" t="n"/>
      <c r="H75" t="inlineStr">
        <is>
          <t>Draft</t>
        </is>
      </c>
      <c r="K75">
        <f>IF(A75="","",IF(H75="Consumed","Actual",IF(H75="Active","Committed","Plan")))</f>
        <v/>
      </c>
      <c r="L75" t="n">
        <v>1</v>
      </c>
    </row>
    <row r="76">
      <c r="A76">
        <f>IF(E76="","","RES-"&amp;TEXT(ROW()-3,"0000"))</f>
        <v/>
      </c>
      <c r="F76" s="64" t="n"/>
      <c r="G76" s="64" t="n"/>
      <c r="H76" t="inlineStr">
        <is>
          <t>Draft</t>
        </is>
      </c>
      <c r="K76">
        <f>IF(A76="","",IF(H76="Consumed","Actual",IF(H76="Active","Committed","Plan")))</f>
        <v/>
      </c>
      <c r="L76" t="n">
        <v>1</v>
      </c>
    </row>
    <row r="77">
      <c r="A77">
        <f>IF(E77="","","RES-"&amp;TEXT(ROW()-3,"0000"))</f>
        <v/>
      </c>
      <c r="F77" s="64" t="n"/>
      <c r="G77" s="64" t="n"/>
      <c r="H77" t="inlineStr">
        <is>
          <t>Draft</t>
        </is>
      </c>
      <c r="K77">
        <f>IF(A77="","",IF(H77="Consumed","Actual",IF(H77="Active","Committed","Plan")))</f>
        <v/>
      </c>
      <c r="L77" t="n">
        <v>1</v>
      </c>
    </row>
    <row r="78">
      <c r="A78">
        <f>IF(E78="","","RES-"&amp;TEXT(ROW()-3,"0000"))</f>
        <v/>
      </c>
      <c r="F78" s="64" t="n"/>
      <c r="G78" s="64" t="n"/>
      <c r="H78" t="inlineStr">
        <is>
          <t>Draft</t>
        </is>
      </c>
      <c r="K78">
        <f>IF(A78="","",IF(H78="Consumed","Actual",IF(H78="Active","Committed","Plan")))</f>
        <v/>
      </c>
      <c r="L78" t="n">
        <v>1</v>
      </c>
    </row>
    <row r="79">
      <c r="A79">
        <f>IF(E79="","","RES-"&amp;TEXT(ROW()-3,"0000"))</f>
        <v/>
      </c>
      <c r="F79" s="64" t="n"/>
      <c r="G79" s="64" t="n"/>
      <c r="H79" t="inlineStr">
        <is>
          <t>Draft</t>
        </is>
      </c>
      <c r="K79">
        <f>IF(A79="","",IF(H79="Consumed","Actual",IF(H79="Active","Committed","Plan")))</f>
        <v/>
      </c>
      <c r="L79" t="n">
        <v>1</v>
      </c>
    </row>
    <row r="80">
      <c r="A80">
        <f>IF(E80="","","RES-"&amp;TEXT(ROW()-3,"0000"))</f>
        <v/>
      </c>
      <c r="F80" s="64" t="n"/>
      <c r="G80" s="64" t="n"/>
      <c r="H80" t="inlineStr">
        <is>
          <t>Draft</t>
        </is>
      </c>
      <c r="K80">
        <f>IF(A80="","",IF(H80="Consumed","Actual",IF(H80="Active","Committed","Plan")))</f>
        <v/>
      </c>
      <c r="L80" t="n">
        <v>1</v>
      </c>
    </row>
    <row r="81">
      <c r="A81">
        <f>IF(E81="","","RES-"&amp;TEXT(ROW()-3,"0000"))</f>
        <v/>
      </c>
      <c r="F81" s="64" t="n"/>
      <c r="G81" s="64" t="n"/>
      <c r="H81" t="inlineStr">
        <is>
          <t>Draft</t>
        </is>
      </c>
      <c r="K81">
        <f>IF(A81="","",IF(H81="Consumed","Actual",IF(H81="Active","Committed","Plan")))</f>
        <v/>
      </c>
      <c r="L81" t="n">
        <v>1</v>
      </c>
    </row>
    <row r="82">
      <c r="A82">
        <f>IF(E82="","","RES-"&amp;TEXT(ROW()-3,"0000"))</f>
        <v/>
      </c>
      <c r="F82" s="64" t="n"/>
      <c r="G82" s="64" t="n"/>
      <c r="H82" t="inlineStr">
        <is>
          <t>Draft</t>
        </is>
      </c>
      <c r="K82">
        <f>IF(A82="","",IF(H82="Consumed","Actual",IF(H82="Active","Committed","Plan")))</f>
        <v/>
      </c>
      <c r="L82" t="n">
        <v>1</v>
      </c>
    </row>
    <row r="83">
      <c r="A83">
        <f>IF(E83="","","RES-"&amp;TEXT(ROW()-3,"0000"))</f>
        <v/>
      </c>
      <c r="F83" s="64" t="n"/>
      <c r="G83" s="64" t="n"/>
      <c r="H83" t="inlineStr">
        <is>
          <t>Draft</t>
        </is>
      </c>
      <c r="K83">
        <f>IF(A83="","",IF(H83="Consumed","Actual",IF(H83="Active","Committed","Plan")))</f>
        <v/>
      </c>
      <c r="L83" t="n">
        <v>1</v>
      </c>
    </row>
    <row r="84">
      <c r="A84">
        <f>IF(E84="","","RES-"&amp;TEXT(ROW()-3,"0000"))</f>
        <v/>
      </c>
      <c r="F84" s="64" t="n"/>
      <c r="G84" s="64" t="n"/>
      <c r="H84" t="inlineStr">
        <is>
          <t>Draft</t>
        </is>
      </c>
      <c r="K84">
        <f>IF(A84="","",IF(H84="Consumed","Actual",IF(H84="Active","Committed","Plan")))</f>
        <v/>
      </c>
      <c r="L84" t="n">
        <v>1</v>
      </c>
    </row>
    <row r="85">
      <c r="A85">
        <f>IF(E85="","","RES-"&amp;TEXT(ROW()-3,"0000"))</f>
        <v/>
      </c>
      <c r="F85" s="64" t="n"/>
      <c r="G85" s="64" t="n"/>
      <c r="H85" t="inlineStr">
        <is>
          <t>Draft</t>
        </is>
      </c>
      <c r="K85">
        <f>IF(A85="","",IF(H85="Consumed","Actual",IF(H85="Active","Committed","Plan")))</f>
        <v/>
      </c>
      <c r="L85" t="n">
        <v>1</v>
      </c>
    </row>
    <row r="86">
      <c r="A86">
        <f>IF(E86="","","RES-"&amp;TEXT(ROW()-3,"0000"))</f>
        <v/>
      </c>
      <c r="F86" s="64" t="n"/>
      <c r="G86" s="64" t="n"/>
      <c r="H86" t="inlineStr">
        <is>
          <t>Draft</t>
        </is>
      </c>
      <c r="K86">
        <f>IF(A86="","",IF(H86="Consumed","Actual",IF(H86="Active","Committed","Plan")))</f>
        <v/>
      </c>
      <c r="L86" t="n">
        <v>1</v>
      </c>
    </row>
    <row r="87">
      <c r="A87">
        <f>IF(E87="","","RES-"&amp;TEXT(ROW()-3,"0000"))</f>
        <v/>
      </c>
      <c r="F87" s="64" t="n"/>
      <c r="G87" s="64" t="n"/>
      <c r="H87" t="inlineStr">
        <is>
          <t>Draft</t>
        </is>
      </c>
      <c r="K87">
        <f>IF(A87="","",IF(H87="Consumed","Actual",IF(H87="Active","Committed","Plan")))</f>
        <v/>
      </c>
      <c r="L87" t="n">
        <v>1</v>
      </c>
    </row>
    <row r="88">
      <c r="A88">
        <f>IF(E88="","","RES-"&amp;TEXT(ROW()-3,"0000"))</f>
        <v/>
      </c>
      <c r="F88" s="64" t="n"/>
      <c r="G88" s="64" t="n"/>
      <c r="H88" t="inlineStr">
        <is>
          <t>Draft</t>
        </is>
      </c>
      <c r="K88">
        <f>IF(A88="","",IF(H88="Consumed","Actual",IF(H88="Active","Committed","Plan")))</f>
        <v/>
      </c>
      <c r="L88" t="n">
        <v>1</v>
      </c>
    </row>
    <row r="89">
      <c r="A89">
        <f>IF(E89="","","RES-"&amp;TEXT(ROW()-3,"0000"))</f>
        <v/>
      </c>
      <c r="F89" s="64" t="n"/>
      <c r="G89" s="64" t="n"/>
      <c r="H89" t="inlineStr">
        <is>
          <t>Draft</t>
        </is>
      </c>
      <c r="K89">
        <f>IF(A89="","",IF(H89="Consumed","Actual",IF(H89="Active","Committed","Plan")))</f>
        <v/>
      </c>
      <c r="L89" t="n">
        <v>1</v>
      </c>
    </row>
    <row r="90">
      <c r="A90">
        <f>IF(E90="","","RES-"&amp;TEXT(ROW()-3,"0000"))</f>
        <v/>
      </c>
      <c r="F90" s="64" t="n"/>
      <c r="G90" s="64" t="n"/>
      <c r="H90" t="inlineStr">
        <is>
          <t>Draft</t>
        </is>
      </c>
      <c r="K90">
        <f>IF(A90="","",IF(H90="Consumed","Actual",IF(H90="Active","Committed","Plan")))</f>
        <v/>
      </c>
      <c r="L90" t="n">
        <v>1</v>
      </c>
    </row>
    <row r="91">
      <c r="A91">
        <f>IF(E91="","","RES-"&amp;TEXT(ROW()-3,"0000"))</f>
        <v/>
      </c>
      <c r="F91" s="64" t="n"/>
      <c r="G91" s="64" t="n"/>
      <c r="H91" t="inlineStr">
        <is>
          <t>Draft</t>
        </is>
      </c>
      <c r="K91">
        <f>IF(A91="","",IF(H91="Consumed","Actual",IF(H91="Active","Committed","Plan")))</f>
        <v/>
      </c>
      <c r="L91" t="n">
        <v>1</v>
      </c>
    </row>
    <row r="92">
      <c r="A92">
        <f>IF(E92="","","RES-"&amp;TEXT(ROW()-3,"0000"))</f>
        <v/>
      </c>
      <c r="F92" s="64" t="n"/>
      <c r="G92" s="64" t="n"/>
      <c r="H92" t="inlineStr">
        <is>
          <t>Draft</t>
        </is>
      </c>
      <c r="K92">
        <f>IF(A92="","",IF(H92="Consumed","Actual",IF(H92="Active","Committed","Plan")))</f>
        <v/>
      </c>
      <c r="L92" t="n">
        <v>1</v>
      </c>
    </row>
    <row r="93">
      <c r="A93">
        <f>IF(E93="","","RES-"&amp;TEXT(ROW()-3,"0000"))</f>
        <v/>
      </c>
      <c r="F93" s="64" t="n"/>
      <c r="G93" s="64" t="n"/>
      <c r="H93" t="inlineStr">
        <is>
          <t>Draft</t>
        </is>
      </c>
      <c r="K93">
        <f>IF(A93="","",IF(H93="Consumed","Actual",IF(H93="Active","Committed","Plan")))</f>
        <v/>
      </c>
      <c r="L93" t="n">
        <v>1</v>
      </c>
    </row>
    <row r="94">
      <c r="A94">
        <f>IF(E94="","","RES-"&amp;TEXT(ROW()-3,"0000"))</f>
        <v/>
      </c>
      <c r="F94" s="64" t="n"/>
      <c r="G94" s="64" t="n"/>
      <c r="H94" t="inlineStr">
        <is>
          <t>Draft</t>
        </is>
      </c>
      <c r="K94">
        <f>IF(A94="","",IF(H94="Consumed","Actual",IF(H94="Active","Committed","Plan")))</f>
        <v/>
      </c>
      <c r="L94" t="n">
        <v>1</v>
      </c>
    </row>
    <row r="95">
      <c r="A95">
        <f>IF(E95="","","RES-"&amp;TEXT(ROW()-3,"0000"))</f>
        <v/>
      </c>
      <c r="F95" s="64" t="n"/>
      <c r="G95" s="64" t="n"/>
      <c r="H95" t="inlineStr">
        <is>
          <t>Draft</t>
        </is>
      </c>
      <c r="K95">
        <f>IF(A95="","",IF(H95="Consumed","Actual",IF(H95="Active","Committed","Plan")))</f>
        <v/>
      </c>
      <c r="L95" t="n">
        <v>1</v>
      </c>
    </row>
    <row r="96">
      <c r="A96">
        <f>IF(E96="","","RES-"&amp;TEXT(ROW()-3,"0000"))</f>
        <v/>
      </c>
      <c r="F96" s="64" t="n"/>
      <c r="G96" s="64" t="n"/>
      <c r="H96" t="inlineStr">
        <is>
          <t>Draft</t>
        </is>
      </c>
      <c r="K96">
        <f>IF(A96="","",IF(H96="Consumed","Actual",IF(H96="Active","Committed","Plan")))</f>
        <v/>
      </c>
      <c r="L96" t="n">
        <v>1</v>
      </c>
    </row>
    <row r="97">
      <c r="A97">
        <f>IF(E97="","","RES-"&amp;TEXT(ROW()-3,"0000"))</f>
        <v/>
      </c>
      <c r="F97" s="64" t="n"/>
      <c r="G97" s="64" t="n"/>
      <c r="H97" t="inlineStr">
        <is>
          <t>Draft</t>
        </is>
      </c>
      <c r="K97">
        <f>IF(A97="","",IF(H97="Consumed","Actual",IF(H97="Active","Committed","Plan")))</f>
        <v/>
      </c>
      <c r="L97" t="n">
        <v>1</v>
      </c>
    </row>
    <row r="98">
      <c r="A98">
        <f>IF(E98="","","RES-"&amp;TEXT(ROW()-3,"0000"))</f>
        <v/>
      </c>
      <c r="F98" s="64" t="n"/>
      <c r="G98" s="64" t="n"/>
      <c r="H98" t="inlineStr">
        <is>
          <t>Draft</t>
        </is>
      </c>
      <c r="K98">
        <f>IF(A98="","",IF(H98="Consumed","Actual",IF(H98="Active","Committed","Plan")))</f>
        <v/>
      </c>
      <c r="L98" t="n">
        <v>1</v>
      </c>
    </row>
    <row r="99">
      <c r="A99">
        <f>IF(E99="","","RES-"&amp;TEXT(ROW()-3,"0000"))</f>
        <v/>
      </c>
      <c r="F99" s="64" t="n"/>
      <c r="G99" s="64" t="n"/>
      <c r="H99" t="inlineStr">
        <is>
          <t>Draft</t>
        </is>
      </c>
      <c r="K99">
        <f>IF(A99="","",IF(H99="Consumed","Actual",IF(H99="Active","Committed","Plan")))</f>
        <v/>
      </c>
      <c r="L99" t="n">
        <v>1</v>
      </c>
    </row>
    <row r="100">
      <c r="A100">
        <f>IF(E100="","","RES-"&amp;TEXT(ROW()-3,"0000"))</f>
        <v/>
      </c>
      <c r="F100" s="64" t="n"/>
      <c r="G100" s="64" t="n"/>
      <c r="H100" t="inlineStr">
        <is>
          <t>Draft</t>
        </is>
      </c>
      <c r="K100">
        <f>IF(A100="","",IF(H100="Consumed","Actual",IF(H100="Active","Committed","Plan")))</f>
        <v/>
      </c>
      <c r="L100" t="n">
        <v>1</v>
      </c>
    </row>
    <row r="101">
      <c r="A101">
        <f>IF(E101="","","RES-"&amp;TEXT(ROW()-3,"0000"))</f>
        <v/>
      </c>
      <c r="F101" s="64" t="n"/>
      <c r="G101" s="64" t="n"/>
      <c r="H101" t="inlineStr">
        <is>
          <t>Draft</t>
        </is>
      </c>
      <c r="K101">
        <f>IF(A101="","",IF(H101="Consumed","Actual",IF(H101="Active","Committed","Plan")))</f>
        <v/>
      </c>
      <c r="L101" t="n">
        <v>1</v>
      </c>
    </row>
    <row r="102">
      <c r="A102">
        <f>IF(E102="","","RES-"&amp;TEXT(ROW()-3,"0000"))</f>
        <v/>
      </c>
      <c r="F102" s="64" t="n"/>
      <c r="G102" s="64" t="n"/>
      <c r="H102" t="inlineStr">
        <is>
          <t>Draft</t>
        </is>
      </c>
      <c r="K102">
        <f>IF(A102="","",IF(H102="Consumed","Actual",IF(H102="Active","Committed","Plan")))</f>
        <v/>
      </c>
      <c r="L102" t="n">
        <v>1</v>
      </c>
    </row>
    <row r="103">
      <c r="A103">
        <f>IF(E103="","","RES-"&amp;TEXT(ROW()-3,"0000"))</f>
        <v/>
      </c>
      <c r="F103" s="64" t="n"/>
      <c r="G103" s="64" t="n"/>
      <c r="H103" t="inlineStr">
        <is>
          <t>Draft</t>
        </is>
      </c>
      <c r="K103">
        <f>IF(A103="","",IF(H103="Consumed","Actual",IF(H103="Active","Committed","Plan")))</f>
        <v/>
      </c>
      <c r="L103" t="n">
        <v>1</v>
      </c>
    </row>
  </sheetData>
  <mergeCells count="1">
    <mergeCell ref="A1:J1"/>
  </mergeCells>
  <dataValidations count="1">
    <dataValidation sqref="H4:H103" showDropDown="0" showInputMessage="0" showErrorMessage="0" allowBlank="0" type="list">
      <formula1>"Draft,Active,Released,Issued,Cancelled"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3.80000019073486"/>
  <cols>
    <col width="16" customWidth="1" style="88" min="1" max="26"/>
  </cols>
  <sheetData>
    <row r="1" ht="21" customHeight="1" s="88">
      <c r="A1" s="180" t="inlineStr">
        <is>
          <t>Master Inventory · canonical balance, ATP, MSL and procurement signal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3">
      <c r="A3" s="62" t="inlineStr">
        <is>
          <t>SKU</t>
        </is>
      </c>
      <c r="B3" s="62" t="inlineStr">
        <is>
          <t>Category</t>
        </is>
      </c>
      <c r="C3" s="62" t="inlineStr">
        <is>
          <t>Item</t>
        </is>
      </c>
      <c r="D3" s="62" t="inlineStr">
        <is>
          <t>Unit Price ₹</t>
        </is>
      </c>
      <c r="E3" s="62" t="inlineStr">
        <is>
          <t>MSL</t>
        </is>
      </c>
      <c r="F3" s="62" t="inlineStr">
        <is>
          <t>Receipts</t>
        </is>
      </c>
      <c r="G3" s="62" t="inlineStr">
        <is>
          <t>Issues</t>
        </is>
      </c>
      <c r="H3" s="62" t="inlineStr">
        <is>
          <t>On Hand</t>
        </is>
      </c>
      <c r="I3" s="62" t="inlineStr">
        <is>
          <t>Active Reservations</t>
        </is>
      </c>
      <c r="J3" s="62" t="inlineStr">
        <is>
          <t>ATP</t>
        </is>
      </c>
      <c r="K3" s="62" t="inlineStr">
        <is>
          <t>Shortage to MSL</t>
        </is>
      </c>
      <c r="L3" s="62" t="inlineStr">
        <is>
          <t>Health</t>
        </is>
      </c>
      <c r="M3" s="62" t="inlineStr">
        <is>
          <t>Suggested Order Qty</t>
        </is>
      </c>
      <c r="N3" s="62" t="inlineStr">
        <is>
          <t>Inventory Value ₹</t>
        </is>
      </c>
    </row>
    <row r="4">
      <c r="A4">
        <f>'Component Catalogue'!G5</f>
        <v/>
      </c>
      <c r="B4">
        <f>'Component Catalogue'!B5</f>
        <v/>
      </c>
      <c r="C4">
        <f>'Component Catalogue'!E5</f>
        <v/>
      </c>
      <c r="D4" s="236">
        <f>'Component Catalogue'!H5</f>
        <v/>
      </c>
      <c r="E4">
        <f>'Component Catalogue'!J5</f>
        <v/>
      </c>
      <c r="F4">
        <f>SUMIFS('Inventory Movements'!$E$4:$E$5003,'Inventory Movements'!$C$4:$C$5003,$A4,'Inventory Movements'!$K$4:$K$5003,"Yes",'Inventory Movements'!$J$4:$J$5003,"Released")</f>
        <v/>
      </c>
      <c r="G4">
        <f>SUMIFS('Inventory Movements'!$F$4:$F$5003,'Inventory Movements'!$C$4:$C$5003,$A4,'Inventory Movements'!$K$4:$K$5003,"Yes")</f>
        <v/>
      </c>
      <c r="H4">
        <f>F4-G4</f>
        <v/>
      </c>
      <c r="I4">
        <f>SUMIFS(Reservations!$G$4:$G$2003,Reservations!$E$4:$E$2003,$A4,Reservations!$H$4:$H$2003,"Active")</f>
        <v/>
      </c>
      <c r="J4">
        <f>MAX(0,H4-I4)</f>
        <v/>
      </c>
      <c r="K4">
        <f>MAX(0,E4-J4)</f>
        <v/>
      </c>
      <c r="L4">
        <f>IF(J4=0,"OUT",IF(J4&lt;E4,"LOW","OK"))</f>
        <v/>
      </c>
      <c r="M4">
        <f>K4</f>
        <v/>
      </c>
      <c r="N4" s="236">
        <f>H4*D4</f>
        <v/>
      </c>
    </row>
    <row r="5">
      <c r="A5">
        <f>'Component Catalogue'!G6</f>
        <v/>
      </c>
      <c r="B5">
        <f>'Component Catalogue'!B6</f>
        <v/>
      </c>
      <c r="C5">
        <f>'Component Catalogue'!E6</f>
        <v/>
      </c>
      <c r="D5" s="236">
        <f>'Component Catalogue'!H6</f>
        <v/>
      </c>
      <c r="E5">
        <f>'Component Catalogue'!J6</f>
        <v/>
      </c>
      <c r="F5">
        <f>SUMIFS('Inventory Movements'!$E$4:$E$5003,'Inventory Movements'!$C$4:$C$5003,$A5,'Inventory Movements'!$K$4:$K$5003,"Yes",'Inventory Movements'!$J$4:$J$5003,"Released")</f>
        <v/>
      </c>
      <c r="G5">
        <f>SUMIFS('Inventory Movements'!$F$4:$F$5003,'Inventory Movements'!$C$4:$C$5003,$A5,'Inventory Movements'!$K$4:$K$5003,"Yes")</f>
        <v/>
      </c>
      <c r="H5">
        <f>F5-G5</f>
        <v/>
      </c>
      <c r="I5">
        <f>SUMIFS(Reservations!$G$4:$G$2003,Reservations!$E$4:$E$2003,$A5,Reservations!$H$4:$H$2003,"Active")</f>
        <v/>
      </c>
      <c r="J5">
        <f>MAX(0,H5-I5)</f>
        <v/>
      </c>
      <c r="K5">
        <f>MAX(0,E5-J5)</f>
        <v/>
      </c>
      <c r="L5">
        <f>IF(J5=0,"OUT",IF(J5&lt;E5,"LOW","OK"))</f>
        <v/>
      </c>
      <c r="M5">
        <f>K5</f>
        <v/>
      </c>
      <c r="N5" s="236">
        <f>H5*D5</f>
        <v/>
      </c>
    </row>
    <row r="6">
      <c r="A6">
        <f>'Component Catalogue'!G7</f>
        <v/>
      </c>
      <c r="B6">
        <f>'Component Catalogue'!B7</f>
        <v/>
      </c>
      <c r="C6">
        <f>'Component Catalogue'!E7</f>
        <v/>
      </c>
      <c r="D6" s="236">
        <f>'Component Catalogue'!H7</f>
        <v/>
      </c>
      <c r="E6">
        <f>'Component Catalogue'!J7</f>
        <v/>
      </c>
      <c r="F6">
        <f>SUMIFS('Inventory Movements'!$E$4:$E$5003,'Inventory Movements'!$C$4:$C$5003,$A6,'Inventory Movements'!$K$4:$K$5003,"Yes",'Inventory Movements'!$J$4:$J$5003,"Released")</f>
        <v/>
      </c>
      <c r="G6">
        <f>SUMIFS('Inventory Movements'!$F$4:$F$5003,'Inventory Movements'!$C$4:$C$5003,$A6,'Inventory Movements'!$K$4:$K$5003,"Yes")</f>
        <v/>
      </c>
      <c r="H6">
        <f>F6-G6</f>
        <v/>
      </c>
      <c r="I6">
        <f>SUMIFS(Reservations!$G$4:$G$2003,Reservations!$E$4:$E$2003,$A6,Reservations!$H$4:$H$2003,"Active")</f>
        <v/>
      </c>
      <c r="J6">
        <f>MAX(0,H6-I6)</f>
        <v/>
      </c>
      <c r="K6">
        <f>MAX(0,E6-J6)</f>
        <v/>
      </c>
      <c r="L6">
        <f>IF(J6=0,"OUT",IF(J6&lt;E6,"LOW","OK"))</f>
        <v/>
      </c>
      <c r="M6">
        <f>K6</f>
        <v/>
      </c>
      <c r="N6" s="236">
        <f>H6*D6</f>
        <v/>
      </c>
    </row>
    <row r="7">
      <c r="A7">
        <f>'Component Catalogue'!G8</f>
        <v/>
      </c>
      <c r="B7">
        <f>'Component Catalogue'!B8</f>
        <v/>
      </c>
      <c r="C7">
        <f>'Component Catalogue'!E8</f>
        <v/>
      </c>
      <c r="D7" s="236">
        <f>'Component Catalogue'!H8</f>
        <v/>
      </c>
      <c r="E7">
        <f>'Component Catalogue'!J8</f>
        <v/>
      </c>
      <c r="F7">
        <f>SUMIFS('Inventory Movements'!$E$4:$E$5003,'Inventory Movements'!$C$4:$C$5003,$A7,'Inventory Movements'!$K$4:$K$5003,"Yes",'Inventory Movements'!$J$4:$J$5003,"Released")</f>
        <v/>
      </c>
      <c r="G7">
        <f>SUMIFS('Inventory Movements'!$F$4:$F$5003,'Inventory Movements'!$C$4:$C$5003,$A7,'Inventory Movements'!$K$4:$K$5003,"Yes")</f>
        <v/>
      </c>
      <c r="H7">
        <f>F7-G7</f>
        <v/>
      </c>
      <c r="I7">
        <f>SUMIFS(Reservations!$G$4:$G$2003,Reservations!$E$4:$E$2003,$A7,Reservations!$H$4:$H$2003,"Active")</f>
        <v/>
      </c>
      <c r="J7">
        <f>MAX(0,H7-I7)</f>
        <v/>
      </c>
      <c r="K7">
        <f>MAX(0,E7-J7)</f>
        <v/>
      </c>
      <c r="L7">
        <f>IF(J7=0,"OUT",IF(J7&lt;E7,"LOW","OK"))</f>
        <v/>
      </c>
      <c r="M7">
        <f>K7</f>
        <v/>
      </c>
      <c r="N7" s="236">
        <f>H7*D7</f>
        <v/>
      </c>
    </row>
    <row r="8">
      <c r="A8">
        <f>'Component Catalogue'!G9</f>
        <v/>
      </c>
      <c r="B8">
        <f>'Component Catalogue'!B9</f>
        <v/>
      </c>
      <c r="C8">
        <f>'Component Catalogue'!E9</f>
        <v/>
      </c>
      <c r="D8" s="236">
        <f>'Component Catalogue'!H9</f>
        <v/>
      </c>
      <c r="E8">
        <f>'Component Catalogue'!J9</f>
        <v/>
      </c>
      <c r="F8">
        <f>SUMIFS('Inventory Movements'!$E$4:$E$5003,'Inventory Movements'!$C$4:$C$5003,$A8,'Inventory Movements'!$K$4:$K$5003,"Yes",'Inventory Movements'!$J$4:$J$5003,"Released")</f>
        <v/>
      </c>
      <c r="G8">
        <f>SUMIFS('Inventory Movements'!$F$4:$F$5003,'Inventory Movements'!$C$4:$C$5003,$A8,'Inventory Movements'!$K$4:$K$5003,"Yes")</f>
        <v/>
      </c>
      <c r="H8">
        <f>F8-G8</f>
        <v/>
      </c>
      <c r="I8">
        <f>SUMIFS(Reservations!$G$4:$G$2003,Reservations!$E$4:$E$2003,$A8,Reservations!$H$4:$H$2003,"Active")</f>
        <v/>
      </c>
      <c r="J8">
        <f>MAX(0,H8-I8)</f>
        <v/>
      </c>
      <c r="K8">
        <f>MAX(0,E8-J8)</f>
        <v/>
      </c>
      <c r="L8">
        <f>IF(J8=0,"OUT",IF(J8&lt;E8,"LOW","OK"))</f>
        <v/>
      </c>
      <c r="M8">
        <f>K8</f>
        <v/>
      </c>
      <c r="N8" s="236">
        <f>H8*D8</f>
        <v/>
      </c>
    </row>
    <row r="9">
      <c r="A9">
        <f>'Component Catalogue'!G10</f>
        <v/>
      </c>
      <c r="B9">
        <f>'Component Catalogue'!B10</f>
        <v/>
      </c>
      <c r="C9">
        <f>'Component Catalogue'!E10</f>
        <v/>
      </c>
      <c r="D9" s="236">
        <f>'Component Catalogue'!H10</f>
        <v/>
      </c>
      <c r="E9">
        <f>'Component Catalogue'!J10</f>
        <v/>
      </c>
      <c r="F9">
        <f>SUMIFS('Inventory Movements'!$E$4:$E$5003,'Inventory Movements'!$C$4:$C$5003,$A9,'Inventory Movements'!$K$4:$K$5003,"Yes",'Inventory Movements'!$J$4:$J$5003,"Released")</f>
        <v/>
      </c>
      <c r="G9">
        <f>SUMIFS('Inventory Movements'!$F$4:$F$5003,'Inventory Movements'!$C$4:$C$5003,$A9,'Inventory Movements'!$K$4:$K$5003,"Yes")</f>
        <v/>
      </c>
      <c r="H9">
        <f>F9-G9</f>
        <v/>
      </c>
      <c r="I9">
        <f>SUMIFS(Reservations!$G$4:$G$2003,Reservations!$E$4:$E$2003,$A9,Reservations!$H$4:$H$2003,"Active")</f>
        <v/>
      </c>
      <c r="J9">
        <f>MAX(0,H9-I9)</f>
        <v/>
      </c>
      <c r="K9">
        <f>MAX(0,E9-J9)</f>
        <v/>
      </c>
      <c r="L9">
        <f>IF(J9=0,"OUT",IF(J9&lt;E9,"LOW","OK"))</f>
        <v/>
      </c>
      <c r="M9">
        <f>K9</f>
        <v/>
      </c>
      <c r="N9" s="236">
        <f>H9*D9</f>
        <v/>
      </c>
    </row>
    <row r="10">
      <c r="A10">
        <f>'Component Catalogue'!G11</f>
        <v/>
      </c>
      <c r="B10">
        <f>'Component Catalogue'!B11</f>
        <v/>
      </c>
      <c r="C10">
        <f>'Component Catalogue'!E11</f>
        <v/>
      </c>
      <c r="D10" s="236">
        <f>'Component Catalogue'!H11</f>
        <v/>
      </c>
      <c r="E10">
        <f>'Component Catalogue'!J11</f>
        <v/>
      </c>
      <c r="F10">
        <f>SUMIFS('Inventory Movements'!$E$4:$E$5003,'Inventory Movements'!$C$4:$C$5003,$A10,'Inventory Movements'!$K$4:$K$5003,"Yes",'Inventory Movements'!$J$4:$J$5003,"Released")</f>
        <v/>
      </c>
      <c r="G10">
        <f>SUMIFS('Inventory Movements'!$F$4:$F$5003,'Inventory Movements'!$C$4:$C$5003,$A10,'Inventory Movements'!$K$4:$K$5003,"Yes")</f>
        <v/>
      </c>
      <c r="H10">
        <f>F10-G10</f>
        <v/>
      </c>
      <c r="I10">
        <f>SUMIFS(Reservations!$G$4:$G$2003,Reservations!$E$4:$E$2003,$A10,Reservations!$H$4:$H$2003,"Active")</f>
        <v/>
      </c>
      <c r="J10">
        <f>MAX(0,H10-I10)</f>
        <v/>
      </c>
      <c r="K10">
        <f>MAX(0,E10-J10)</f>
        <v/>
      </c>
      <c r="L10">
        <f>IF(J10=0,"OUT",IF(J10&lt;E10,"LOW","OK"))</f>
        <v/>
      </c>
      <c r="M10">
        <f>K10</f>
        <v/>
      </c>
      <c r="N10" s="236">
        <f>H10*D10</f>
        <v/>
      </c>
    </row>
    <row r="11">
      <c r="A11">
        <f>'Component Catalogue'!G12</f>
        <v/>
      </c>
      <c r="B11">
        <f>'Component Catalogue'!B12</f>
        <v/>
      </c>
      <c r="C11">
        <f>'Component Catalogue'!E12</f>
        <v/>
      </c>
      <c r="D11" s="236">
        <f>'Component Catalogue'!H12</f>
        <v/>
      </c>
      <c r="E11">
        <f>'Component Catalogue'!J12</f>
        <v/>
      </c>
      <c r="F11">
        <f>SUMIFS('Inventory Movements'!$E$4:$E$5003,'Inventory Movements'!$C$4:$C$5003,$A11,'Inventory Movements'!$K$4:$K$5003,"Yes",'Inventory Movements'!$J$4:$J$5003,"Released")</f>
        <v/>
      </c>
      <c r="G11">
        <f>SUMIFS('Inventory Movements'!$F$4:$F$5003,'Inventory Movements'!$C$4:$C$5003,$A11,'Inventory Movements'!$K$4:$K$5003,"Yes")</f>
        <v/>
      </c>
      <c r="H11">
        <f>F11-G11</f>
        <v/>
      </c>
      <c r="I11">
        <f>SUMIFS(Reservations!$G$4:$G$2003,Reservations!$E$4:$E$2003,$A11,Reservations!$H$4:$H$2003,"Active")</f>
        <v/>
      </c>
      <c r="J11">
        <f>MAX(0,H11-I11)</f>
        <v/>
      </c>
      <c r="K11">
        <f>MAX(0,E11-J11)</f>
        <v/>
      </c>
      <c r="L11">
        <f>IF(J11=0,"OUT",IF(J11&lt;E11,"LOW","OK"))</f>
        <v/>
      </c>
      <c r="M11">
        <f>K11</f>
        <v/>
      </c>
      <c r="N11" s="236">
        <f>H11*D11</f>
        <v/>
      </c>
    </row>
    <row r="12">
      <c r="A12">
        <f>'Component Catalogue'!G13</f>
        <v/>
      </c>
      <c r="B12">
        <f>'Component Catalogue'!B13</f>
        <v/>
      </c>
      <c r="C12">
        <f>'Component Catalogue'!E13</f>
        <v/>
      </c>
      <c r="D12" s="236">
        <f>'Component Catalogue'!H13</f>
        <v/>
      </c>
      <c r="E12">
        <f>'Component Catalogue'!J13</f>
        <v/>
      </c>
      <c r="F12">
        <f>SUMIFS('Inventory Movements'!$E$4:$E$5003,'Inventory Movements'!$C$4:$C$5003,$A12,'Inventory Movements'!$K$4:$K$5003,"Yes",'Inventory Movements'!$J$4:$J$5003,"Released")</f>
        <v/>
      </c>
      <c r="G12">
        <f>SUMIFS('Inventory Movements'!$F$4:$F$5003,'Inventory Movements'!$C$4:$C$5003,$A12,'Inventory Movements'!$K$4:$K$5003,"Yes")</f>
        <v/>
      </c>
      <c r="H12">
        <f>F12-G12</f>
        <v/>
      </c>
      <c r="I12">
        <f>SUMIFS(Reservations!$G$4:$G$2003,Reservations!$E$4:$E$2003,$A12,Reservations!$H$4:$H$2003,"Active")</f>
        <v/>
      </c>
      <c r="J12">
        <f>MAX(0,H12-I12)</f>
        <v/>
      </c>
      <c r="K12">
        <f>MAX(0,E12-J12)</f>
        <v/>
      </c>
      <c r="L12">
        <f>IF(J12=0,"OUT",IF(J12&lt;E12,"LOW","OK"))</f>
        <v/>
      </c>
      <c r="M12">
        <f>K12</f>
        <v/>
      </c>
      <c r="N12" s="236">
        <f>H12*D12</f>
        <v/>
      </c>
    </row>
    <row r="13">
      <c r="A13">
        <f>'Component Catalogue'!G14</f>
        <v/>
      </c>
      <c r="B13">
        <f>'Component Catalogue'!B14</f>
        <v/>
      </c>
      <c r="C13">
        <f>'Component Catalogue'!E14</f>
        <v/>
      </c>
      <c r="D13" s="236">
        <f>'Component Catalogue'!H14</f>
        <v/>
      </c>
      <c r="E13">
        <f>'Component Catalogue'!J14</f>
        <v/>
      </c>
      <c r="F13">
        <f>SUMIFS('Inventory Movements'!$E$4:$E$5003,'Inventory Movements'!$C$4:$C$5003,$A13,'Inventory Movements'!$K$4:$K$5003,"Yes",'Inventory Movements'!$J$4:$J$5003,"Released")</f>
        <v/>
      </c>
      <c r="G13">
        <f>SUMIFS('Inventory Movements'!$F$4:$F$5003,'Inventory Movements'!$C$4:$C$5003,$A13,'Inventory Movements'!$K$4:$K$5003,"Yes")</f>
        <v/>
      </c>
      <c r="H13">
        <f>F13-G13</f>
        <v/>
      </c>
      <c r="I13">
        <f>SUMIFS(Reservations!$G$4:$G$2003,Reservations!$E$4:$E$2003,$A13,Reservations!$H$4:$H$2003,"Active")</f>
        <v/>
      </c>
      <c r="J13">
        <f>MAX(0,H13-I13)</f>
        <v/>
      </c>
      <c r="K13">
        <f>MAX(0,E13-J13)</f>
        <v/>
      </c>
      <c r="L13">
        <f>IF(J13=0,"OUT",IF(J13&lt;E13,"LOW","OK"))</f>
        <v/>
      </c>
      <c r="M13">
        <f>K13</f>
        <v/>
      </c>
      <c r="N13" s="236">
        <f>H13*D13</f>
        <v/>
      </c>
    </row>
    <row r="14">
      <c r="A14">
        <f>'Component Catalogue'!G15</f>
        <v/>
      </c>
      <c r="B14">
        <f>'Component Catalogue'!B15</f>
        <v/>
      </c>
      <c r="C14">
        <f>'Component Catalogue'!E15</f>
        <v/>
      </c>
      <c r="D14" s="236">
        <f>'Component Catalogue'!H15</f>
        <v/>
      </c>
      <c r="E14">
        <f>'Component Catalogue'!J15</f>
        <v/>
      </c>
      <c r="F14">
        <f>SUMIFS('Inventory Movements'!$E$4:$E$5003,'Inventory Movements'!$C$4:$C$5003,$A14,'Inventory Movements'!$K$4:$K$5003,"Yes",'Inventory Movements'!$J$4:$J$5003,"Released")</f>
        <v/>
      </c>
      <c r="G14">
        <f>SUMIFS('Inventory Movements'!$F$4:$F$5003,'Inventory Movements'!$C$4:$C$5003,$A14,'Inventory Movements'!$K$4:$K$5003,"Yes")</f>
        <v/>
      </c>
      <c r="H14">
        <f>F14-G14</f>
        <v/>
      </c>
      <c r="I14">
        <f>SUMIFS(Reservations!$G$4:$G$2003,Reservations!$E$4:$E$2003,$A14,Reservations!$H$4:$H$2003,"Active")</f>
        <v/>
      </c>
      <c r="J14">
        <f>MAX(0,H14-I14)</f>
        <v/>
      </c>
      <c r="K14">
        <f>MAX(0,E14-J14)</f>
        <v/>
      </c>
      <c r="L14">
        <f>IF(J14=0,"OUT",IF(J14&lt;E14,"LOW","OK"))</f>
        <v/>
      </c>
      <c r="M14">
        <f>K14</f>
        <v/>
      </c>
      <c r="N14" s="236">
        <f>H14*D14</f>
        <v/>
      </c>
    </row>
    <row r="15">
      <c r="A15">
        <f>'Component Catalogue'!G16</f>
        <v/>
      </c>
      <c r="B15">
        <f>'Component Catalogue'!B16</f>
        <v/>
      </c>
      <c r="C15">
        <f>'Component Catalogue'!E16</f>
        <v/>
      </c>
      <c r="D15" s="236">
        <f>'Component Catalogue'!H16</f>
        <v/>
      </c>
      <c r="E15">
        <f>'Component Catalogue'!J16</f>
        <v/>
      </c>
      <c r="F15">
        <f>SUMIFS('Inventory Movements'!$E$4:$E$5003,'Inventory Movements'!$C$4:$C$5003,$A15,'Inventory Movements'!$K$4:$K$5003,"Yes",'Inventory Movements'!$J$4:$J$5003,"Released")</f>
        <v/>
      </c>
      <c r="G15">
        <f>SUMIFS('Inventory Movements'!$F$4:$F$5003,'Inventory Movements'!$C$4:$C$5003,$A15,'Inventory Movements'!$K$4:$K$5003,"Yes")</f>
        <v/>
      </c>
      <c r="H15">
        <f>F15-G15</f>
        <v/>
      </c>
      <c r="I15">
        <f>SUMIFS(Reservations!$G$4:$G$2003,Reservations!$E$4:$E$2003,$A15,Reservations!$H$4:$H$2003,"Active")</f>
        <v/>
      </c>
      <c r="J15">
        <f>MAX(0,H15-I15)</f>
        <v/>
      </c>
      <c r="K15">
        <f>MAX(0,E15-J15)</f>
        <v/>
      </c>
      <c r="L15">
        <f>IF(J15=0,"OUT",IF(J15&lt;E15,"LOW","OK"))</f>
        <v/>
      </c>
      <c r="M15">
        <f>K15</f>
        <v/>
      </c>
      <c r="N15" s="236">
        <f>H15*D15</f>
        <v/>
      </c>
    </row>
    <row r="16">
      <c r="A16">
        <f>'Component Catalogue'!G17</f>
        <v/>
      </c>
      <c r="B16">
        <f>'Component Catalogue'!B17</f>
        <v/>
      </c>
      <c r="C16">
        <f>'Component Catalogue'!E17</f>
        <v/>
      </c>
      <c r="D16" s="236">
        <f>'Component Catalogue'!H17</f>
        <v/>
      </c>
      <c r="E16">
        <f>'Component Catalogue'!J17</f>
        <v/>
      </c>
      <c r="F16">
        <f>SUMIFS('Inventory Movements'!$E$4:$E$5003,'Inventory Movements'!$C$4:$C$5003,$A16,'Inventory Movements'!$K$4:$K$5003,"Yes",'Inventory Movements'!$J$4:$J$5003,"Released")</f>
        <v/>
      </c>
      <c r="G16">
        <f>SUMIFS('Inventory Movements'!$F$4:$F$5003,'Inventory Movements'!$C$4:$C$5003,$A16,'Inventory Movements'!$K$4:$K$5003,"Yes")</f>
        <v/>
      </c>
      <c r="H16">
        <f>F16-G16</f>
        <v/>
      </c>
      <c r="I16">
        <f>SUMIFS(Reservations!$G$4:$G$2003,Reservations!$E$4:$E$2003,$A16,Reservations!$H$4:$H$2003,"Active")</f>
        <v/>
      </c>
      <c r="J16">
        <f>MAX(0,H16-I16)</f>
        <v/>
      </c>
      <c r="K16">
        <f>MAX(0,E16-J16)</f>
        <v/>
      </c>
      <c r="L16">
        <f>IF(J16=0,"OUT",IF(J16&lt;E16,"LOW","OK"))</f>
        <v/>
      </c>
      <c r="M16">
        <f>K16</f>
        <v/>
      </c>
      <c r="N16" s="236">
        <f>H16*D16</f>
        <v/>
      </c>
    </row>
    <row r="17">
      <c r="A17">
        <f>'Component Catalogue'!G18</f>
        <v/>
      </c>
      <c r="B17">
        <f>'Component Catalogue'!B18</f>
        <v/>
      </c>
      <c r="C17">
        <f>'Component Catalogue'!E18</f>
        <v/>
      </c>
      <c r="D17" s="236">
        <f>'Component Catalogue'!H18</f>
        <v/>
      </c>
      <c r="E17">
        <f>'Component Catalogue'!J18</f>
        <v/>
      </c>
      <c r="F17">
        <f>SUMIFS('Inventory Movements'!$E$4:$E$5003,'Inventory Movements'!$C$4:$C$5003,$A17,'Inventory Movements'!$K$4:$K$5003,"Yes",'Inventory Movements'!$J$4:$J$5003,"Released")</f>
        <v/>
      </c>
      <c r="G17">
        <f>SUMIFS('Inventory Movements'!$F$4:$F$5003,'Inventory Movements'!$C$4:$C$5003,$A17,'Inventory Movements'!$K$4:$K$5003,"Yes")</f>
        <v/>
      </c>
      <c r="H17">
        <f>F17-G17</f>
        <v/>
      </c>
      <c r="I17">
        <f>SUMIFS(Reservations!$G$4:$G$2003,Reservations!$E$4:$E$2003,$A17,Reservations!$H$4:$H$2003,"Active")</f>
        <v/>
      </c>
      <c r="J17">
        <f>MAX(0,H17-I17)</f>
        <v/>
      </c>
      <c r="K17">
        <f>MAX(0,E17-J17)</f>
        <v/>
      </c>
      <c r="L17">
        <f>IF(J17=0,"OUT",IF(J17&lt;E17,"LOW","OK"))</f>
        <v/>
      </c>
      <c r="M17">
        <f>K17</f>
        <v/>
      </c>
      <c r="N17" s="236">
        <f>H17*D17</f>
        <v/>
      </c>
    </row>
    <row r="18">
      <c r="A18">
        <f>'Component Catalogue'!G19</f>
        <v/>
      </c>
      <c r="B18">
        <f>'Component Catalogue'!B19</f>
        <v/>
      </c>
      <c r="C18">
        <f>'Component Catalogue'!E19</f>
        <v/>
      </c>
      <c r="D18" s="236">
        <f>'Component Catalogue'!H19</f>
        <v/>
      </c>
      <c r="E18">
        <f>'Component Catalogue'!J19</f>
        <v/>
      </c>
      <c r="F18">
        <f>SUMIFS('Inventory Movements'!$E$4:$E$5003,'Inventory Movements'!$C$4:$C$5003,$A18,'Inventory Movements'!$K$4:$K$5003,"Yes",'Inventory Movements'!$J$4:$J$5003,"Released")</f>
        <v/>
      </c>
      <c r="G18">
        <f>SUMIFS('Inventory Movements'!$F$4:$F$5003,'Inventory Movements'!$C$4:$C$5003,$A18,'Inventory Movements'!$K$4:$K$5003,"Yes")</f>
        <v/>
      </c>
      <c r="H18">
        <f>F18-G18</f>
        <v/>
      </c>
      <c r="I18">
        <f>SUMIFS(Reservations!$G$4:$G$2003,Reservations!$E$4:$E$2003,$A18,Reservations!$H$4:$H$2003,"Active")</f>
        <v/>
      </c>
      <c r="J18">
        <f>MAX(0,H18-I18)</f>
        <v/>
      </c>
      <c r="K18">
        <f>MAX(0,E18-J18)</f>
        <v/>
      </c>
      <c r="L18">
        <f>IF(J18=0,"OUT",IF(J18&lt;E18,"LOW","OK"))</f>
        <v/>
      </c>
      <c r="M18">
        <f>K18</f>
        <v/>
      </c>
      <c r="N18" s="236">
        <f>H18*D18</f>
        <v/>
      </c>
    </row>
    <row r="19">
      <c r="A19">
        <f>'Component Catalogue'!G20</f>
        <v/>
      </c>
      <c r="B19">
        <f>'Component Catalogue'!B20</f>
        <v/>
      </c>
      <c r="C19">
        <f>'Component Catalogue'!E20</f>
        <v/>
      </c>
      <c r="D19" s="236">
        <f>'Component Catalogue'!H20</f>
        <v/>
      </c>
      <c r="E19">
        <f>'Component Catalogue'!J20</f>
        <v/>
      </c>
      <c r="F19">
        <f>SUMIFS('Inventory Movements'!$E$4:$E$5003,'Inventory Movements'!$C$4:$C$5003,$A19,'Inventory Movements'!$K$4:$K$5003,"Yes",'Inventory Movements'!$J$4:$J$5003,"Released")</f>
        <v/>
      </c>
      <c r="G19">
        <f>SUMIFS('Inventory Movements'!$F$4:$F$5003,'Inventory Movements'!$C$4:$C$5003,$A19,'Inventory Movements'!$K$4:$K$5003,"Yes")</f>
        <v/>
      </c>
      <c r="H19">
        <f>F19-G19</f>
        <v/>
      </c>
      <c r="I19">
        <f>SUMIFS(Reservations!$G$4:$G$2003,Reservations!$E$4:$E$2003,$A19,Reservations!$H$4:$H$2003,"Active")</f>
        <v/>
      </c>
      <c r="J19">
        <f>MAX(0,H19-I19)</f>
        <v/>
      </c>
      <c r="K19">
        <f>MAX(0,E19-J19)</f>
        <v/>
      </c>
      <c r="L19">
        <f>IF(J19=0,"OUT",IF(J19&lt;E19,"LOW","OK"))</f>
        <v/>
      </c>
      <c r="M19">
        <f>K19</f>
        <v/>
      </c>
      <c r="N19" s="236">
        <f>H19*D19</f>
        <v/>
      </c>
    </row>
    <row r="20">
      <c r="A20">
        <f>'Component Catalogue'!G21</f>
        <v/>
      </c>
      <c r="B20">
        <f>'Component Catalogue'!B21</f>
        <v/>
      </c>
      <c r="C20">
        <f>'Component Catalogue'!E21</f>
        <v/>
      </c>
      <c r="D20" s="236">
        <f>'Component Catalogue'!H21</f>
        <v/>
      </c>
      <c r="E20">
        <f>'Component Catalogue'!J21</f>
        <v/>
      </c>
      <c r="F20">
        <f>SUMIFS('Inventory Movements'!$E$4:$E$5003,'Inventory Movements'!$C$4:$C$5003,$A20,'Inventory Movements'!$K$4:$K$5003,"Yes",'Inventory Movements'!$J$4:$J$5003,"Released")</f>
        <v/>
      </c>
      <c r="G20">
        <f>SUMIFS('Inventory Movements'!$F$4:$F$5003,'Inventory Movements'!$C$4:$C$5003,$A20,'Inventory Movements'!$K$4:$K$5003,"Yes")</f>
        <v/>
      </c>
      <c r="H20">
        <f>F20-G20</f>
        <v/>
      </c>
      <c r="I20">
        <f>SUMIFS(Reservations!$G$4:$G$2003,Reservations!$E$4:$E$2003,$A20,Reservations!$H$4:$H$2003,"Active")</f>
        <v/>
      </c>
      <c r="J20">
        <f>MAX(0,H20-I20)</f>
        <v/>
      </c>
      <c r="K20">
        <f>MAX(0,E20-J20)</f>
        <v/>
      </c>
      <c r="L20">
        <f>IF(J20=0,"OUT",IF(J20&lt;E20,"LOW","OK"))</f>
        <v/>
      </c>
      <c r="M20">
        <f>K20</f>
        <v/>
      </c>
      <c r="N20" s="236">
        <f>H20*D20</f>
        <v/>
      </c>
    </row>
    <row r="21">
      <c r="A21">
        <f>'Component Catalogue'!G22</f>
        <v/>
      </c>
      <c r="B21">
        <f>'Component Catalogue'!B22</f>
        <v/>
      </c>
      <c r="C21">
        <f>'Component Catalogue'!E22</f>
        <v/>
      </c>
      <c r="D21" s="236">
        <f>'Component Catalogue'!H22</f>
        <v/>
      </c>
      <c r="E21">
        <f>'Component Catalogue'!J22</f>
        <v/>
      </c>
      <c r="F21">
        <f>SUMIFS('Inventory Movements'!$E$4:$E$5003,'Inventory Movements'!$C$4:$C$5003,$A21,'Inventory Movements'!$K$4:$K$5003,"Yes",'Inventory Movements'!$J$4:$J$5003,"Released")</f>
        <v/>
      </c>
      <c r="G21">
        <f>SUMIFS('Inventory Movements'!$F$4:$F$5003,'Inventory Movements'!$C$4:$C$5003,$A21,'Inventory Movements'!$K$4:$K$5003,"Yes")</f>
        <v/>
      </c>
      <c r="H21">
        <f>F21-G21</f>
        <v/>
      </c>
      <c r="I21">
        <f>SUMIFS(Reservations!$G$4:$G$2003,Reservations!$E$4:$E$2003,$A21,Reservations!$H$4:$H$2003,"Active")</f>
        <v/>
      </c>
      <c r="J21">
        <f>MAX(0,H21-I21)</f>
        <v/>
      </c>
      <c r="K21">
        <f>MAX(0,E21-J21)</f>
        <v/>
      </c>
      <c r="L21">
        <f>IF(J21=0,"OUT",IF(J21&lt;E21,"LOW","OK"))</f>
        <v/>
      </c>
      <c r="M21">
        <f>K21</f>
        <v/>
      </c>
      <c r="N21" s="236">
        <f>H21*D21</f>
        <v/>
      </c>
    </row>
    <row r="22">
      <c r="A22">
        <f>'Component Catalogue'!G23</f>
        <v/>
      </c>
      <c r="B22">
        <f>'Component Catalogue'!B23</f>
        <v/>
      </c>
      <c r="C22">
        <f>'Component Catalogue'!E23</f>
        <v/>
      </c>
      <c r="D22" s="236">
        <f>'Component Catalogue'!H23</f>
        <v/>
      </c>
      <c r="E22">
        <f>'Component Catalogue'!J23</f>
        <v/>
      </c>
      <c r="F22">
        <f>SUMIFS('Inventory Movements'!$E$4:$E$5003,'Inventory Movements'!$C$4:$C$5003,$A22,'Inventory Movements'!$K$4:$K$5003,"Yes",'Inventory Movements'!$J$4:$J$5003,"Released")</f>
        <v/>
      </c>
      <c r="G22">
        <f>SUMIFS('Inventory Movements'!$F$4:$F$5003,'Inventory Movements'!$C$4:$C$5003,$A22,'Inventory Movements'!$K$4:$K$5003,"Yes")</f>
        <v/>
      </c>
      <c r="H22">
        <f>F22-G22</f>
        <v/>
      </c>
      <c r="I22">
        <f>SUMIFS(Reservations!$G$4:$G$2003,Reservations!$E$4:$E$2003,$A22,Reservations!$H$4:$H$2003,"Active")</f>
        <v/>
      </c>
      <c r="J22">
        <f>MAX(0,H22-I22)</f>
        <v/>
      </c>
      <c r="K22">
        <f>MAX(0,E22-J22)</f>
        <v/>
      </c>
      <c r="L22">
        <f>IF(J22=0,"OUT",IF(J22&lt;E22,"LOW","OK"))</f>
        <v/>
      </c>
      <c r="M22">
        <f>K22</f>
        <v/>
      </c>
      <c r="N22" s="236">
        <f>H22*D22</f>
        <v/>
      </c>
    </row>
    <row r="23">
      <c r="A23">
        <f>'Component Catalogue'!G24</f>
        <v/>
      </c>
      <c r="B23">
        <f>'Component Catalogue'!B24</f>
        <v/>
      </c>
      <c r="C23">
        <f>'Component Catalogue'!E24</f>
        <v/>
      </c>
      <c r="D23" s="236">
        <f>'Component Catalogue'!H24</f>
        <v/>
      </c>
      <c r="E23">
        <f>'Component Catalogue'!J24</f>
        <v/>
      </c>
      <c r="F23">
        <f>SUMIFS('Inventory Movements'!$E$4:$E$5003,'Inventory Movements'!$C$4:$C$5003,$A23,'Inventory Movements'!$K$4:$K$5003,"Yes",'Inventory Movements'!$J$4:$J$5003,"Released")</f>
        <v/>
      </c>
      <c r="G23">
        <f>SUMIFS('Inventory Movements'!$F$4:$F$5003,'Inventory Movements'!$C$4:$C$5003,$A23,'Inventory Movements'!$K$4:$K$5003,"Yes")</f>
        <v/>
      </c>
      <c r="H23">
        <f>F23-G23</f>
        <v/>
      </c>
      <c r="I23">
        <f>SUMIFS(Reservations!$G$4:$G$2003,Reservations!$E$4:$E$2003,$A23,Reservations!$H$4:$H$2003,"Active")</f>
        <v/>
      </c>
      <c r="J23">
        <f>MAX(0,H23-I23)</f>
        <v/>
      </c>
      <c r="K23">
        <f>MAX(0,E23-J23)</f>
        <v/>
      </c>
      <c r="L23">
        <f>IF(J23=0,"OUT",IF(J23&lt;E23,"LOW","OK"))</f>
        <v/>
      </c>
      <c r="M23">
        <f>K23</f>
        <v/>
      </c>
      <c r="N23" s="236">
        <f>H23*D23</f>
        <v/>
      </c>
    </row>
    <row r="24">
      <c r="A24">
        <f>'Component Catalogue'!G25</f>
        <v/>
      </c>
      <c r="B24">
        <f>'Component Catalogue'!B25</f>
        <v/>
      </c>
      <c r="C24">
        <f>'Component Catalogue'!E25</f>
        <v/>
      </c>
      <c r="D24" s="236">
        <f>'Component Catalogue'!H25</f>
        <v/>
      </c>
      <c r="E24">
        <f>'Component Catalogue'!J25</f>
        <v/>
      </c>
      <c r="F24">
        <f>SUMIFS('Inventory Movements'!$E$4:$E$5003,'Inventory Movements'!$C$4:$C$5003,$A24,'Inventory Movements'!$K$4:$K$5003,"Yes",'Inventory Movements'!$J$4:$J$5003,"Released")</f>
        <v/>
      </c>
      <c r="G24">
        <f>SUMIFS('Inventory Movements'!$F$4:$F$5003,'Inventory Movements'!$C$4:$C$5003,$A24,'Inventory Movements'!$K$4:$K$5003,"Yes")</f>
        <v/>
      </c>
      <c r="H24">
        <f>F24-G24</f>
        <v/>
      </c>
      <c r="I24">
        <f>SUMIFS(Reservations!$G$4:$G$2003,Reservations!$E$4:$E$2003,$A24,Reservations!$H$4:$H$2003,"Active")</f>
        <v/>
      </c>
      <c r="J24">
        <f>MAX(0,H24-I24)</f>
        <v/>
      </c>
      <c r="K24">
        <f>MAX(0,E24-J24)</f>
        <v/>
      </c>
      <c r="L24">
        <f>IF(J24=0,"OUT",IF(J24&lt;E24,"LOW","OK"))</f>
        <v/>
      </c>
      <c r="M24">
        <f>K24</f>
        <v/>
      </c>
      <c r="N24" s="236">
        <f>H24*D24</f>
        <v/>
      </c>
    </row>
    <row r="25">
      <c r="A25">
        <f>'Component Catalogue'!G26</f>
        <v/>
      </c>
      <c r="B25">
        <f>'Component Catalogue'!B26</f>
        <v/>
      </c>
      <c r="C25">
        <f>'Component Catalogue'!E26</f>
        <v/>
      </c>
      <c r="D25" s="236">
        <f>'Component Catalogue'!H26</f>
        <v/>
      </c>
      <c r="E25">
        <f>'Component Catalogue'!J26</f>
        <v/>
      </c>
      <c r="F25">
        <f>SUMIFS('Inventory Movements'!$E$4:$E$5003,'Inventory Movements'!$C$4:$C$5003,$A25,'Inventory Movements'!$K$4:$K$5003,"Yes",'Inventory Movements'!$J$4:$J$5003,"Released")</f>
        <v/>
      </c>
      <c r="G25">
        <f>SUMIFS('Inventory Movements'!$F$4:$F$5003,'Inventory Movements'!$C$4:$C$5003,$A25,'Inventory Movements'!$K$4:$K$5003,"Yes")</f>
        <v/>
      </c>
      <c r="H25">
        <f>F25-G25</f>
        <v/>
      </c>
      <c r="I25">
        <f>SUMIFS(Reservations!$G$4:$G$2003,Reservations!$E$4:$E$2003,$A25,Reservations!$H$4:$H$2003,"Active")</f>
        <v/>
      </c>
      <c r="J25">
        <f>MAX(0,H25-I25)</f>
        <v/>
      </c>
      <c r="K25">
        <f>MAX(0,E25-J25)</f>
        <v/>
      </c>
      <c r="L25">
        <f>IF(J25=0,"OUT",IF(J25&lt;E25,"LOW","OK"))</f>
        <v/>
      </c>
      <c r="M25">
        <f>K25</f>
        <v/>
      </c>
      <c r="N25" s="236">
        <f>H25*D25</f>
        <v/>
      </c>
    </row>
    <row r="26">
      <c r="A26">
        <f>'Component Catalogue'!G27</f>
        <v/>
      </c>
      <c r="B26">
        <f>'Component Catalogue'!B27</f>
        <v/>
      </c>
      <c r="C26">
        <f>'Component Catalogue'!E27</f>
        <v/>
      </c>
      <c r="D26" s="236">
        <f>'Component Catalogue'!H27</f>
        <v/>
      </c>
      <c r="E26">
        <f>'Component Catalogue'!J27</f>
        <v/>
      </c>
      <c r="F26">
        <f>SUMIFS('Inventory Movements'!$E$4:$E$5003,'Inventory Movements'!$C$4:$C$5003,$A26,'Inventory Movements'!$K$4:$K$5003,"Yes",'Inventory Movements'!$J$4:$J$5003,"Released")</f>
        <v/>
      </c>
      <c r="G26">
        <f>SUMIFS('Inventory Movements'!$F$4:$F$5003,'Inventory Movements'!$C$4:$C$5003,$A26,'Inventory Movements'!$K$4:$K$5003,"Yes")</f>
        <v/>
      </c>
      <c r="H26">
        <f>F26-G26</f>
        <v/>
      </c>
      <c r="I26">
        <f>SUMIFS(Reservations!$G$4:$G$2003,Reservations!$E$4:$E$2003,$A26,Reservations!$H$4:$H$2003,"Active")</f>
        <v/>
      </c>
      <c r="J26">
        <f>MAX(0,H26-I26)</f>
        <v/>
      </c>
      <c r="K26">
        <f>MAX(0,E26-J26)</f>
        <v/>
      </c>
      <c r="L26">
        <f>IF(J26=0,"OUT",IF(J26&lt;E26,"LOW","OK"))</f>
        <v/>
      </c>
      <c r="M26">
        <f>K26</f>
        <v/>
      </c>
      <c r="N26" s="236">
        <f>H26*D26</f>
        <v/>
      </c>
    </row>
    <row r="27">
      <c r="A27">
        <f>'Component Catalogue'!G28</f>
        <v/>
      </c>
      <c r="B27">
        <f>'Component Catalogue'!B28</f>
        <v/>
      </c>
      <c r="C27">
        <f>'Component Catalogue'!E28</f>
        <v/>
      </c>
      <c r="D27" s="236">
        <f>'Component Catalogue'!H28</f>
        <v/>
      </c>
      <c r="E27">
        <f>'Component Catalogue'!J28</f>
        <v/>
      </c>
      <c r="F27">
        <f>SUMIFS('Inventory Movements'!$E$4:$E$5003,'Inventory Movements'!$C$4:$C$5003,$A27,'Inventory Movements'!$K$4:$K$5003,"Yes",'Inventory Movements'!$J$4:$J$5003,"Released")</f>
        <v/>
      </c>
      <c r="G27">
        <f>SUMIFS('Inventory Movements'!$F$4:$F$5003,'Inventory Movements'!$C$4:$C$5003,$A27,'Inventory Movements'!$K$4:$K$5003,"Yes")</f>
        <v/>
      </c>
      <c r="H27">
        <f>F27-G27</f>
        <v/>
      </c>
      <c r="I27">
        <f>SUMIFS(Reservations!$G$4:$G$2003,Reservations!$E$4:$E$2003,$A27,Reservations!$H$4:$H$2003,"Active")</f>
        <v/>
      </c>
      <c r="J27">
        <f>MAX(0,H27-I27)</f>
        <v/>
      </c>
      <c r="K27">
        <f>MAX(0,E27-J27)</f>
        <v/>
      </c>
      <c r="L27">
        <f>IF(J27=0,"OUT",IF(J27&lt;E27,"LOW","OK"))</f>
        <v/>
      </c>
      <c r="M27">
        <f>K27</f>
        <v/>
      </c>
      <c r="N27" s="236">
        <f>H27*D27</f>
        <v/>
      </c>
    </row>
    <row r="28">
      <c r="A28">
        <f>'Component Catalogue'!G29</f>
        <v/>
      </c>
      <c r="B28">
        <f>'Component Catalogue'!B29</f>
        <v/>
      </c>
      <c r="C28">
        <f>'Component Catalogue'!E29</f>
        <v/>
      </c>
      <c r="D28" s="236">
        <f>'Component Catalogue'!H29</f>
        <v/>
      </c>
      <c r="E28">
        <f>'Component Catalogue'!J29</f>
        <v/>
      </c>
      <c r="F28">
        <f>SUMIFS('Inventory Movements'!$E$4:$E$5003,'Inventory Movements'!$C$4:$C$5003,$A28,'Inventory Movements'!$K$4:$K$5003,"Yes",'Inventory Movements'!$J$4:$J$5003,"Released")</f>
        <v/>
      </c>
      <c r="G28">
        <f>SUMIFS('Inventory Movements'!$F$4:$F$5003,'Inventory Movements'!$C$4:$C$5003,$A28,'Inventory Movements'!$K$4:$K$5003,"Yes")</f>
        <v/>
      </c>
      <c r="H28">
        <f>F28-G28</f>
        <v/>
      </c>
      <c r="I28">
        <f>SUMIFS(Reservations!$G$4:$G$2003,Reservations!$E$4:$E$2003,$A28,Reservations!$H$4:$H$2003,"Active")</f>
        <v/>
      </c>
      <c r="J28">
        <f>MAX(0,H28-I28)</f>
        <v/>
      </c>
      <c r="K28">
        <f>MAX(0,E28-J28)</f>
        <v/>
      </c>
      <c r="L28">
        <f>IF(J28=0,"OUT",IF(J28&lt;E28,"LOW","OK"))</f>
        <v/>
      </c>
      <c r="M28">
        <f>K28</f>
        <v/>
      </c>
      <c r="N28" s="236">
        <f>H28*D28</f>
        <v/>
      </c>
    </row>
    <row r="29">
      <c r="A29">
        <f>'Component Catalogue'!G30</f>
        <v/>
      </c>
      <c r="B29">
        <f>'Component Catalogue'!B30</f>
        <v/>
      </c>
      <c r="C29">
        <f>'Component Catalogue'!E30</f>
        <v/>
      </c>
      <c r="D29" s="236">
        <f>'Component Catalogue'!H30</f>
        <v/>
      </c>
      <c r="E29">
        <f>'Component Catalogue'!J30</f>
        <v/>
      </c>
      <c r="F29">
        <f>SUMIFS('Inventory Movements'!$E$4:$E$5003,'Inventory Movements'!$C$4:$C$5003,$A29,'Inventory Movements'!$K$4:$K$5003,"Yes",'Inventory Movements'!$J$4:$J$5003,"Released")</f>
        <v/>
      </c>
      <c r="G29">
        <f>SUMIFS('Inventory Movements'!$F$4:$F$5003,'Inventory Movements'!$C$4:$C$5003,$A29,'Inventory Movements'!$K$4:$K$5003,"Yes")</f>
        <v/>
      </c>
      <c r="H29">
        <f>F29-G29</f>
        <v/>
      </c>
      <c r="I29">
        <f>SUMIFS(Reservations!$G$4:$G$2003,Reservations!$E$4:$E$2003,$A29,Reservations!$H$4:$H$2003,"Active")</f>
        <v/>
      </c>
      <c r="J29">
        <f>MAX(0,H29-I29)</f>
        <v/>
      </c>
      <c r="K29">
        <f>MAX(0,E29-J29)</f>
        <v/>
      </c>
      <c r="L29">
        <f>IF(J29=0,"OUT",IF(J29&lt;E29,"LOW","OK"))</f>
        <v/>
      </c>
      <c r="M29">
        <f>K29</f>
        <v/>
      </c>
      <c r="N29" s="236">
        <f>H29*D29</f>
        <v/>
      </c>
    </row>
    <row r="30">
      <c r="A30">
        <f>'Component Catalogue'!G31</f>
        <v/>
      </c>
      <c r="B30">
        <f>'Component Catalogue'!B31</f>
        <v/>
      </c>
      <c r="C30">
        <f>'Component Catalogue'!E31</f>
        <v/>
      </c>
      <c r="D30" s="236">
        <f>'Component Catalogue'!H31</f>
        <v/>
      </c>
      <c r="E30">
        <f>'Component Catalogue'!J31</f>
        <v/>
      </c>
      <c r="F30">
        <f>SUMIFS('Inventory Movements'!$E$4:$E$5003,'Inventory Movements'!$C$4:$C$5003,$A30,'Inventory Movements'!$K$4:$K$5003,"Yes",'Inventory Movements'!$J$4:$J$5003,"Released")</f>
        <v/>
      </c>
      <c r="G30">
        <f>SUMIFS('Inventory Movements'!$F$4:$F$5003,'Inventory Movements'!$C$4:$C$5003,$A30,'Inventory Movements'!$K$4:$K$5003,"Yes")</f>
        <v/>
      </c>
      <c r="H30">
        <f>F30-G30</f>
        <v/>
      </c>
      <c r="I30">
        <f>SUMIFS(Reservations!$G$4:$G$2003,Reservations!$E$4:$E$2003,$A30,Reservations!$H$4:$H$2003,"Active")</f>
        <v/>
      </c>
      <c r="J30">
        <f>MAX(0,H30-I30)</f>
        <v/>
      </c>
      <c r="K30">
        <f>MAX(0,E30-J30)</f>
        <v/>
      </c>
      <c r="L30">
        <f>IF(J30=0,"OUT",IF(J30&lt;E30,"LOW","OK"))</f>
        <v/>
      </c>
      <c r="M30">
        <f>K30</f>
        <v/>
      </c>
      <c r="N30" s="236">
        <f>H30*D30</f>
        <v/>
      </c>
    </row>
    <row r="31">
      <c r="A31">
        <f>'Component Catalogue'!G32</f>
        <v/>
      </c>
      <c r="B31">
        <f>'Component Catalogue'!B32</f>
        <v/>
      </c>
      <c r="C31">
        <f>'Component Catalogue'!E32</f>
        <v/>
      </c>
      <c r="D31" s="236">
        <f>'Component Catalogue'!H32</f>
        <v/>
      </c>
      <c r="E31">
        <f>'Component Catalogue'!J32</f>
        <v/>
      </c>
      <c r="F31">
        <f>SUMIFS('Inventory Movements'!$E$4:$E$5003,'Inventory Movements'!$C$4:$C$5003,$A31,'Inventory Movements'!$K$4:$K$5003,"Yes",'Inventory Movements'!$J$4:$J$5003,"Released")</f>
        <v/>
      </c>
      <c r="G31">
        <f>SUMIFS('Inventory Movements'!$F$4:$F$5003,'Inventory Movements'!$C$4:$C$5003,$A31,'Inventory Movements'!$K$4:$K$5003,"Yes")</f>
        <v/>
      </c>
      <c r="H31">
        <f>F31-G31</f>
        <v/>
      </c>
      <c r="I31">
        <f>SUMIFS(Reservations!$G$4:$G$2003,Reservations!$E$4:$E$2003,$A31,Reservations!$H$4:$H$2003,"Active")</f>
        <v/>
      </c>
      <c r="J31">
        <f>MAX(0,H31-I31)</f>
        <v/>
      </c>
      <c r="K31">
        <f>MAX(0,E31-J31)</f>
        <v/>
      </c>
      <c r="L31">
        <f>IF(J31=0,"OUT",IF(J31&lt;E31,"LOW","OK"))</f>
        <v/>
      </c>
      <c r="M31">
        <f>K31</f>
        <v/>
      </c>
      <c r="N31" s="236">
        <f>H31*D31</f>
        <v/>
      </c>
    </row>
    <row r="32">
      <c r="A32">
        <f>'Component Catalogue'!G33</f>
        <v/>
      </c>
      <c r="B32">
        <f>'Component Catalogue'!B33</f>
        <v/>
      </c>
      <c r="C32">
        <f>'Component Catalogue'!E33</f>
        <v/>
      </c>
      <c r="D32" s="236">
        <f>'Component Catalogue'!H33</f>
        <v/>
      </c>
      <c r="E32">
        <f>'Component Catalogue'!J33</f>
        <v/>
      </c>
      <c r="F32">
        <f>SUMIFS('Inventory Movements'!$E$4:$E$5003,'Inventory Movements'!$C$4:$C$5003,$A32,'Inventory Movements'!$K$4:$K$5003,"Yes",'Inventory Movements'!$J$4:$J$5003,"Released")</f>
        <v/>
      </c>
      <c r="G32">
        <f>SUMIFS('Inventory Movements'!$F$4:$F$5003,'Inventory Movements'!$C$4:$C$5003,$A32,'Inventory Movements'!$K$4:$K$5003,"Yes")</f>
        <v/>
      </c>
      <c r="H32">
        <f>F32-G32</f>
        <v/>
      </c>
      <c r="I32">
        <f>SUMIFS(Reservations!$G$4:$G$2003,Reservations!$E$4:$E$2003,$A32,Reservations!$H$4:$H$2003,"Active")</f>
        <v/>
      </c>
      <c r="J32">
        <f>MAX(0,H32-I32)</f>
        <v/>
      </c>
      <c r="K32">
        <f>MAX(0,E32-J32)</f>
        <v/>
      </c>
      <c r="L32">
        <f>IF(J32=0,"OUT",IF(J32&lt;E32,"LOW","OK"))</f>
        <v/>
      </c>
      <c r="M32">
        <f>K32</f>
        <v/>
      </c>
      <c r="N32" s="236">
        <f>H32*D32</f>
        <v/>
      </c>
    </row>
    <row r="33">
      <c r="A33">
        <f>'Component Catalogue'!G34</f>
        <v/>
      </c>
      <c r="B33">
        <f>'Component Catalogue'!B34</f>
        <v/>
      </c>
      <c r="C33">
        <f>'Component Catalogue'!E34</f>
        <v/>
      </c>
      <c r="D33" s="236">
        <f>'Component Catalogue'!H34</f>
        <v/>
      </c>
      <c r="E33">
        <f>'Component Catalogue'!J34</f>
        <v/>
      </c>
      <c r="F33">
        <f>SUMIFS('Inventory Movements'!$E$4:$E$5003,'Inventory Movements'!$C$4:$C$5003,$A33,'Inventory Movements'!$K$4:$K$5003,"Yes",'Inventory Movements'!$J$4:$J$5003,"Released")</f>
        <v/>
      </c>
      <c r="G33">
        <f>SUMIFS('Inventory Movements'!$F$4:$F$5003,'Inventory Movements'!$C$4:$C$5003,$A33,'Inventory Movements'!$K$4:$K$5003,"Yes")</f>
        <v/>
      </c>
      <c r="H33">
        <f>F33-G33</f>
        <v/>
      </c>
      <c r="I33">
        <f>SUMIFS(Reservations!$G$4:$G$2003,Reservations!$E$4:$E$2003,$A33,Reservations!$H$4:$H$2003,"Active")</f>
        <v/>
      </c>
      <c r="J33">
        <f>MAX(0,H33-I33)</f>
        <v/>
      </c>
      <c r="K33">
        <f>MAX(0,E33-J33)</f>
        <v/>
      </c>
      <c r="L33">
        <f>IF(J33=0,"OUT",IF(J33&lt;E33,"LOW","OK"))</f>
        <v/>
      </c>
      <c r="M33">
        <f>K33</f>
        <v/>
      </c>
      <c r="N33" s="236">
        <f>H33*D33</f>
        <v/>
      </c>
    </row>
    <row r="34">
      <c r="A34">
        <f>'Component Catalogue'!G35</f>
        <v/>
      </c>
      <c r="B34">
        <f>'Component Catalogue'!B35</f>
        <v/>
      </c>
      <c r="C34">
        <f>'Component Catalogue'!E35</f>
        <v/>
      </c>
      <c r="D34" s="236">
        <f>'Component Catalogue'!H35</f>
        <v/>
      </c>
      <c r="E34">
        <f>'Component Catalogue'!J35</f>
        <v/>
      </c>
      <c r="F34">
        <f>SUMIFS('Inventory Movements'!$E$4:$E$5003,'Inventory Movements'!$C$4:$C$5003,$A34,'Inventory Movements'!$K$4:$K$5003,"Yes",'Inventory Movements'!$J$4:$J$5003,"Released")</f>
        <v/>
      </c>
      <c r="G34">
        <f>SUMIFS('Inventory Movements'!$F$4:$F$5003,'Inventory Movements'!$C$4:$C$5003,$A34,'Inventory Movements'!$K$4:$K$5003,"Yes")</f>
        <v/>
      </c>
      <c r="H34">
        <f>F34-G34</f>
        <v/>
      </c>
      <c r="I34">
        <f>SUMIFS(Reservations!$G$4:$G$2003,Reservations!$E$4:$E$2003,$A34,Reservations!$H$4:$H$2003,"Active")</f>
        <v/>
      </c>
      <c r="J34">
        <f>MAX(0,H34-I34)</f>
        <v/>
      </c>
      <c r="K34">
        <f>MAX(0,E34-J34)</f>
        <v/>
      </c>
      <c r="L34">
        <f>IF(J34=0,"OUT",IF(J34&lt;E34,"LOW","OK"))</f>
        <v/>
      </c>
      <c r="M34">
        <f>K34</f>
        <v/>
      </c>
      <c r="N34" s="236">
        <f>H34*D34</f>
        <v/>
      </c>
    </row>
    <row r="35">
      <c r="A35">
        <f>'Component Catalogue'!G36</f>
        <v/>
      </c>
      <c r="B35">
        <f>'Component Catalogue'!B36</f>
        <v/>
      </c>
      <c r="C35">
        <f>'Component Catalogue'!E36</f>
        <v/>
      </c>
      <c r="D35" s="236">
        <f>'Component Catalogue'!H36</f>
        <v/>
      </c>
      <c r="E35">
        <f>'Component Catalogue'!J36</f>
        <v/>
      </c>
      <c r="F35">
        <f>SUMIFS('Inventory Movements'!$E$4:$E$5003,'Inventory Movements'!$C$4:$C$5003,$A35,'Inventory Movements'!$K$4:$K$5003,"Yes",'Inventory Movements'!$J$4:$J$5003,"Released")</f>
        <v/>
      </c>
      <c r="G35">
        <f>SUMIFS('Inventory Movements'!$F$4:$F$5003,'Inventory Movements'!$C$4:$C$5003,$A35,'Inventory Movements'!$K$4:$K$5003,"Yes")</f>
        <v/>
      </c>
      <c r="H35">
        <f>F35-G35</f>
        <v/>
      </c>
      <c r="I35">
        <f>SUMIFS(Reservations!$G$4:$G$2003,Reservations!$E$4:$E$2003,$A35,Reservations!$H$4:$H$2003,"Active")</f>
        <v/>
      </c>
      <c r="J35">
        <f>MAX(0,H35-I35)</f>
        <v/>
      </c>
      <c r="K35">
        <f>MAX(0,E35-J35)</f>
        <v/>
      </c>
      <c r="L35">
        <f>IF(J35=0,"OUT",IF(J35&lt;E35,"LOW","OK"))</f>
        <v/>
      </c>
      <c r="M35">
        <f>K35</f>
        <v/>
      </c>
      <c r="N35" s="236">
        <f>H35*D35</f>
        <v/>
      </c>
    </row>
    <row r="36">
      <c r="A36">
        <f>'Component Catalogue'!G37</f>
        <v/>
      </c>
      <c r="B36">
        <f>'Component Catalogue'!B37</f>
        <v/>
      </c>
      <c r="C36">
        <f>'Component Catalogue'!E37</f>
        <v/>
      </c>
      <c r="D36" s="236">
        <f>'Component Catalogue'!H37</f>
        <v/>
      </c>
      <c r="E36">
        <f>'Component Catalogue'!J37</f>
        <v/>
      </c>
      <c r="F36">
        <f>SUMIFS('Inventory Movements'!$E$4:$E$5003,'Inventory Movements'!$C$4:$C$5003,$A36,'Inventory Movements'!$K$4:$K$5003,"Yes",'Inventory Movements'!$J$4:$J$5003,"Released")</f>
        <v/>
      </c>
      <c r="G36">
        <f>SUMIFS('Inventory Movements'!$F$4:$F$5003,'Inventory Movements'!$C$4:$C$5003,$A36,'Inventory Movements'!$K$4:$K$5003,"Yes")</f>
        <v/>
      </c>
      <c r="H36">
        <f>F36-G36</f>
        <v/>
      </c>
      <c r="I36">
        <f>SUMIFS(Reservations!$G$4:$G$2003,Reservations!$E$4:$E$2003,$A36,Reservations!$H$4:$H$2003,"Active")</f>
        <v/>
      </c>
      <c r="J36">
        <f>MAX(0,H36-I36)</f>
        <v/>
      </c>
      <c r="K36">
        <f>MAX(0,E36-J36)</f>
        <v/>
      </c>
      <c r="L36">
        <f>IF(J36=0,"OUT",IF(J36&lt;E36,"LOW","OK"))</f>
        <v/>
      </c>
      <c r="M36">
        <f>K36</f>
        <v/>
      </c>
      <c r="N36" s="236">
        <f>H36*D36</f>
        <v/>
      </c>
    </row>
    <row r="37">
      <c r="A37">
        <f>'Component Catalogue'!G38</f>
        <v/>
      </c>
      <c r="B37">
        <f>'Component Catalogue'!B38</f>
        <v/>
      </c>
      <c r="C37">
        <f>'Component Catalogue'!E38</f>
        <v/>
      </c>
      <c r="D37" s="236">
        <f>'Component Catalogue'!H38</f>
        <v/>
      </c>
      <c r="E37">
        <f>'Component Catalogue'!J38</f>
        <v/>
      </c>
      <c r="F37">
        <f>SUMIFS('Inventory Movements'!$E$4:$E$5003,'Inventory Movements'!$C$4:$C$5003,$A37,'Inventory Movements'!$K$4:$K$5003,"Yes",'Inventory Movements'!$J$4:$J$5003,"Released")</f>
        <v/>
      </c>
      <c r="G37">
        <f>SUMIFS('Inventory Movements'!$F$4:$F$5003,'Inventory Movements'!$C$4:$C$5003,$A37,'Inventory Movements'!$K$4:$K$5003,"Yes")</f>
        <v/>
      </c>
      <c r="H37">
        <f>F37-G37</f>
        <v/>
      </c>
      <c r="I37">
        <f>SUMIFS(Reservations!$G$4:$G$2003,Reservations!$E$4:$E$2003,$A37,Reservations!$H$4:$H$2003,"Active")</f>
        <v/>
      </c>
      <c r="J37">
        <f>MAX(0,H37-I37)</f>
        <v/>
      </c>
      <c r="K37">
        <f>MAX(0,E37-J37)</f>
        <v/>
      </c>
      <c r="L37">
        <f>IF(J37=0,"OUT",IF(J37&lt;E37,"LOW","OK"))</f>
        <v/>
      </c>
      <c r="M37">
        <f>K37</f>
        <v/>
      </c>
      <c r="N37" s="236">
        <f>H37*D37</f>
        <v/>
      </c>
    </row>
    <row r="38">
      <c r="A38">
        <f>'Component Catalogue'!G39</f>
        <v/>
      </c>
      <c r="B38">
        <f>'Component Catalogue'!B39</f>
        <v/>
      </c>
      <c r="C38">
        <f>'Component Catalogue'!E39</f>
        <v/>
      </c>
      <c r="D38" s="236">
        <f>'Component Catalogue'!H39</f>
        <v/>
      </c>
      <c r="E38">
        <f>'Component Catalogue'!J39</f>
        <v/>
      </c>
      <c r="F38">
        <f>SUMIFS('Inventory Movements'!$E$4:$E$5003,'Inventory Movements'!$C$4:$C$5003,$A38,'Inventory Movements'!$K$4:$K$5003,"Yes",'Inventory Movements'!$J$4:$J$5003,"Released")</f>
        <v/>
      </c>
      <c r="G38">
        <f>SUMIFS('Inventory Movements'!$F$4:$F$5003,'Inventory Movements'!$C$4:$C$5003,$A38,'Inventory Movements'!$K$4:$K$5003,"Yes")</f>
        <v/>
      </c>
      <c r="H38">
        <f>F38-G38</f>
        <v/>
      </c>
      <c r="I38">
        <f>SUMIFS(Reservations!$G$4:$G$2003,Reservations!$E$4:$E$2003,$A38,Reservations!$H$4:$H$2003,"Active")</f>
        <v/>
      </c>
      <c r="J38">
        <f>MAX(0,H38-I38)</f>
        <v/>
      </c>
      <c r="K38">
        <f>MAX(0,E38-J38)</f>
        <v/>
      </c>
      <c r="L38">
        <f>IF(J38=0,"OUT",IF(J38&lt;E38,"LOW","OK"))</f>
        <v/>
      </c>
      <c r="M38">
        <f>K38</f>
        <v/>
      </c>
      <c r="N38" s="236">
        <f>H38*D38</f>
        <v/>
      </c>
    </row>
    <row r="39">
      <c r="A39">
        <f>'Component Catalogue'!G40</f>
        <v/>
      </c>
      <c r="B39">
        <f>'Component Catalogue'!B40</f>
        <v/>
      </c>
      <c r="C39">
        <f>'Component Catalogue'!E40</f>
        <v/>
      </c>
      <c r="D39" s="236">
        <f>'Component Catalogue'!H40</f>
        <v/>
      </c>
      <c r="E39">
        <f>'Component Catalogue'!J40</f>
        <v/>
      </c>
      <c r="F39">
        <f>SUMIFS('Inventory Movements'!$E$4:$E$5003,'Inventory Movements'!$C$4:$C$5003,$A39,'Inventory Movements'!$K$4:$K$5003,"Yes",'Inventory Movements'!$J$4:$J$5003,"Released")</f>
        <v/>
      </c>
      <c r="G39">
        <f>SUMIFS('Inventory Movements'!$F$4:$F$5003,'Inventory Movements'!$C$4:$C$5003,$A39,'Inventory Movements'!$K$4:$K$5003,"Yes")</f>
        <v/>
      </c>
      <c r="H39">
        <f>F39-G39</f>
        <v/>
      </c>
      <c r="I39">
        <f>SUMIFS(Reservations!$G$4:$G$2003,Reservations!$E$4:$E$2003,$A39,Reservations!$H$4:$H$2003,"Active")</f>
        <v/>
      </c>
      <c r="J39">
        <f>MAX(0,H39-I39)</f>
        <v/>
      </c>
      <c r="K39">
        <f>MAX(0,E39-J39)</f>
        <v/>
      </c>
      <c r="L39">
        <f>IF(J39=0,"OUT",IF(J39&lt;E39,"LOW","OK"))</f>
        <v/>
      </c>
      <c r="M39">
        <f>K39</f>
        <v/>
      </c>
      <c r="N39" s="236">
        <f>H39*D39</f>
        <v/>
      </c>
    </row>
    <row r="40">
      <c r="A40">
        <f>'Component Catalogue'!G41</f>
        <v/>
      </c>
      <c r="B40">
        <f>'Component Catalogue'!B41</f>
        <v/>
      </c>
      <c r="C40">
        <f>'Component Catalogue'!E41</f>
        <v/>
      </c>
      <c r="D40" s="236">
        <f>'Component Catalogue'!H41</f>
        <v/>
      </c>
      <c r="E40">
        <f>'Component Catalogue'!J41</f>
        <v/>
      </c>
      <c r="F40">
        <f>SUMIFS('Inventory Movements'!$E$4:$E$5003,'Inventory Movements'!$C$4:$C$5003,$A40,'Inventory Movements'!$K$4:$K$5003,"Yes",'Inventory Movements'!$J$4:$J$5003,"Released")</f>
        <v/>
      </c>
      <c r="G40">
        <f>SUMIFS('Inventory Movements'!$F$4:$F$5003,'Inventory Movements'!$C$4:$C$5003,$A40,'Inventory Movements'!$K$4:$K$5003,"Yes")</f>
        <v/>
      </c>
      <c r="H40">
        <f>F40-G40</f>
        <v/>
      </c>
      <c r="I40">
        <f>SUMIFS(Reservations!$G$4:$G$2003,Reservations!$E$4:$E$2003,$A40,Reservations!$H$4:$H$2003,"Active")</f>
        <v/>
      </c>
      <c r="J40">
        <f>MAX(0,H40-I40)</f>
        <v/>
      </c>
      <c r="K40">
        <f>MAX(0,E40-J40)</f>
        <v/>
      </c>
      <c r="L40">
        <f>IF(J40=0,"OUT",IF(J40&lt;E40,"LOW","OK"))</f>
        <v/>
      </c>
      <c r="M40">
        <f>K40</f>
        <v/>
      </c>
      <c r="N40" s="236">
        <f>H40*D40</f>
        <v/>
      </c>
    </row>
    <row r="41">
      <c r="A41">
        <f>'Component Catalogue'!G42</f>
        <v/>
      </c>
      <c r="B41">
        <f>'Component Catalogue'!B42</f>
        <v/>
      </c>
      <c r="C41">
        <f>'Component Catalogue'!E42</f>
        <v/>
      </c>
      <c r="D41" s="236">
        <f>'Component Catalogue'!H42</f>
        <v/>
      </c>
      <c r="E41">
        <f>'Component Catalogue'!J42</f>
        <v/>
      </c>
      <c r="F41">
        <f>SUMIFS('Inventory Movements'!$E$4:$E$5003,'Inventory Movements'!$C$4:$C$5003,$A41,'Inventory Movements'!$K$4:$K$5003,"Yes",'Inventory Movements'!$J$4:$J$5003,"Released")</f>
        <v/>
      </c>
      <c r="G41">
        <f>SUMIFS('Inventory Movements'!$F$4:$F$5003,'Inventory Movements'!$C$4:$C$5003,$A41,'Inventory Movements'!$K$4:$K$5003,"Yes")</f>
        <v/>
      </c>
      <c r="H41">
        <f>F41-G41</f>
        <v/>
      </c>
      <c r="I41">
        <f>SUMIFS(Reservations!$G$4:$G$2003,Reservations!$E$4:$E$2003,$A41,Reservations!$H$4:$H$2003,"Active")</f>
        <v/>
      </c>
      <c r="J41">
        <f>MAX(0,H41-I41)</f>
        <v/>
      </c>
      <c r="K41">
        <f>MAX(0,E41-J41)</f>
        <v/>
      </c>
      <c r="L41">
        <f>IF(J41=0,"OUT",IF(J41&lt;E41,"LOW","OK"))</f>
        <v/>
      </c>
      <c r="M41">
        <f>K41</f>
        <v/>
      </c>
      <c r="N41" s="236">
        <f>H41*D41</f>
        <v/>
      </c>
    </row>
    <row r="42">
      <c r="A42">
        <f>'Component Catalogue'!G43</f>
        <v/>
      </c>
      <c r="B42">
        <f>'Component Catalogue'!B43</f>
        <v/>
      </c>
      <c r="C42">
        <f>'Component Catalogue'!E43</f>
        <v/>
      </c>
      <c r="D42" s="236">
        <f>'Component Catalogue'!H43</f>
        <v/>
      </c>
      <c r="E42">
        <f>'Component Catalogue'!J43</f>
        <v/>
      </c>
      <c r="F42">
        <f>SUMIFS('Inventory Movements'!$E$4:$E$5003,'Inventory Movements'!$C$4:$C$5003,$A42,'Inventory Movements'!$K$4:$K$5003,"Yes",'Inventory Movements'!$J$4:$J$5003,"Released")</f>
        <v/>
      </c>
      <c r="G42">
        <f>SUMIFS('Inventory Movements'!$F$4:$F$5003,'Inventory Movements'!$C$4:$C$5003,$A42,'Inventory Movements'!$K$4:$K$5003,"Yes")</f>
        <v/>
      </c>
      <c r="H42">
        <f>F42-G42</f>
        <v/>
      </c>
      <c r="I42">
        <f>SUMIFS(Reservations!$G$4:$G$2003,Reservations!$E$4:$E$2003,$A42,Reservations!$H$4:$H$2003,"Active")</f>
        <v/>
      </c>
      <c r="J42">
        <f>MAX(0,H42-I42)</f>
        <v/>
      </c>
      <c r="K42">
        <f>MAX(0,E42-J42)</f>
        <v/>
      </c>
      <c r="L42">
        <f>IF(J42=0,"OUT",IF(J42&lt;E42,"LOW","OK"))</f>
        <v/>
      </c>
      <c r="M42">
        <f>K42</f>
        <v/>
      </c>
      <c r="N42" s="236">
        <f>H42*D42</f>
        <v/>
      </c>
    </row>
    <row r="43">
      <c r="A43">
        <f>'Component Catalogue'!G44</f>
        <v/>
      </c>
      <c r="B43">
        <f>'Component Catalogue'!B44</f>
        <v/>
      </c>
      <c r="C43">
        <f>'Component Catalogue'!E44</f>
        <v/>
      </c>
      <c r="D43" s="236">
        <f>'Component Catalogue'!H44</f>
        <v/>
      </c>
      <c r="E43">
        <f>'Component Catalogue'!J44</f>
        <v/>
      </c>
      <c r="F43">
        <f>SUMIFS('Inventory Movements'!$E$4:$E$5003,'Inventory Movements'!$C$4:$C$5003,$A43,'Inventory Movements'!$K$4:$K$5003,"Yes",'Inventory Movements'!$J$4:$J$5003,"Released")</f>
        <v/>
      </c>
      <c r="G43">
        <f>SUMIFS('Inventory Movements'!$F$4:$F$5003,'Inventory Movements'!$C$4:$C$5003,$A43,'Inventory Movements'!$K$4:$K$5003,"Yes")</f>
        <v/>
      </c>
      <c r="H43">
        <f>F43-G43</f>
        <v/>
      </c>
      <c r="I43">
        <f>SUMIFS(Reservations!$G$4:$G$2003,Reservations!$E$4:$E$2003,$A43,Reservations!$H$4:$H$2003,"Active")</f>
        <v/>
      </c>
      <c r="J43">
        <f>MAX(0,H43-I43)</f>
        <v/>
      </c>
      <c r="K43">
        <f>MAX(0,E43-J43)</f>
        <v/>
      </c>
      <c r="L43">
        <f>IF(J43=0,"OUT",IF(J43&lt;E43,"LOW","OK"))</f>
        <v/>
      </c>
      <c r="M43">
        <f>K43</f>
        <v/>
      </c>
      <c r="N43" s="236">
        <f>H43*D43</f>
        <v/>
      </c>
    </row>
    <row r="44">
      <c r="A44">
        <f>'Component Catalogue'!G45</f>
        <v/>
      </c>
      <c r="B44">
        <f>'Component Catalogue'!B45</f>
        <v/>
      </c>
      <c r="C44">
        <f>'Component Catalogue'!E45</f>
        <v/>
      </c>
      <c r="D44" s="236">
        <f>'Component Catalogue'!H45</f>
        <v/>
      </c>
      <c r="E44">
        <f>'Component Catalogue'!J45</f>
        <v/>
      </c>
      <c r="F44">
        <f>SUMIFS('Inventory Movements'!$E$4:$E$5003,'Inventory Movements'!$C$4:$C$5003,$A44,'Inventory Movements'!$K$4:$K$5003,"Yes",'Inventory Movements'!$J$4:$J$5003,"Released")</f>
        <v/>
      </c>
      <c r="G44">
        <f>SUMIFS('Inventory Movements'!$F$4:$F$5003,'Inventory Movements'!$C$4:$C$5003,$A44,'Inventory Movements'!$K$4:$K$5003,"Yes")</f>
        <v/>
      </c>
      <c r="H44">
        <f>F44-G44</f>
        <v/>
      </c>
      <c r="I44">
        <f>SUMIFS(Reservations!$G$4:$G$2003,Reservations!$E$4:$E$2003,$A44,Reservations!$H$4:$H$2003,"Active")</f>
        <v/>
      </c>
      <c r="J44">
        <f>MAX(0,H44-I44)</f>
        <v/>
      </c>
      <c r="K44">
        <f>MAX(0,E44-J44)</f>
        <v/>
      </c>
      <c r="L44">
        <f>IF(J44=0,"OUT",IF(J44&lt;E44,"LOW","OK"))</f>
        <v/>
      </c>
      <c r="M44">
        <f>K44</f>
        <v/>
      </c>
      <c r="N44" s="236">
        <f>H44*D44</f>
        <v/>
      </c>
    </row>
    <row r="45">
      <c r="A45">
        <f>'Component Catalogue'!G46</f>
        <v/>
      </c>
      <c r="B45">
        <f>'Component Catalogue'!B46</f>
        <v/>
      </c>
      <c r="C45">
        <f>'Component Catalogue'!E46</f>
        <v/>
      </c>
      <c r="D45" s="236">
        <f>'Component Catalogue'!H46</f>
        <v/>
      </c>
      <c r="E45">
        <f>'Component Catalogue'!J46</f>
        <v/>
      </c>
      <c r="F45">
        <f>SUMIFS('Inventory Movements'!$E$4:$E$5003,'Inventory Movements'!$C$4:$C$5003,$A45,'Inventory Movements'!$K$4:$K$5003,"Yes",'Inventory Movements'!$J$4:$J$5003,"Released")</f>
        <v/>
      </c>
      <c r="G45">
        <f>SUMIFS('Inventory Movements'!$F$4:$F$5003,'Inventory Movements'!$C$4:$C$5003,$A45,'Inventory Movements'!$K$4:$K$5003,"Yes")</f>
        <v/>
      </c>
      <c r="H45">
        <f>F45-G45</f>
        <v/>
      </c>
      <c r="I45">
        <f>SUMIFS(Reservations!$G$4:$G$2003,Reservations!$E$4:$E$2003,$A45,Reservations!$H$4:$H$2003,"Active")</f>
        <v/>
      </c>
      <c r="J45">
        <f>MAX(0,H45-I45)</f>
        <v/>
      </c>
      <c r="K45">
        <f>MAX(0,E45-J45)</f>
        <v/>
      </c>
      <c r="L45">
        <f>IF(J45=0,"OUT",IF(J45&lt;E45,"LOW","OK"))</f>
        <v/>
      </c>
      <c r="M45">
        <f>K45</f>
        <v/>
      </c>
      <c r="N45" s="236">
        <f>H45*D45</f>
        <v/>
      </c>
    </row>
    <row r="46">
      <c r="A46">
        <f>'Component Catalogue'!G47</f>
        <v/>
      </c>
      <c r="B46">
        <f>'Component Catalogue'!B47</f>
        <v/>
      </c>
      <c r="C46">
        <f>'Component Catalogue'!E47</f>
        <v/>
      </c>
      <c r="D46" s="236">
        <f>'Component Catalogue'!H47</f>
        <v/>
      </c>
      <c r="E46">
        <f>'Component Catalogue'!J47</f>
        <v/>
      </c>
      <c r="F46">
        <f>SUMIFS('Inventory Movements'!$E$4:$E$5003,'Inventory Movements'!$C$4:$C$5003,$A46,'Inventory Movements'!$K$4:$K$5003,"Yes",'Inventory Movements'!$J$4:$J$5003,"Released")</f>
        <v/>
      </c>
      <c r="G46">
        <f>SUMIFS('Inventory Movements'!$F$4:$F$5003,'Inventory Movements'!$C$4:$C$5003,$A46,'Inventory Movements'!$K$4:$K$5003,"Yes")</f>
        <v/>
      </c>
      <c r="H46">
        <f>F46-G46</f>
        <v/>
      </c>
      <c r="I46">
        <f>SUMIFS(Reservations!$G$4:$G$2003,Reservations!$E$4:$E$2003,$A46,Reservations!$H$4:$H$2003,"Active")</f>
        <v/>
      </c>
      <c r="J46">
        <f>MAX(0,H46-I46)</f>
        <v/>
      </c>
      <c r="K46">
        <f>MAX(0,E46-J46)</f>
        <v/>
      </c>
      <c r="L46">
        <f>IF(J46=0,"OUT",IF(J46&lt;E46,"LOW","OK"))</f>
        <v/>
      </c>
      <c r="M46">
        <f>K46</f>
        <v/>
      </c>
      <c r="N46" s="236">
        <f>H46*D46</f>
        <v/>
      </c>
    </row>
    <row r="47">
      <c r="A47">
        <f>'Component Catalogue'!G48</f>
        <v/>
      </c>
      <c r="B47">
        <f>'Component Catalogue'!B48</f>
        <v/>
      </c>
      <c r="C47">
        <f>'Component Catalogue'!E48</f>
        <v/>
      </c>
      <c r="D47" s="236">
        <f>'Component Catalogue'!H48</f>
        <v/>
      </c>
      <c r="E47">
        <f>'Component Catalogue'!J48</f>
        <v/>
      </c>
      <c r="F47">
        <f>SUMIFS('Inventory Movements'!$E$4:$E$5003,'Inventory Movements'!$C$4:$C$5003,$A47,'Inventory Movements'!$K$4:$K$5003,"Yes",'Inventory Movements'!$J$4:$J$5003,"Released")</f>
        <v/>
      </c>
      <c r="G47">
        <f>SUMIFS('Inventory Movements'!$F$4:$F$5003,'Inventory Movements'!$C$4:$C$5003,$A47,'Inventory Movements'!$K$4:$K$5003,"Yes")</f>
        <v/>
      </c>
      <c r="H47">
        <f>F47-G47</f>
        <v/>
      </c>
      <c r="I47">
        <f>SUMIFS(Reservations!$G$4:$G$2003,Reservations!$E$4:$E$2003,$A47,Reservations!$H$4:$H$2003,"Active")</f>
        <v/>
      </c>
      <c r="J47">
        <f>MAX(0,H47-I47)</f>
        <v/>
      </c>
      <c r="K47">
        <f>MAX(0,E47-J47)</f>
        <v/>
      </c>
      <c r="L47">
        <f>IF(J47=0,"OUT",IF(J47&lt;E47,"LOW","OK"))</f>
        <v/>
      </c>
      <c r="M47">
        <f>K47</f>
        <v/>
      </c>
      <c r="N47" s="236">
        <f>H47*D47</f>
        <v/>
      </c>
    </row>
    <row r="48">
      <c r="A48">
        <f>'Component Catalogue'!G49</f>
        <v/>
      </c>
      <c r="B48">
        <f>'Component Catalogue'!B49</f>
        <v/>
      </c>
      <c r="C48">
        <f>'Component Catalogue'!E49</f>
        <v/>
      </c>
      <c r="D48" s="236">
        <f>'Component Catalogue'!H49</f>
        <v/>
      </c>
      <c r="E48">
        <f>'Component Catalogue'!J49</f>
        <v/>
      </c>
      <c r="F48">
        <f>SUMIFS('Inventory Movements'!$E$4:$E$5003,'Inventory Movements'!$C$4:$C$5003,$A48,'Inventory Movements'!$K$4:$K$5003,"Yes",'Inventory Movements'!$J$4:$J$5003,"Released")</f>
        <v/>
      </c>
      <c r="G48">
        <f>SUMIFS('Inventory Movements'!$F$4:$F$5003,'Inventory Movements'!$C$4:$C$5003,$A48,'Inventory Movements'!$K$4:$K$5003,"Yes")</f>
        <v/>
      </c>
      <c r="H48">
        <f>F48-G48</f>
        <v/>
      </c>
      <c r="I48">
        <f>SUMIFS(Reservations!$G$4:$G$2003,Reservations!$E$4:$E$2003,$A48,Reservations!$H$4:$H$2003,"Active")</f>
        <v/>
      </c>
      <c r="J48">
        <f>MAX(0,H48-I48)</f>
        <v/>
      </c>
      <c r="K48">
        <f>MAX(0,E48-J48)</f>
        <v/>
      </c>
      <c r="L48">
        <f>IF(J48=0,"OUT",IF(J48&lt;E48,"LOW","OK"))</f>
        <v/>
      </c>
      <c r="M48">
        <f>K48</f>
        <v/>
      </c>
      <c r="N48" s="236">
        <f>H48*D48</f>
        <v/>
      </c>
    </row>
    <row r="49">
      <c r="A49">
        <f>'Component Catalogue'!G50</f>
        <v/>
      </c>
      <c r="B49">
        <f>'Component Catalogue'!B50</f>
        <v/>
      </c>
      <c r="C49">
        <f>'Component Catalogue'!E50</f>
        <v/>
      </c>
      <c r="D49" s="236">
        <f>'Component Catalogue'!H50</f>
        <v/>
      </c>
      <c r="E49">
        <f>'Component Catalogue'!J50</f>
        <v/>
      </c>
      <c r="F49">
        <f>SUMIFS('Inventory Movements'!$E$4:$E$5003,'Inventory Movements'!$C$4:$C$5003,$A49,'Inventory Movements'!$K$4:$K$5003,"Yes",'Inventory Movements'!$J$4:$J$5003,"Released")</f>
        <v/>
      </c>
      <c r="G49">
        <f>SUMIFS('Inventory Movements'!$F$4:$F$5003,'Inventory Movements'!$C$4:$C$5003,$A49,'Inventory Movements'!$K$4:$K$5003,"Yes")</f>
        <v/>
      </c>
      <c r="H49">
        <f>F49-G49</f>
        <v/>
      </c>
      <c r="I49">
        <f>SUMIFS(Reservations!$G$4:$G$2003,Reservations!$E$4:$E$2003,$A49,Reservations!$H$4:$H$2003,"Active")</f>
        <v/>
      </c>
      <c r="J49">
        <f>MAX(0,H49-I49)</f>
        <v/>
      </c>
      <c r="K49">
        <f>MAX(0,E49-J49)</f>
        <v/>
      </c>
      <c r="L49">
        <f>IF(J49=0,"OUT",IF(J49&lt;E49,"LOW","OK"))</f>
        <v/>
      </c>
      <c r="M49">
        <f>K49</f>
        <v/>
      </c>
      <c r="N49" s="236">
        <f>H49*D49</f>
        <v/>
      </c>
    </row>
    <row r="50">
      <c r="A50">
        <f>'Component Catalogue'!G51</f>
        <v/>
      </c>
      <c r="B50">
        <f>'Component Catalogue'!B51</f>
        <v/>
      </c>
      <c r="C50">
        <f>'Component Catalogue'!E51</f>
        <v/>
      </c>
      <c r="D50" s="236">
        <f>'Component Catalogue'!H51</f>
        <v/>
      </c>
      <c r="E50">
        <f>'Component Catalogue'!J51</f>
        <v/>
      </c>
      <c r="F50">
        <f>SUMIFS('Inventory Movements'!$E$4:$E$5003,'Inventory Movements'!$C$4:$C$5003,$A50,'Inventory Movements'!$K$4:$K$5003,"Yes",'Inventory Movements'!$J$4:$J$5003,"Released")</f>
        <v/>
      </c>
      <c r="G50">
        <f>SUMIFS('Inventory Movements'!$F$4:$F$5003,'Inventory Movements'!$C$4:$C$5003,$A50,'Inventory Movements'!$K$4:$K$5003,"Yes")</f>
        <v/>
      </c>
      <c r="H50">
        <f>F50-G50</f>
        <v/>
      </c>
      <c r="I50">
        <f>SUMIFS(Reservations!$G$4:$G$2003,Reservations!$E$4:$E$2003,$A50,Reservations!$H$4:$H$2003,"Active")</f>
        <v/>
      </c>
      <c r="J50">
        <f>MAX(0,H50-I50)</f>
        <v/>
      </c>
      <c r="K50">
        <f>MAX(0,E50-J50)</f>
        <v/>
      </c>
      <c r="L50">
        <f>IF(J50=0,"OUT",IF(J50&lt;E50,"LOW","OK"))</f>
        <v/>
      </c>
      <c r="M50">
        <f>K50</f>
        <v/>
      </c>
      <c r="N50" s="236">
        <f>H50*D50</f>
        <v/>
      </c>
    </row>
    <row r="51">
      <c r="A51">
        <f>'Component Catalogue'!G52</f>
        <v/>
      </c>
      <c r="B51">
        <f>'Component Catalogue'!B52</f>
        <v/>
      </c>
      <c r="C51">
        <f>'Component Catalogue'!E52</f>
        <v/>
      </c>
      <c r="D51" s="236">
        <f>'Component Catalogue'!H52</f>
        <v/>
      </c>
      <c r="E51">
        <f>'Component Catalogue'!J52</f>
        <v/>
      </c>
      <c r="F51">
        <f>SUMIFS('Inventory Movements'!$E$4:$E$5003,'Inventory Movements'!$C$4:$C$5003,$A51,'Inventory Movements'!$K$4:$K$5003,"Yes",'Inventory Movements'!$J$4:$J$5003,"Released")</f>
        <v/>
      </c>
      <c r="G51">
        <f>SUMIFS('Inventory Movements'!$F$4:$F$5003,'Inventory Movements'!$C$4:$C$5003,$A51,'Inventory Movements'!$K$4:$K$5003,"Yes")</f>
        <v/>
      </c>
      <c r="H51">
        <f>F51-G51</f>
        <v/>
      </c>
      <c r="I51">
        <f>SUMIFS(Reservations!$G$4:$G$2003,Reservations!$E$4:$E$2003,$A51,Reservations!$H$4:$H$2003,"Active")</f>
        <v/>
      </c>
      <c r="J51">
        <f>MAX(0,H51-I51)</f>
        <v/>
      </c>
      <c r="K51">
        <f>MAX(0,E51-J51)</f>
        <v/>
      </c>
      <c r="L51">
        <f>IF(J51=0,"OUT",IF(J51&lt;E51,"LOW","OK"))</f>
        <v/>
      </c>
      <c r="M51">
        <f>K51</f>
        <v/>
      </c>
      <c r="N51" s="236">
        <f>H51*D51</f>
        <v/>
      </c>
    </row>
    <row r="52">
      <c r="A52">
        <f>'Component Catalogue'!G53</f>
        <v/>
      </c>
      <c r="B52">
        <f>'Component Catalogue'!B53</f>
        <v/>
      </c>
      <c r="C52">
        <f>'Component Catalogue'!E53</f>
        <v/>
      </c>
      <c r="D52" s="236">
        <f>'Component Catalogue'!H53</f>
        <v/>
      </c>
      <c r="E52">
        <f>'Component Catalogue'!J53</f>
        <v/>
      </c>
      <c r="F52">
        <f>SUMIFS('Inventory Movements'!$E$4:$E$5003,'Inventory Movements'!$C$4:$C$5003,$A52,'Inventory Movements'!$K$4:$K$5003,"Yes",'Inventory Movements'!$J$4:$J$5003,"Released")</f>
        <v/>
      </c>
      <c r="G52">
        <f>SUMIFS('Inventory Movements'!$F$4:$F$5003,'Inventory Movements'!$C$4:$C$5003,$A52,'Inventory Movements'!$K$4:$K$5003,"Yes")</f>
        <v/>
      </c>
      <c r="H52">
        <f>F52-G52</f>
        <v/>
      </c>
      <c r="I52">
        <f>SUMIFS(Reservations!$G$4:$G$2003,Reservations!$E$4:$E$2003,$A52,Reservations!$H$4:$H$2003,"Active")</f>
        <v/>
      </c>
      <c r="J52">
        <f>MAX(0,H52-I52)</f>
        <v/>
      </c>
      <c r="K52">
        <f>MAX(0,E52-J52)</f>
        <v/>
      </c>
      <c r="L52">
        <f>IF(J52=0,"OUT",IF(J52&lt;E52,"LOW","OK"))</f>
        <v/>
      </c>
      <c r="M52">
        <f>K52</f>
        <v/>
      </c>
      <c r="N52" s="236">
        <f>H52*D52</f>
        <v/>
      </c>
    </row>
    <row r="53">
      <c r="A53">
        <f>'Component Catalogue'!G54</f>
        <v/>
      </c>
      <c r="B53">
        <f>'Component Catalogue'!B54</f>
        <v/>
      </c>
      <c r="C53">
        <f>'Component Catalogue'!E54</f>
        <v/>
      </c>
      <c r="D53" s="236">
        <f>'Component Catalogue'!H54</f>
        <v/>
      </c>
      <c r="E53">
        <f>'Component Catalogue'!J54</f>
        <v/>
      </c>
      <c r="F53">
        <f>SUMIFS('Inventory Movements'!$E$4:$E$5003,'Inventory Movements'!$C$4:$C$5003,$A53,'Inventory Movements'!$K$4:$K$5003,"Yes",'Inventory Movements'!$J$4:$J$5003,"Released")</f>
        <v/>
      </c>
      <c r="G53">
        <f>SUMIFS('Inventory Movements'!$F$4:$F$5003,'Inventory Movements'!$C$4:$C$5003,$A53,'Inventory Movements'!$K$4:$K$5003,"Yes")</f>
        <v/>
      </c>
      <c r="H53">
        <f>F53-G53</f>
        <v/>
      </c>
      <c r="I53">
        <f>SUMIFS(Reservations!$G$4:$G$2003,Reservations!$E$4:$E$2003,$A53,Reservations!$H$4:$H$2003,"Active")</f>
        <v/>
      </c>
      <c r="J53">
        <f>MAX(0,H53-I53)</f>
        <v/>
      </c>
      <c r="K53">
        <f>MAX(0,E53-J53)</f>
        <v/>
      </c>
      <c r="L53">
        <f>IF(J53=0,"OUT",IF(J53&lt;E53,"LOW","OK"))</f>
        <v/>
      </c>
      <c r="M53">
        <f>K53</f>
        <v/>
      </c>
      <c r="N53" s="236">
        <f>H53*D53</f>
        <v/>
      </c>
    </row>
    <row r="54">
      <c r="A54">
        <f>'Component Catalogue'!G55</f>
        <v/>
      </c>
      <c r="B54">
        <f>'Component Catalogue'!B55</f>
        <v/>
      </c>
      <c r="C54">
        <f>'Component Catalogue'!E55</f>
        <v/>
      </c>
      <c r="D54" s="236">
        <f>'Component Catalogue'!H55</f>
        <v/>
      </c>
      <c r="E54">
        <f>'Component Catalogue'!J55</f>
        <v/>
      </c>
      <c r="F54">
        <f>SUMIFS('Inventory Movements'!$E$4:$E$5003,'Inventory Movements'!$C$4:$C$5003,$A54,'Inventory Movements'!$K$4:$K$5003,"Yes",'Inventory Movements'!$J$4:$J$5003,"Released")</f>
        <v/>
      </c>
      <c r="G54">
        <f>SUMIFS('Inventory Movements'!$F$4:$F$5003,'Inventory Movements'!$C$4:$C$5003,$A54,'Inventory Movements'!$K$4:$K$5003,"Yes")</f>
        <v/>
      </c>
      <c r="H54">
        <f>F54-G54</f>
        <v/>
      </c>
      <c r="I54">
        <f>SUMIFS(Reservations!$G$4:$G$2003,Reservations!$E$4:$E$2003,$A54,Reservations!$H$4:$H$2003,"Active")</f>
        <v/>
      </c>
      <c r="J54">
        <f>MAX(0,H54-I54)</f>
        <v/>
      </c>
      <c r="K54">
        <f>MAX(0,E54-J54)</f>
        <v/>
      </c>
      <c r="L54">
        <f>IF(J54=0,"OUT",IF(J54&lt;E54,"LOW","OK"))</f>
        <v/>
      </c>
      <c r="M54">
        <f>K54</f>
        <v/>
      </c>
      <c r="N54" s="236">
        <f>H54*D54</f>
        <v/>
      </c>
    </row>
    <row r="55">
      <c r="A55">
        <f>'Component Catalogue'!G56</f>
        <v/>
      </c>
      <c r="B55">
        <f>'Component Catalogue'!B56</f>
        <v/>
      </c>
      <c r="C55">
        <f>'Component Catalogue'!E56</f>
        <v/>
      </c>
      <c r="D55" s="236">
        <f>'Component Catalogue'!H56</f>
        <v/>
      </c>
      <c r="E55">
        <f>'Component Catalogue'!J56</f>
        <v/>
      </c>
      <c r="F55">
        <f>SUMIFS('Inventory Movements'!$E$4:$E$5003,'Inventory Movements'!$C$4:$C$5003,$A55,'Inventory Movements'!$K$4:$K$5003,"Yes",'Inventory Movements'!$J$4:$J$5003,"Released")</f>
        <v/>
      </c>
      <c r="G55">
        <f>SUMIFS('Inventory Movements'!$F$4:$F$5003,'Inventory Movements'!$C$4:$C$5003,$A55,'Inventory Movements'!$K$4:$K$5003,"Yes")</f>
        <v/>
      </c>
      <c r="H55">
        <f>F55-G55</f>
        <v/>
      </c>
      <c r="I55">
        <f>SUMIFS(Reservations!$G$4:$G$2003,Reservations!$E$4:$E$2003,$A55,Reservations!$H$4:$H$2003,"Active")</f>
        <v/>
      </c>
      <c r="J55">
        <f>MAX(0,H55-I55)</f>
        <v/>
      </c>
      <c r="K55">
        <f>MAX(0,E55-J55)</f>
        <v/>
      </c>
      <c r="L55">
        <f>IF(J55=0,"OUT",IF(J55&lt;E55,"LOW","OK"))</f>
        <v/>
      </c>
      <c r="M55">
        <f>K55</f>
        <v/>
      </c>
      <c r="N55" s="236">
        <f>H55*D55</f>
        <v/>
      </c>
    </row>
    <row r="56">
      <c r="A56">
        <f>'Component Catalogue'!G57</f>
        <v/>
      </c>
      <c r="B56">
        <f>'Component Catalogue'!B57</f>
        <v/>
      </c>
      <c r="C56">
        <f>'Component Catalogue'!E57</f>
        <v/>
      </c>
      <c r="D56" s="236">
        <f>'Component Catalogue'!H57</f>
        <v/>
      </c>
      <c r="E56">
        <f>'Component Catalogue'!J57</f>
        <v/>
      </c>
      <c r="F56">
        <f>SUMIFS('Inventory Movements'!$E$4:$E$5003,'Inventory Movements'!$C$4:$C$5003,$A56,'Inventory Movements'!$K$4:$K$5003,"Yes",'Inventory Movements'!$J$4:$J$5003,"Released")</f>
        <v/>
      </c>
      <c r="G56">
        <f>SUMIFS('Inventory Movements'!$F$4:$F$5003,'Inventory Movements'!$C$4:$C$5003,$A56,'Inventory Movements'!$K$4:$K$5003,"Yes")</f>
        <v/>
      </c>
      <c r="H56">
        <f>F56-G56</f>
        <v/>
      </c>
      <c r="I56">
        <f>SUMIFS(Reservations!$G$4:$G$2003,Reservations!$E$4:$E$2003,$A56,Reservations!$H$4:$H$2003,"Active")</f>
        <v/>
      </c>
      <c r="J56">
        <f>MAX(0,H56-I56)</f>
        <v/>
      </c>
      <c r="K56">
        <f>MAX(0,E56-J56)</f>
        <v/>
      </c>
      <c r="L56">
        <f>IF(J56=0,"OUT",IF(J56&lt;E56,"LOW","OK"))</f>
        <v/>
      </c>
      <c r="M56">
        <f>K56</f>
        <v/>
      </c>
      <c r="N56" s="236">
        <f>H56*D56</f>
        <v/>
      </c>
    </row>
    <row r="57">
      <c r="A57">
        <f>'Component Catalogue'!G58</f>
        <v/>
      </c>
      <c r="B57">
        <f>'Component Catalogue'!B58</f>
        <v/>
      </c>
      <c r="C57">
        <f>'Component Catalogue'!E58</f>
        <v/>
      </c>
      <c r="D57" s="236">
        <f>'Component Catalogue'!H58</f>
        <v/>
      </c>
      <c r="E57">
        <f>'Component Catalogue'!J58</f>
        <v/>
      </c>
      <c r="F57">
        <f>SUMIFS('Inventory Movements'!$E$4:$E$5003,'Inventory Movements'!$C$4:$C$5003,$A57,'Inventory Movements'!$K$4:$K$5003,"Yes",'Inventory Movements'!$J$4:$J$5003,"Released")</f>
        <v/>
      </c>
      <c r="G57">
        <f>SUMIFS('Inventory Movements'!$F$4:$F$5003,'Inventory Movements'!$C$4:$C$5003,$A57,'Inventory Movements'!$K$4:$K$5003,"Yes")</f>
        <v/>
      </c>
      <c r="H57">
        <f>F57-G57</f>
        <v/>
      </c>
      <c r="I57">
        <f>SUMIFS(Reservations!$G$4:$G$2003,Reservations!$E$4:$E$2003,$A57,Reservations!$H$4:$H$2003,"Active")</f>
        <v/>
      </c>
      <c r="J57">
        <f>MAX(0,H57-I57)</f>
        <v/>
      </c>
      <c r="K57">
        <f>MAX(0,E57-J57)</f>
        <v/>
      </c>
      <c r="L57">
        <f>IF(J57=0,"OUT",IF(J57&lt;E57,"LOW","OK"))</f>
        <v/>
      </c>
      <c r="M57">
        <f>K57</f>
        <v/>
      </c>
      <c r="N57" s="236">
        <f>H57*D57</f>
        <v/>
      </c>
    </row>
    <row r="58">
      <c r="A58">
        <f>'Component Catalogue'!G59</f>
        <v/>
      </c>
      <c r="B58">
        <f>'Component Catalogue'!B59</f>
        <v/>
      </c>
      <c r="C58">
        <f>'Component Catalogue'!E59</f>
        <v/>
      </c>
      <c r="D58" s="236">
        <f>'Component Catalogue'!H59</f>
        <v/>
      </c>
      <c r="E58">
        <f>'Component Catalogue'!J59</f>
        <v/>
      </c>
      <c r="F58">
        <f>SUMIFS('Inventory Movements'!$E$4:$E$5003,'Inventory Movements'!$C$4:$C$5003,$A58,'Inventory Movements'!$K$4:$K$5003,"Yes",'Inventory Movements'!$J$4:$J$5003,"Released")</f>
        <v/>
      </c>
      <c r="G58">
        <f>SUMIFS('Inventory Movements'!$F$4:$F$5003,'Inventory Movements'!$C$4:$C$5003,$A58,'Inventory Movements'!$K$4:$K$5003,"Yes")</f>
        <v/>
      </c>
      <c r="H58">
        <f>F58-G58</f>
        <v/>
      </c>
      <c r="I58">
        <f>SUMIFS(Reservations!$G$4:$G$2003,Reservations!$E$4:$E$2003,$A58,Reservations!$H$4:$H$2003,"Active")</f>
        <v/>
      </c>
      <c r="J58">
        <f>MAX(0,H58-I58)</f>
        <v/>
      </c>
      <c r="K58">
        <f>MAX(0,E58-J58)</f>
        <v/>
      </c>
      <c r="L58">
        <f>IF(J58=0,"OUT",IF(J58&lt;E58,"LOW","OK"))</f>
        <v/>
      </c>
      <c r="M58">
        <f>K58</f>
        <v/>
      </c>
      <c r="N58" s="236">
        <f>H58*D58</f>
        <v/>
      </c>
    </row>
    <row r="59">
      <c r="A59">
        <f>'Component Catalogue'!G60</f>
        <v/>
      </c>
      <c r="B59">
        <f>'Component Catalogue'!B60</f>
        <v/>
      </c>
      <c r="C59">
        <f>'Component Catalogue'!E60</f>
        <v/>
      </c>
      <c r="D59" s="236">
        <f>'Component Catalogue'!H60</f>
        <v/>
      </c>
      <c r="E59">
        <f>'Component Catalogue'!J60</f>
        <v/>
      </c>
      <c r="F59">
        <f>SUMIFS('Inventory Movements'!$E$4:$E$5003,'Inventory Movements'!$C$4:$C$5003,$A59,'Inventory Movements'!$K$4:$K$5003,"Yes",'Inventory Movements'!$J$4:$J$5003,"Released")</f>
        <v/>
      </c>
      <c r="G59">
        <f>SUMIFS('Inventory Movements'!$F$4:$F$5003,'Inventory Movements'!$C$4:$C$5003,$A59,'Inventory Movements'!$K$4:$K$5003,"Yes")</f>
        <v/>
      </c>
      <c r="H59">
        <f>F59-G59</f>
        <v/>
      </c>
      <c r="I59">
        <f>SUMIFS(Reservations!$G$4:$G$2003,Reservations!$E$4:$E$2003,$A59,Reservations!$H$4:$H$2003,"Active")</f>
        <v/>
      </c>
      <c r="J59">
        <f>MAX(0,H59-I59)</f>
        <v/>
      </c>
      <c r="K59">
        <f>MAX(0,E59-J59)</f>
        <v/>
      </c>
      <c r="L59">
        <f>IF(J59=0,"OUT",IF(J59&lt;E59,"LOW","OK"))</f>
        <v/>
      </c>
      <c r="M59">
        <f>K59</f>
        <v/>
      </c>
      <c r="N59" s="236">
        <f>H59*D59</f>
        <v/>
      </c>
    </row>
    <row r="60">
      <c r="A60">
        <f>'Component Catalogue'!G61</f>
        <v/>
      </c>
      <c r="B60">
        <f>'Component Catalogue'!B61</f>
        <v/>
      </c>
      <c r="C60">
        <f>'Component Catalogue'!E61</f>
        <v/>
      </c>
      <c r="D60" s="236">
        <f>'Component Catalogue'!H61</f>
        <v/>
      </c>
      <c r="E60">
        <f>'Component Catalogue'!J61</f>
        <v/>
      </c>
      <c r="F60">
        <f>SUMIFS('Inventory Movements'!$E$4:$E$5003,'Inventory Movements'!$C$4:$C$5003,$A60,'Inventory Movements'!$K$4:$K$5003,"Yes",'Inventory Movements'!$J$4:$J$5003,"Released")</f>
        <v/>
      </c>
      <c r="G60">
        <f>SUMIFS('Inventory Movements'!$F$4:$F$5003,'Inventory Movements'!$C$4:$C$5003,$A60,'Inventory Movements'!$K$4:$K$5003,"Yes")</f>
        <v/>
      </c>
      <c r="H60">
        <f>F60-G60</f>
        <v/>
      </c>
      <c r="I60">
        <f>SUMIFS(Reservations!$G$4:$G$2003,Reservations!$E$4:$E$2003,$A60,Reservations!$H$4:$H$2003,"Active")</f>
        <v/>
      </c>
      <c r="J60">
        <f>MAX(0,H60-I60)</f>
        <v/>
      </c>
      <c r="K60">
        <f>MAX(0,E60-J60)</f>
        <v/>
      </c>
      <c r="L60">
        <f>IF(J60=0,"OUT",IF(J60&lt;E60,"LOW","OK"))</f>
        <v/>
      </c>
      <c r="M60">
        <f>K60</f>
        <v/>
      </c>
      <c r="N60" s="236">
        <f>H60*D60</f>
        <v/>
      </c>
    </row>
    <row r="61">
      <c r="A61">
        <f>'Component Catalogue'!G62</f>
        <v/>
      </c>
      <c r="B61">
        <f>'Component Catalogue'!B62</f>
        <v/>
      </c>
      <c r="C61">
        <f>'Component Catalogue'!E62</f>
        <v/>
      </c>
      <c r="D61" s="236">
        <f>'Component Catalogue'!H62</f>
        <v/>
      </c>
      <c r="E61">
        <f>'Component Catalogue'!J62</f>
        <v/>
      </c>
      <c r="F61">
        <f>SUMIFS('Inventory Movements'!$E$4:$E$5003,'Inventory Movements'!$C$4:$C$5003,$A61,'Inventory Movements'!$K$4:$K$5003,"Yes",'Inventory Movements'!$J$4:$J$5003,"Released")</f>
        <v/>
      </c>
      <c r="G61">
        <f>SUMIFS('Inventory Movements'!$F$4:$F$5003,'Inventory Movements'!$C$4:$C$5003,$A61,'Inventory Movements'!$K$4:$K$5003,"Yes")</f>
        <v/>
      </c>
      <c r="H61">
        <f>F61-G61</f>
        <v/>
      </c>
      <c r="I61">
        <f>SUMIFS(Reservations!$G$4:$G$2003,Reservations!$E$4:$E$2003,$A61,Reservations!$H$4:$H$2003,"Active")</f>
        <v/>
      </c>
      <c r="J61">
        <f>MAX(0,H61-I61)</f>
        <v/>
      </c>
      <c r="K61">
        <f>MAX(0,E61-J61)</f>
        <v/>
      </c>
      <c r="L61">
        <f>IF(J61=0,"OUT",IF(J61&lt;E61,"LOW","OK"))</f>
        <v/>
      </c>
      <c r="M61">
        <f>K61</f>
        <v/>
      </c>
      <c r="N61" s="236">
        <f>H61*D61</f>
        <v/>
      </c>
    </row>
    <row r="62">
      <c r="A62">
        <f>'Component Catalogue'!G63</f>
        <v/>
      </c>
      <c r="B62">
        <f>'Component Catalogue'!B63</f>
        <v/>
      </c>
      <c r="C62">
        <f>'Component Catalogue'!E63</f>
        <v/>
      </c>
      <c r="D62" s="236">
        <f>'Component Catalogue'!H63</f>
        <v/>
      </c>
      <c r="E62">
        <f>'Component Catalogue'!J63</f>
        <v/>
      </c>
      <c r="F62">
        <f>SUMIFS('Inventory Movements'!$E$4:$E$5003,'Inventory Movements'!$C$4:$C$5003,$A62,'Inventory Movements'!$K$4:$K$5003,"Yes",'Inventory Movements'!$J$4:$J$5003,"Released")</f>
        <v/>
      </c>
      <c r="G62">
        <f>SUMIFS('Inventory Movements'!$F$4:$F$5003,'Inventory Movements'!$C$4:$C$5003,$A62,'Inventory Movements'!$K$4:$K$5003,"Yes")</f>
        <v/>
      </c>
      <c r="H62">
        <f>F62-G62</f>
        <v/>
      </c>
      <c r="I62">
        <f>SUMIFS(Reservations!$G$4:$G$2003,Reservations!$E$4:$E$2003,$A62,Reservations!$H$4:$H$2003,"Active")</f>
        <v/>
      </c>
      <c r="J62">
        <f>MAX(0,H62-I62)</f>
        <v/>
      </c>
      <c r="K62">
        <f>MAX(0,E62-J62)</f>
        <v/>
      </c>
      <c r="L62">
        <f>IF(J62=0,"OUT",IF(J62&lt;E62,"LOW","OK"))</f>
        <v/>
      </c>
      <c r="M62">
        <f>K62</f>
        <v/>
      </c>
      <c r="N62" s="236">
        <f>H62*D62</f>
        <v/>
      </c>
    </row>
    <row r="63">
      <c r="A63">
        <f>'Component Catalogue'!G64</f>
        <v/>
      </c>
      <c r="B63">
        <f>'Component Catalogue'!B64</f>
        <v/>
      </c>
      <c r="C63">
        <f>'Component Catalogue'!E64</f>
        <v/>
      </c>
      <c r="D63" s="236">
        <f>'Component Catalogue'!H64</f>
        <v/>
      </c>
      <c r="E63">
        <f>'Component Catalogue'!J64</f>
        <v/>
      </c>
      <c r="F63">
        <f>SUMIFS('Inventory Movements'!$E$4:$E$5003,'Inventory Movements'!$C$4:$C$5003,$A63,'Inventory Movements'!$K$4:$K$5003,"Yes",'Inventory Movements'!$J$4:$J$5003,"Released")</f>
        <v/>
      </c>
      <c r="G63">
        <f>SUMIFS('Inventory Movements'!$F$4:$F$5003,'Inventory Movements'!$C$4:$C$5003,$A63,'Inventory Movements'!$K$4:$K$5003,"Yes")</f>
        <v/>
      </c>
      <c r="H63">
        <f>F63-G63</f>
        <v/>
      </c>
      <c r="I63">
        <f>SUMIFS(Reservations!$G$4:$G$2003,Reservations!$E$4:$E$2003,$A63,Reservations!$H$4:$H$2003,"Active")</f>
        <v/>
      </c>
      <c r="J63">
        <f>MAX(0,H63-I63)</f>
        <v/>
      </c>
      <c r="K63">
        <f>MAX(0,E63-J63)</f>
        <v/>
      </c>
      <c r="L63">
        <f>IF(J63=0,"OUT",IF(J63&lt;E63,"LOW","OK"))</f>
        <v/>
      </c>
      <c r="M63">
        <f>K63</f>
        <v/>
      </c>
      <c r="N63" s="236">
        <f>H63*D63</f>
        <v/>
      </c>
    </row>
    <row r="64">
      <c r="A64">
        <f>'Component Catalogue'!G65</f>
        <v/>
      </c>
      <c r="B64">
        <f>'Component Catalogue'!B65</f>
        <v/>
      </c>
      <c r="C64">
        <f>'Component Catalogue'!E65</f>
        <v/>
      </c>
      <c r="D64" s="236">
        <f>'Component Catalogue'!H65</f>
        <v/>
      </c>
      <c r="E64">
        <f>'Component Catalogue'!J65</f>
        <v/>
      </c>
      <c r="F64">
        <f>SUMIFS('Inventory Movements'!$E$4:$E$5003,'Inventory Movements'!$C$4:$C$5003,$A64,'Inventory Movements'!$K$4:$K$5003,"Yes",'Inventory Movements'!$J$4:$J$5003,"Released")</f>
        <v/>
      </c>
      <c r="G64">
        <f>SUMIFS('Inventory Movements'!$F$4:$F$5003,'Inventory Movements'!$C$4:$C$5003,$A64,'Inventory Movements'!$K$4:$K$5003,"Yes")</f>
        <v/>
      </c>
      <c r="H64">
        <f>F64-G64</f>
        <v/>
      </c>
      <c r="I64">
        <f>SUMIFS(Reservations!$G$4:$G$2003,Reservations!$E$4:$E$2003,$A64,Reservations!$H$4:$H$2003,"Active")</f>
        <v/>
      </c>
      <c r="J64">
        <f>MAX(0,H64-I64)</f>
        <v/>
      </c>
      <c r="K64">
        <f>MAX(0,E64-J64)</f>
        <v/>
      </c>
      <c r="L64">
        <f>IF(J64=0,"OUT",IF(J64&lt;E64,"LOW","OK"))</f>
        <v/>
      </c>
      <c r="M64">
        <f>K64</f>
        <v/>
      </c>
      <c r="N64" s="236">
        <f>H64*D64</f>
        <v/>
      </c>
    </row>
    <row r="65">
      <c r="A65">
        <f>'Component Catalogue'!G66</f>
        <v/>
      </c>
      <c r="B65">
        <f>'Component Catalogue'!B66</f>
        <v/>
      </c>
      <c r="C65">
        <f>'Component Catalogue'!E66</f>
        <v/>
      </c>
      <c r="D65" s="236">
        <f>'Component Catalogue'!H66</f>
        <v/>
      </c>
      <c r="E65">
        <f>'Component Catalogue'!J66</f>
        <v/>
      </c>
      <c r="F65">
        <f>SUMIFS('Inventory Movements'!$E$4:$E$5003,'Inventory Movements'!$C$4:$C$5003,$A65,'Inventory Movements'!$K$4:$K$5003,"Yes",'Inventory Movements'!$J$4:$J$5003,"Released")</f>
        <v/>
      </c>
      <c r="G65">
        <f>SUMIFS('Inventory Movements'!$F$4:$F$5003,'Inventory Movements'!$C$4:$C$5003,$A65,'Inventory Movements'!$K$4:$K$5003,"Yes")</f>
        <v/>
      </c>
      <c r="H65">
        <f>F65-G65</f>
        <v/>
      </c>
      <c r="I65">
        <f>SUMIFS(Reservations!$G$4:$G$2003,Reservations!$E$4:$E$2003,$A65,Reservations!$H$4:$H$2003,"Active")</f>
        <v/>
      </c>
      <c r="J65">
        <f>MAX(0,H65-I65)</f>
        <v/>
      </c>
      <c r="K65">
        <f>MAX(0,E65-J65)</f>
        <v/>
      </c>
      <c r="L65">
        <f>IF(J65=0,"OUT",IF(J65&lt;E65,"LOW","OK"))</f>
        <v/>
      </c>
      <c r="M65">
        <f>K65</f>
        <v/>
      </c>
      <c r="N65" s="236">
        <f>H65*D65</f>
        <v/>
      </c>
    </row>
    <row r="66">
      <c r="A66">
        <f>'Component Catalogue'!G67</f>
        <v/>
      </c>
      <c r="B66">
        <f>'Component Catalogue'!B67</f>
        <v/>
      </c>
      <c r="C66">
        <f>'Component Catalogue'!E67</f>
        <v/>
      </c>
      <c r="D66" s="236">
        <f>'Component Catalogue'!H67</f>
        <v/>
      </c>
      <c r="E66">
        <f>'Component Catalogue'!J67</f>
        <v/>
      </c>
      <c r="F66">
        <f>SUMIFS('Inventory Movements'!$E$4:$E$5003,'Inventory Movements'!$C$4:$C$5003,$A66,'Inventory Movements'!$K$4:$K$5003,"Yes",'Inventory Movements'!$J$4:$J$5003,"Released")</f>
        <v/>
      </c>
      <c r="G66">
        <f>SUMIFS('Inventory Movements'!$F$4:$F$5003,'Inventory Movements'!$C$4:$C$5003,$A66,'Inventory Movements'!$K$4:$K$5003,"Yes")</f>
        <v/>
      </c>
      <c r="H66">
        <f>F66-G66</f>
        <v/>
      </c>
      <c r="I66">
        <f>SUMIFS(Reservations!$G$4:$G$2003,Reservations!$E$4:$E$2003,$A66,Reservations!$H$4:$H$2003,"Active")</f>
        <v/>
      </c>
      <c r="J66">
        <f>MAX(0,H66-I66)</f>
        <v/>
      </c>
      <c r="K66">
        <f>MAX(0,E66-J66)</f>
        <v/>
      </c>
      <c r="L66">
        <f>IF(J66=0,"OUT",IF(J66&lt;E66,"LOW","OK"))</f>
        <v/>
      </c>
      <c r="M66">
        <f>K66</f>
        <v/>
      </c>
      <c r="N66" s="236">
        <f>H66*D66</f>
        <v/>
      </c>
    </row>
    <row r="67">
      <c r="A67">
        <f>'Component Catalogue'!G68</f>
        <v/>
      </c>
      <c r="B67">
        <f>'Component Catalogue'!B68</f>
        <v/>
      </c>
      <c r="C67">
        <f>'Component Catalogue'!E68</f>
        <v/>
      </c>
      <c r="D67" s="236">
        <f>'Component Catalogue'!H68</f>
        <v/>
      </c>
      <c r="E67">
        <f>'Component Catalogue'!J68</f>
        <v/>
      </c>
      <c r="F67">
        <f>SUMIFS('Inventory Movements'!$E$4:$E$5003,'Inventory Movements'!$C$4:$C$5003,$A67,'Inventory Movements'!$K$4:$K$5003,"Yes",'Inventory Movements'!$J$4:$J$5003,"Released")</f>
        <v/>
      </c>
      <c r="G67">
        <f>SUMIFS('Inventory Movements'!$F$4:$F$5003,'Inventory Movements'!$C$4:$C$5003,$A67,'Inventory Movements'!$K$4:$K$5003,"Yes")</f>
        <v/>
      </c>
      <c r="H67">
        <f>F67-G67</f>
        <v/>
      </c>
      <c r="I67">
        <f>SUMIFS(Reservations!$G$4:$G$2003,Reservations!$E$4:$E$2003,$A67,Reservations!$H$4:$H$2003,"Active")</f>
        <v/>
      </c>
      <c r="J67">
        <f>MAX(0,H67-I67)</f>
        <v/>
      </c>
      <c r="K67">
        <f>MAX(0,E67-J67)</f>
        <v/>
      </c>
      <c r="L67">
        <f>IF(J67=0,"OUT",IF(J67&lt;E67,"LOW","OK"))</f>
        <v/>
      </c>
      <c r="M67">
        <f>K67</f>
        <v/>
      </c>
      <c r="N67" s="236">
        <f>H67*D67</f>
        <v/>
      </c>
    </row>
    <row r="68">
      <c r="A68">
        <f>'Component Catalogue'!G69</f>
        <v/>
      </c>
      <c r="B68">
        <f>'Component Catalogue'!B69</f>
        <v/>
      </c>
      <c r="C68">
        <f>'Component Catalogue'!E69</f>
        <v/>
      </c>
      <c r="D68" s="236">
        <f>'Component Catalogue'!H69</f>
        <v/>
      </c>
      <c r="E68">
        <f>'Component Catalogue'!J69</f>
        <v/>
      </c>
      <c r="F68">
        <f>SUMIFS('Inventory Movements'!$E$4:$E$5003,'Inventory Movements'!$C$4:$C$5003,$A68,'Inventory Movements'!$K$4:$K$5003,"Yes",'Inventory Movements'!$J$4:$J$5003,"Released")</f>
        <v/>
      </c>
      <c r="G68">
        <f>SUMIFS('Inventory Movements'!$F$4:$F$5003,'Inventory Movements'!$C$4:$C$5003,$A68,'Inventory Movements'!$K$4:$K$5003,"Yes")</f>
        <v/>
      </c>
      <c r="H68">
        <f>F68-G68</f>
        <v/>
      </c>
      <c r="I68">
        <f>SUMIFS(Reservations!$G$4:$G$2003,Reservations!$E$4:$E$2003,$A68,Reservations!$H$4:$H$2003,"Active")</f>
        <v/>
      </c>
      <c r="J68">
        <f>MAX(0,H68-I68)</f>
        <v/>
      </c>
      <c r="K68">
        <f>MAX(0,E68-J68)</f>
        <v/>
      </c>
      <c r="L68">
        <f>IF(J68=0,"OUT",IF(J68&lt;E68,"LOW","OK"))</f>
        <v/>
      </c>
      <c r="M68">
        <f>K68</f>
        <v/>
      </c>
      <c r="N68" s="236">
        <f>H68*D68</f>
        <v/>
      </c>
    </row>
    <row r="69">
      <c r="A69">
        <f>'Component Catalogue'!G70</f>
        <v/>
      </c>
      <c r="B69">
        <f>'Component Catalogue'!B70</f>
        <v/>
      </c>
      <c r="C69">
        <f>'Component Catalogue'!E70</f>
        <v/>
      </c>
      <c r="D69" s="236">
        <f>'Component Catalogue'!H70</f>
        <v/>
      </c>
      <c r="E69">
        <f>'Component Catalogue'!J70</f>
        <v/>
      </c>
      <c r="F69">
        <f>SUMIFS('Inventory Movements'!$E$4:$E$5003,'Inventory Movements'!$C$4:$C$5003,$A69,'Inventory Movements'!$K$4:$K$5003,"Yes",'Inventory Movements'!$J$4:$J$5003,"Released")</f>
        <v/>
      </c>
      <c r="G69">
        <f>SUMIFS('Inventory Movements'!$F$4:$F$5003,'Inventory Movements'!$C$4:$C$5003,$A69,'Inventory Movements'!$K$4:$K$5003,"Yes")</f>
        <v/>
      </c>
      <c r="H69">
        <f>F69-G69</f>
        <v/>
      </c>
      <c r="I69">
        <f>SUMIFS(Reservations!$G$4:$G$2003,Reservations!$E$4:$E$2003,$A69,Reservations!$H$4:$H$2003,"Active")</f>
        <v/>
      </c>
      <c r="J69">
        <f>MAX(0,H69-I69)</f>
        <v/>
      </c>
      <c r="K69">
        <f>MAX(0,E69-J69)</f>
        <v/>
      </c>
      <c r="L69">
        <f>IF(J69=0,"OUT",IF(J69&lt;E69,"LOW","OK"))</f>
        <v/>
      </c>
      <c r="M69">
        <f>K69</f>
        <v/>
      </c>
      <c r="N69" s="236">
        <f>H69*D69</f>
        <v/>
      </c>
    </row>
    <row r="70">
      <c r="A70">
        <f>'Component Catalogue'!G71</f>
        <v/>
      </c>
      <c r="B70">
        <f>'Component Catalogue'!B71</f>
        <v/>
      </c>
      <c r="C70">
        <f>'Component Catalogue'!E71</f>
        <v/>
      </c>
      <c r="D70">
        <f>'Component Catalogue'!H71</f>
        <v/>
      </c>
      <c r="E70">
        <f>'Component Catalogue'!J71</f>
        <v/>
      </c>
      <c r="F70">
        <f>SUMIFS('Inventory Movements'!$E$4:$E$5003,'Inventory Movements'!$C$4:$C$5003,$A70,'Inventory Movements'!$K$4:$K$5003,"Yes",'Inventory Movements'!$J$4:$J$5003,"Released")</f>
        <v/>
      </c>
      <c r="G70">
        <f>SUMIFS('Inventory Movements'!$F$4:$F$5003,'Inventory Movements'!$C$4:$C$5003,$A70,'Inventory Movements'!$K$4:$K$5003,"Yes")</f>
        <v/>
      </c>
      <c r="H70">
        <f>F70-G70</f>
        <v/>
      </c>
      <c r="I70">
        <f>SUMIFS(Reservations!$G$4:$G$2003,Reservations!$E$4:$E$2003,$A70,Reservations!$H$4:$H$2003,"Active")</f>
        <v/>
      </c>
      <c r="J70">
        <f>MAX(0,H70-I70)</f>
        <v/>
      </c>
      <c r="K70">
        <f>MAX(0,E70-J70)</f>
        <v/>
      </c>
      <c r="L70">
        <f>IF(J70=0,"OUT",IF(J70&lt;E70,"LOW","OK"))</f>
        <v/>
      </c>
      <c r="M70">
        <f>K70</f>
        <v/>
      </c>
      <c r="N70">
        <f>H70*D70</f>
        <v/>
      </c>
    </row>
    <row r="71">
      <c r="A71">
        <f>'Component Catalogue'!G72</f>
        <v/>
      </c>
      <c r="B71">
        <f>'Component Catalogue'!B72</f>
        <v/>
      </c>
      <c r="C71">
        <f>'Component Catalogue'!E72</f>
        <v/>
      </c>
      <c r="D71">
        <f>'Component Catalogue'!H72</f>
        <v/>
      </c>
      <c r="E71">
        <f>'Component Catalogue'!J72</f>
        <v/>
      </c>
      <c r="F71">
        <f>SUMIFS('Inventory Movements'!$E$4:$E$5003,'Inventory Movements'!$C$4:$C$5003,$A71,'Inventory Movements'!$K$4:$K$5003,"Yes",'Inventory Movements'!$J$4:$J$5003,"Released")</f>
        <v/>
      </c>
      <c r="G71">
        <f>SUMIFS('Inventory Movements'!$F$4:$F$5003,'Inventory Movements'!$C$4:$C$5003,$A71,'Inventory Movements'!$K$4:$K$5003,"Yes")</f>
        <v/>
      </c>
      <c r="H71">
        <f>F71-G71</f>
        <v/>
      </c>
      <c r="I71">
        <f>SUMIFS(Reservations!$G$4:$G$2003,Reservations!$E$4:$E$2003,$A71,Reservations!$H$4:$H$2003,"Active")</f>
        <v/>
      </c>
      <c r="J71">
        <f>MAX(0,H71-I71)</f>
        <v/>
      </c>
      <c r="K71">
        <f>MAX(0,E71-J71)</f>
        <v/>
      </c>
      <c r="L71">
        <f>IF(J71=0,"OUT",IF(J71&lt;E71,"LOW","OK"))</f>
        <v/>
      </c>
      <c r="M71">
        <f>K71</f>
        <v/>
      </c>
      <c r="N71">
        <f>H71*D71</f>
        <v/>
      </c>
    </row>
    <row r="72">
      <c r="A72">
        <f>'Component Catalogue'!G73</f>
        <v/>
      </c>
      <c r="B72">
        <f>'Component Catalogue'!B73</f>
        <v/>
      </c>
      <c r="C72">
        <f>'Component Catalogue'!E73</f>
        <v/>
      </c>
      <c r="D72">
        <f>'Component Catalogue'!H73</f>
        <v/>
      </c>
      <c r="E72">
        <f>'Component Catalogue'!J73</f>
        <v/>
      </c>
      <c r="F72">
        <f>SUMIFS('Inventory Movements'!$E$4:$E$5003,'Inventory Movements'!$C$4:$C$5003,$A72,'Inventory Movements'!$K$4:$K$5003,"Yes",'Inventory Movements'!$J$4:$J$5003,"Released")</f>
        <v/>
      </c>
      <c r="G72">
        <f>SUMIFS('Inventory Movements'!$F$4:$F$5003,'Inventory Movements'!$C$4:$C$5003,$A72,'Inventory Movements'!$K$4:$K$5003,"Yes")</f>
        <v/>
      </c>
      <c r="H72">
        <f>F72-G72</f>
        <v/>
      </c>
      <c r="I72">
        <f>SUMIFS(Reservations!$G$4:$G$2003,Reservations!$E$4:$E$2003,$A72,Reservations!$H$4:$H$2003,"Active")</f>
        <v/>
      </c>
      <c r="J72">
        <f>MAX(0,H72-I72)</f>
        <v/>
      </c>
      <c r="K72">
        <f>MAX(0,E72-J72)</f>
        <v/>
      </c>
      <c r="L72">
        <f>IF(J72=0,"OUT",IF(J72&lt;E72,"LOW","OK"))</f>
        <v/>
      </c>
      <c r="M72">
        <f>K72</f>
        <v/>
      </c>
      <c r="N72">
        <f>H72*D72</f>
        <v/>
      </c>
    </row>
    <row r="73">
      <c r="A73">
        <f>'Component Catalogue'!G74</f>
        <v/>
      </c>
      <c r="B73">
        <f>'Component Catalogue'!B74</f>
        <v/>
      </c>
      <c r="C73">
        <f>'Component Catalogue'!E74</f>
        <v/>
      </c>
      <c r="D73">
        <f>'Component Catalogue'!H74</f>
        <v/>
      </c>
      <c r="E73">
        <f>'Component Catalogue'!J74</f>
        <v/>
      </c>
      <c r="F73">
        <f>SUMIFS('Inventory Movements'!$E$4:$E$5003,'Inventory Movements'!$C$4:$C$5003,$A73,'Inventory Movements'!$K$4:$K$5003,"Yes",'Inventory Movements'!$J$4:$J$5003,"Released")</f>
        <v/>
      </c>
      <c r="G73">
        <f>SUMIFS('Inventory Movements'!$F$4:$F$5003,'Inventory Movements'!$C$4:$C$5003,$A73,'Inventory Movements'!$K$4:$K$5003,"Yes")</f>
        <v/>
      </c>
      <c r="H73">
        <f>F73-G73</f>
        <v/>
      </c>
      <c r="I73">
        <f>SUMIFS(Reservations!$G$4:$G$2003,Reservations!$E$4:$E$2003,$A73,Reservations!$H$4:$H$2003,"Active")</f>
        <v/>
      </c>
      <c r="J73">
        <f>MAX(0,H73-I73)</f>
        <v/>
      </c>
      <c r="K73">
        <f>MAX(0,E73-J73)</f>
        <v/>
      </c>
      <c r="L73">
        <f>IF(J73=0,"OUT",IF(J73&lt;E73,"LOW","OK"))</f>
        <v/>
      </c>
      <c r="M73">
        <f>K73</f>
        <v/>
      </c>
      <c r="N73">
        <f>H73*D73</f>
        <v/>
      </c>
    </row>
    <row r="74">
      <c r="A74">
        <f>'Component Catalogue'!G75</f>
        <v/>
      </c>
      <c r="B74">
        <f>'Component Catalogue'!B75</f>
        <v/>
      </c>
      <c r="C74">
        <f>'Component Catalogue'!E75</f>
        <v/>
      </c>
      <c r="D74">
        <f>'Component Catalogue'!H75</f>
        <v/>
      </c>
      <c r="E74">
        <f>'Component Catalogue'!J75</f>
        <v/>
      </c>
      <c r="F74">
        <f>SUMIFS('Inventory Movements'!$E$4:$E$5003,'Inventory Movements'!$C$4:$C$5003,$A74,'Inventory Movements'!$K$4:$K$5003,"Yes",'Inventory Movements'!$J$4:$J$5003,"Released")</f>
        <v/>
      </c>
      <c r="G74">
        <f>SUMIFS('Inventory Movements'!$F$4:$F$5003,'Inventory Movements'!$C$4:$C$5003,$A74,'Inventory Movements'!$K$4:$K$5003,"Yes")</f>
        <v/>
      </c>
      <c r="H74">
        <f>F74-G74</f>
        <v/>
      </c>
      <c r="I74">
        <f>SUMIFS(Reservations!$G$4:$G$2003,Reservations!$E$4:$E$2003,$A74,Reservations!$H$4:$H$2003,"Active")</f>
        <v/>
      </c>
      <c r="J74">
        <f>MAX(0,H74-I74)</f>
        <v/>
      </c>
      <c r="K74">
        <f>MAX(0,E74-J74)</f>
        <v/>
      </c>
      <c r="L74">
        <f>IF(J74=0,"OUT",IF(J74&lt;E74,"LOW","OK"))</f>
        <v/>
      </c>
      <c r="M74">
        <f>K74</f>
        <v/>
      </c>
      <c r="N74">
        <f>H74*D74</f>
        <v/>
      </c>
    </row>
    <row r="75">
      <c r="A75">
        <f>'Component Catalogue'!G76</f>
        <v/>
      </c>
      <c r="B75">
        <f>'Component Catalogue'!B76</f>
        <v/>
      </c>
      <c r="C75">
        <f>'Component Catalogue'!E76</f>
        <v/>
      </c>
      <c r="D75">
        <f>'Component Catalogue'!H76</f>
        <v/>
      </c>
      <c r="E75">
        <f>'Component Catalogue'!J76</f>
        <v/>
      </c>
      <c r="F75">
        <f>SUMIFS('Inventory Movements'!$E$4:$E$5003,'Inventory Movements'!$C$4:$C$5003,$A75,'Inventory Movements'!$K$4:$K$5003,"Yes",'Inventory Movements'!$J$4:$J$5003,"Released")</f>
        <v/>
      </c>
      <c r="G75">
        <f>SUMIFS('Inventory Movements'!$F$4:$F$5003,'Inventory Movements'!$C$4:$C$5003,$A75,'Inventory Movements'!$K$4:$K$5003,"Yes")</f>
        <v/>
      </c>
      <c r="H75">
        <f>F75-G75</f>
        <v/>
      </c>
      <c r="I75">
        <f>SUMIFS(Reservations!$G$4:$G$2003,Reservations!$E$4:$E$2003,$A75,Reservations!$H$4:$H$2003,"Active")</f>
        <v/>
      </c>
      <c r="J75">
        <f>MAX(0,H75-I75)</f>
        <v/>
      </c>
      <c r="K75">
        <f>MAX(0,E75-J75)</f>
        <v/>
      </c>
      <c r="L75">
        <f>IF(J75=0,"OUT",IF(J75&lt;E75,"LOW","OK"))</f>
        <v/>
      </c>
      <c r="M75">
        <f>K75</f>
        <v/>
      </c>
      <c r="N75">
        <f>H75*D75</f>
        <v/>
      </c>
    </row>
  </sheetData>
  <mergeCells count="1">
    <mergeCell ref="A1:N1"/>
  </mergeCells>
  <conditionalFormatting sqref="L4:L69">
    <cfRule type="expression" priority="1" dxfId="13">
      <formula>L4="OUT"</formula>
    </cfRule>
    <cfRule type="expression" priority="2" dxfId="0">
      <formula>L4="BELOW MSL"</formula>
    </cfRule>
    <cfRule type="expression" priority="3" dxfId="3">
      <formula>L4="HEALTHY"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ColWidth="23.3984375" defaultRowHeight="13.80000019073486"/>
  <cols>
    <col width="17.19921875" customWidth="1" style="67" min="1" max="1"/>
    <col width="15.19921875" customWidth="1" style="67" min="2" max="2"/>
    <col width="19.8984375" customWidth="1" style="67" min="3" max="3"/>
    <col width="18" customWidth="1" style="67" min="4" max="4"/>
    <col width="20.3984375" customWidth="1" style="67" min="5" max="5"/>
    <col width="11.59765625" customWidth="1" style="67" min="6" max="6"/>
    <col width="8.5" customWidth="1" style="67" min="7" max="7"/>
    <col width="14.5" customWidth="1" style="67" min="8" max="8"/>
    <col width="16.796875" customWidth="1" style="67" min="9" max="9"/>
    <col width="23.3984375" customWidth="1" style="67" min="10" max="16384"/>
  </cols>
  <sheetData>
    <row r="1" ht="21" customHeight="1" s="88">
      <c r="A1" s="185" t="inlineStr">
        <is>
          <t>Approved BOM → SKU Mapping · planning defaults for Longitude / Latitude / Altitude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</row>
    <row r="2">
      <c r="A2" s="98" t="inlineStr">
        <is>
          <t>CANONICAL BOM AUTHORITY. J:L hold model-specific Qty/Bike; MRP/procurement/job material logic must reference this sheet only.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>
      <c r="A3" s="192" t="inlineStr">
        <is>
          <t>BOM Line</t>
        </is>
      </c>
      <c r="B3" s="192" t="inlineStr">
        <is>
          <t>Category</t>
        </is>
      </c>
      <c r="C3" s="192" t="inlineStr">
        <is>
          <t>Longitude SKU</t>
        </is>
      </c>
      <c r="D3" s="192" t="inlineStr">
        <is>
          <t>Latitude SKU</t>
        </is>
      </c>
      <c r="E3" s="192" t="inlineStr">
        <is>
          <t>Altitude SKU</t>
        </is>
      </c>
      <c r="F3" s="192" t="inlineStr">
        <is>
          <t>Qty / bike</t>
        </is>
      </c>
      <c r="G3" s="192" t="inlineStr">
        <is>
          <t>Unit</t>
        </is>
      </c>
      <c r="H3" s="192" t="inlineStr">
        <is>
          <t>Revision</t>
        </is>
      </c>
      <c r="I3" s="192" t="inlineStr">
        <is>
          <t>Status</t>
        </is>
      </c>
      <c r="J3" s="193" t="inlineStr">
        <is>
          <t>Qty Longitude</t>
        </is>
      </c>
      <c r="K3" s="193" t="inlineStr">
        <is>
          <t>Qty Latitude</t>
        </is>
      </c>
      <c r="L3" s="193" t="inlineStr">
        <is>
          <t>Qty Altitude</t>
        </is>
      </c>
    </row>
    <row r="4">
      <c r="A4" s="67" t="inlineStr">
        <is>
          <t>Drivetrain</t>
        </is>
      </c>
      <c r="B4" s="67" t="inlineStr">
        <is>
          <t>groupset</t>
        </is>
      </c>
      <c r="C4" s="69" t="inlineStr">
        <is>
          <t>SHI-105-R7000</t>
        </is>
      </c>
      <c r="D4" s="69" t="inlineStr">
        <is>
          <t>SHI-105-R7150</t>
        </is>
      </c>
      <c r="E4" s="69" t="inlineStr">
        <is>
          <t>SHI-ULT-R8170</t>
        </is>
      </c>
      <c r="F4" s="69" t="n">
        <v>1</v>
      </c>
      <c r="G4" s="67" t="inlineStr">
        <is>
          <t>set</t>
        </is>
      </c>
      <c r="H4" s="67" t="inlineStr">
        <is>
          <t>BOM-PLAN-1</t>
        </is>
      </c>
      <c r="I4" s="67" t="inlineStr">
        <is>
          <t>Approved</t>
        </is>
      </c>
      <c r="J4">
        <f>F4</f>
        <v/>
      </c>
      <c r="K4">
        <f>F4</f>
        <v/>
      </c>
      <c r="L4">
        <f>F4</f>
        <v/>
      </c>
    </row>
    <row r="5">
      <c r="A5" s="67" t="inlineStr">
        <is>
          <t>Wheelset</t>
        </is>
      </c>
      <c r="B5" s="67" t="inlineStr">
        <is>
          <t>wheelset</t>
        </is>
      </c>
      <c r="C5" s="69" t="inlineStr">
        <is>
          <t>WH-ALLOY-30</t>
        </is>
      </c>
      <c r="D5" s="69" t="inlineStr">
        <is>
          <t>WH-ZIP-303S</t>
        </is>
      </c>
      <c r="E5" s="69" t="inlineStr">
        <is>
          <t>WH-CARB-50</t>
        </is>
      </c>
      <c r="F5" s="69" t="n">
        <v>1</v>
      </c>
      <c r="G5" s="67" t="inlineStr">
        <is>
          <t>set</t>
        </is>
      </c>
      <c r="H5" s="67" t="inlineStr">
        <is>
          <t>BOM-PLAN-1</t>
        </is>
      </c>
      <c r="I5" s="67" t="inlineStr">
        <is>
          <t>Approved</t>
        </is>
      </c>
      <c r="J5">
        <f>F5</f>
        <v/>
      </c>
      <c r="K5">
        <f>F5</f>
        <v/>
      </c>
      <c r="L5">
        <f>F5</f>
        <v/>
      </c>
    </row>
    <row r="6">
      <c r="A6" s="67" t="inlineStr">
        <is>
          <t>Tyres</t>
        </is>
      </c>
      <c r="B6" s="67" t="inlineStr">
        <is>
          <t>tyre</t>
        </is>
      </c>
      <c r="C6" s="69" t="inlineStr">
        <is>
          <t>TY-RUBINO-PRO-PAIR</t>
        </is>
      </c>
      <c r="D6" s="69" t="inlineStr">
        <is>
          <t>TY-GP5000-PAIR</t>
        </is>
      </c>
      <c r="E6" s="69" t="inlineStr">
        <is>
          <t>TY-CORSA-PRO-PAIR</t>
        </is>
      </c>
      <c r="F6" s="69" t="n">
        <v>1</v>
      </c>
      <c r="G6" s="67" t="inlineStr">
        <is>
          <t>pair</t>
        </is>
      </c>
      <c r="H6" s="67" t="inlineStr">
        <is>
          <t>BOM-PLAN-1</t>
        </is>
      </c>
      <c r="I6" s="67" t="inlineStr">
        <is>
          <t>Approved</t>
        </is>
      </c>
      <c r="J6">
        <f>F6</f>
        <v/>
      </c>
      <c r="K6">
        <f>F6</f>
        <v/>
      </c>
      <c r="L6">
        <f>F6</f>
        <v/>
      </c>
    </row>
    <row r="7">
      <c r="A7" s="67" t="inlineStr">
        <is>
          <t>Handlebar</t>
        </is>
      </c>
      <c r="B7" s="67" t="inlineStr">
        <is>
          <t>handlebar</t>
        </is>
      </c>
      <c r="C7" s="69" t="inlineStr">
        <is>
          <t>HB-AL-420</t>
        </is>
      </c>
      <c r="D7" s="69" t="inlineStr">
        <is>
          <t>HB-CB-420</t>
        </is>
      </c>
      <c r="E7" s="69" t="inlineStr">
        <is>
          <t>HB-CB-420</t>
        </is>
      </c>
      <c r="F7" s="69" t="n">
        <v>1</v>
      </c>
      <c r="G7" s="67" t="inlineStr">
        <is>
          <t>ea</t>
        </is>
      </c>
      <c r="H7" s="67" t="inlineStr">
        <is>
          <t>BOM-PLAN-1</t>
        </is>
      </c>
      <c r="I7" s="67" t="inlineStr">
        <is>
          <t>Approved</t>
        </is>
      </c>
      <c r="J7">
        <f>F7</f>
        <v/>
      </c>
      <c r="K7">
        <f>F7</f>
        <v/>
      </c>
      <c r="L7">
        <f>F7</f>
        <v/>
      </c>
    </row>
    <row r="8">
      <c r="A8" s="67" t="inlineStr">
        <is>
          <t>Stem</t>
        </is>
      </c>
      <c r="B8" s="67" t="inlineStr">
        <is>
          <t>stem</t>
        </is>
      </c>
      <c r="C8" s="69" t="inlineStr">
        <is>
          <t>ST-AL-090</t>
        </is>
      </c>
      <c r="D8" s="69" t="inlineStr">
        <is>
          <t>ST-AL-100</t>
        </is>
      </c>
      <c r="E8" s="69" t="inlineStr">
        <is>
          <t>ST-INT-100</t>
        </is>
      </c>
      <c r="F8" s="69" t="n">
        <v>1</v>
      </c>
      <c r="G8" s="67" t="inlineStr">
        <is>
          <t>ea</t>
        </is>
      </c>
      <c r="H8" s="67" t="inlineStr">
        <is>
          <t>BOM-PLAN-1</t>
        </is>
      </c>
      <c r="I8" s="67" t="inlineStr">
        <is>
          <t>Approved</t>
        </is>
      </c>
      <c r="J8">
        <f>F8</f>
        <v/>
      </c>
      <c r="K8">
        <f>F8</f>
        <v/>
      </c>
      <c r="L8">
        <f>F8</f>
        <v/>
      </c>
    </row>
    <row r="9">
      <c r="A9" s="67" t="inlineStr">
        <is>
          <t>Saddle</t>
        </is>
      </c>
      <c r="B9" s="67" t="inlineStr">
        <is>
          <t>saddle</t>
        </is>
      </c>
      <c r="C9" s="69" t="inlineStr">
        <is>
          <t>SD-M-BL</t>
        </is>
      </c>
      <c r="D9" s="69" t="inlineStr">
        <is>
          <t>SD-M-NL</t>
        </is>
      </c>
      <c r="E9" s="69" t="inlineStr">
        <is>
          <t>SD-M-NS</t>
        </is>
      </c>
      <c r="F9" s="69" t="n">
        <v>1</v>
      </c>
      <c r="G9" s="67" t="inlineStr">
        <is>
          <t>ea</t>
        </is>
      </c>
      <c r="H9" s="67" t="inlineStr">
        <is>
          <t>BOM-PLAN-1</t>
        </is>
      </c>
      <c r="I9" s="67" t="inlineStr">
        <is>
          <t>Approved</t>
        </is>
      </c>
      <c r="J9">
        <f>F9</f>
        <v/>
      </c>
      <c r="K9">
        <f>F9</f>
        <v/>
      </c>
      <c r="L9">
        <f>F9</f>
        <v/>
      </c>
    </row>
    <row r="10">
      <c r="A10" s="67" t="inlineStr">
        <is>
          <t>Thru axle</t>
        </is>
      </c>
      <c r="B10" s="67" t="inlineStr">
        <is>
          <t>thruaxle</t>
        </is>
      </c>
      <c r="C10" s="69" t="inlineStr">
        <is>
          <t>TA-ROAD-CORE</t>
        </is>
      </c>
      <c r="D10" s="69" t="inlineStr">
        <is>
          <t>TA-ROAD-CORE</t>
        </is>
      </c>
      <c r="E10" s="69" t="inlineStr">
        <is>
          <t>TA-TI-ROAD</t>
        </is>
      </c>
      <c r="F10" s="69" t="n">
        <v>1</v>
      </c>
      <c r="G10" s="67" t="inlineStr">
        <is>
          <t>set</t>
        </is>
      </c>
      <c r="H10" s="67" t="inlineStr">
        <is>
          <t>BOM-PLAN-1</t>
        </is>
      </c>
      <c r="I10" s="67" t="inlineStr">
        <is>
          <t>Approved</t>
        </is>
      </c>
      <c r="J10">
        <f>F10</f>
        <v/>
      </c>
      <c r="K10">
        <f>F10</f>
        <v/>
      </c>
      <c r="L10">
        <f>F10</f>
        <v/>
      </c>
    </row>
    <row r="11">
      <c r="A11" s="67" t="inlineStr">
        <is>
          <t>Bottom bracket</t>
        </is>
      </c>
      <c r="B11" s="67" t="inlineStr">
        <is>
          <t>bottom-bracket</t>
        </is>
      </c>
      <c r="C11" s="69" t="inlineStr">
        <is>
          <t>BB-BSA-ROAD</t>
        </is>
      </c>
      <c r="D11" s="69" t="inlineStr">
        <is>
          <t>BB-T47I-855</t>
        </is>
      </c>
      <c r="E11" s="69" t="inlineStr">
        <is>
          <t>BB-T47I-855</t>
        </is>
      </c>
      <c r="F11" s="69" t="n">
        <v>1</v>
      </c>
      <c r="G11" s="67" t="inlineStr">
        <is>
          <t>ea</t>
        </is>
      </c>
      <c r="H11" s="67" t="inlineStr">
        <is>
          <t>BOM-PLAN-1</t>
        </is>
      </c>
      <c r="I11" s="67" t="inlineStr">
        <is>
          <t>Approved</t>
        </is>
      </c>
      <c r="J11">
        <f>F11</f>
        <v/>
      </c>
      <c r="K11">
        <f>F11</f>
        <v/>
      </c>
      <c r="L11">
        <f>F11</f>
        <v/>
      </c>
    </row>
    <row r="12">
      <c r="A12" s="67" t="inlineStr">
        <is>
          <t>Bottle cages</t>
        </is>
      </c>
      <c r="B12" s="67" t="inlineStr">
        <is>
          <t>bottle-cage</t>
        </is>
      </c>
      <c r="C12" s="69" t="inlineStr">
        <is>
          <t>BC-PLASTIC-01</t>
        </is>
      </c>
      <c r="D12" s="69" t="inlineStr">
        <is>
          <t>BC-CARBON-01</t>
        </is>
      </c>
      <c r="E12" s="69" t="inlineStr">
        <is>
          <t>BC-CARBON-01</t>
        </is>
      </c>
      <c r="F12" s="69" t="n">
        <v>2</v>
      </c>
      <c r="G12" s="67" t="inlineStr">
        <is>
          <t>ea</t>
        </is>
      </c>
      <c r="H12" s="67" t="inlineStr">
        <is>
          <t>BOM-PLAN-1</t>
        </is>
      </c>
      <c r="I12" s="67" t="inlineStr">
        <is>
          <t>Approved</t>
        </is>
      </c>
      <c r="J12">
        <f>F12</f>
        <v/>
      </c>
      <c r="K12">
        <f>F12</f>
        <v/>
      </c>
      <c r="L12">
        <f>F12</f>
        <v/>
      </c>
    </row>
    <row r="13">
      <c r="A13" s="67" t="inlineStr">
        <is>
          <t>Tool pouch</t>
        </is>
      </c>
      <c r="B13" s="67" t="inlineStr">
        <is>
          <t>tool-pouch</t>
        </is>
      </c>
      <c r="C13" s="69" t="inlineStr">
        <is>
          <t>TP-INTEGRATED-01</t>
        </is>
      </c>
      <c r="D13" s="69" t="inlineStr">
        <is>
          <t>TP-INTEGRATED-01</t>
        </is>
      </c>
      <c r="E13" s="69" t="inlineStr">
        <is>
          <t>TP-INTEGRATED-01</t>
        </is>
      </c>
      <c r="F13" s="69" t="n">
        <v>1</v>
      </c>
      <c r="G13" s="67" t="inlineStr">
        <is>
          <t>ea</t>
        </is>
      </c>
      <c r="H13" s="67" t="inlineStr">
        <is>
          <t>BOM-PLAN-1</t>
        </is>
      </c>
      <c r="I13" s="67" t="inlineStr">
        <is>
          <t>Approved</t>
        </is>
      </c>
      <c r="J13">
        <f>F13</f>
        <v/>
      </c>
      <c r="K13">
        <f>F13</f>
        <v/>
      </c>
      <c r="L13">
        <f>F13</f>
        <v/>
      </c>
    </row>
    <row r="14">
      <c r="A14" s="67" t="inlineStr">
        <is>
          <t>Computer bracket</t>
        </is>
      </c>
      <c r="B14" s="67" t="inlineStr">
        <is>
          <t>bracket</t>
        </is>
      </c>
      <c r="C14" s="69" t="inlineStr">
        <is>
          <t>BR-COMP-01</t>
        </is>
      </c>
      <c r="D14" s="69" t="inlineStr">
        <is>
          <t>BR-COMP-01</t>
        </is>
      </c>
      <c r="E14" s="69" t="inlineStr">
        <is>
          <t>BR-COMP-01</t>
        </is>
      </c>
      <c r="F14" s="69" t="n">
        <v>1</v>
      </c>
      <c r="G14" s="67" t="inlineStr">
        <is>
          <t>ea</t>
        </is>
      </c>
      <c r="H14" s="67" t="inlineStr">
        <is>
          <t>BOM-PLAN-1</t>
        </is>
      </c>
      <c r="I14" s="67" t="inlineStr">
        <is>
          <t>Approved</t>
        </is>
      </c>
      <c r="J14">
        <f>F14</f>
        <v/>
      </c>
      <c r="K14">
        <f>F14</f>
        <v/>
      </c>
      <c r="L14">
        <f>F14</f>
        <v/>
      </c>
    </row>
    <row r="15">
      <c r="A15" s="67" t="inlineStr">
        <is>
          <t>Light bracket</t>
        </is>
      </c>
      <c r="B15" s="67" t="inlineStr">
        <is>
          <t>bracket</t>
        </is>
      </c>
      <c r="C15" s="69" t="inlineStr">
        <is>
          <t>BR-LIGHT-01</t>
        </is>
      </c>
      <c r="D15" s="69" t="inlineStr">
        <is>
          <t>BR-LIGHT-01</t>
        </is>
      </c>
      <c r="E15" s="69" t="inlineStr">
        <is>
          <t>BR-LIGHT-01</t>
        </is>
      </c>
      <c r="F15" s="69" t="n">
        <v>1</v>
      </c>
      <c r="G15" s="67" t="inlineStr">
        <is>
          <t>ea</t>
        </is>
      </c>
      <c r="H15" s="67" t="inlineStr">
        <is>
          <t>BOM-PLAN-1</t>
        </is>
      </c>
      <c r="I15" s="67" t="inlineStr">
        <is>
          <t>Approved</t>
        </is>
      </c>
      <c r="J15">
        <f>F15</f>
        <v/>
      </c>
      <c r="K15">
        <f>F15</f>
        <v/>
      </c>
      <c r="L15">
        <f>F15</f>
        <v/>
      </c>
    </row>
    <row r="16">
      <c r="A16" s="67" t="inlineStr">
        <is>
          <t>M5 fasteners</t>
        </is>
      </c>
      <c r="B16" s="67" t="inlineStr">
        <is>
          <t>fastener</t>
        </is>
      </c>
      <c r="C16" s="69" t="inlineStr">
        <is>
          <t>HW-ALLEN-M5</t>
        </is>
      </c>
      <c r="D16" s="69" t="inlineStr">
        <is>
          <t>HW-ALLEN-M5</t>
        </is>
      </c>
      <c r="E16" s="69" t="inlineStr">
        <is>
          <t>HW-ALLEN-M5</t>
        </is>
      </c>
      <c r="F16" s="69" t="n">
        <v>4</v>
      </c>
      <c r="G16" s="67" t="inlineStr">
        <is>
          <t>ea</t>
        </is>
      </c>
      <c r="H16" s="67" t="inlineStr">
        <is>
          <t>BOM-PLAN-1</t>
        </is>
      </c>
      <c r="I16" s="67" t="inlineStr">
        <is>
          <t>Approved</t>
        </is>
      </c>
      <c r="J16">
        <f>F16</f>
        <v/>
      </c>
      <c r="K16">
        <f>F16</f>
        <v/>
      </c>
      <c r="L16">
        <f>F16</f>
        <v/>
      </c>
    </row>
    <row r="17">
      <c r="A17" s="67" t="inlineStr">
        <is>
          <t>M6 fasteners</t>
        </is>
      </c>
      <c r="B17" s="67" t="inlineStr">
        <is>
          <t>fastener</t>
        </is>
      </c>
      <c r="C17" s="69" t="inlineStr">
        <is>
          <t>HW-ALLEN-M6</t>
        </is>
      </c>
      <c r="D17" s="69" t="inlineStr">
        <is>
          <t>HW-ALLEN-M6</t>
        </is>
      </c>
      <c r="E17" s="69" t="inlineStr">
        <is>
          <t>HW-ALLEN-M6</t>
        </is>
      </c>
      <c r="F17" s="69" t="n">
        <v>2</v>
      </c>
      <c r="G17" s="67" t="inlineStr">
        <is>
          <t>ea</t>
        </is>
      </c>
      <c r="H17" s="67" t="inlineStr">
        <is>
          <t>BOM-PLAN-1</t>
        </is>
      </c>
      <c r="I17" s="67" t="inlineStr">
        <is>
          <t>Approved</t>
        </is>
      </c>
      <c r="J17">
        <f>F17</f>
        <v/>
      </c>
      <c r="K17">
        <f>F17</f>
        <v/>
      </c>
      <c r="L17">
        <f>F17</f>
        <v/>
      </c>
    </row>
    <row r="18">
      <c r="A18" t="inlineStr">
        <is>
          <t>Aluminium/OEM frameset</t>
        </is>
      </c>
      <c r="B18" t="inlineStr">
        <is>
          <t>raw-material</t>
        </is>
      </c>
      <c r="C18" t="inlineStr">
        <is>
          <t>FRAMESET-AL-OEM</t>
        </is>
      </c>
      <c r="F18" t="n">
        <v>1</v>
      </c>
      <c r="G18" t="inlineStr">
        <is>
          <t>set</t>
        </is>
      </c>
      <c r="H18" t="inlineStr">
        <is>
          <t>BOM-PLAN-1</t>
        </is>
      </c>
      <c r="I18" t="inlineStr">
        <is>
          <t>Approved</t>
        </is>
      </c>
      <c r="J18" t="n">
        <v>1</v>
      </c>
      <c r="K18" t="n">
        <v>0</v>
      </c>
      <c r="L18" t="n">
        <v>0</v>
      </c>
    </row>
    <row r="19">
      <c r="A19" t="inlineStr">
        <is>
          <t>T700 prepreg</t>
        </is>
      </c>
      <c r="B19" t="inlineStr">
        <is>
          <t>raw-material</t>
        </is>
      </c>
      <c r="D19" t="inlineStr">
        <is>
          <t>RM-T700-PREPREG</t>
        </is>
      </c>
      <c r="E19" t="inlineStr">
        <is>
          <t>RM-T700-PREPREG</t>
        </is>
      </c>
      <c r="F19" t="n">
        <v>1</v>
      </c>
      <c r="G19" t="inlineStr">
        <is>
          <t>kg</t>
        </is>
      </c>
      <c r="H19" t="inlineStr">
        <is>
          <t>BOM-PLAN-1</t>
        </is>
      </c>
      <c r="I19" t="inlineStr">
        <is>
          <t>Approved</t>
        </is>
      </c>
      <c r="J19" t="n">
        <v>0</v>
      </c>
      <c r="K19" t="n">
        <v>3.2</v>
      </c>
      <c r="L19" t="n">
        <v>2.5</v>
      </c>
    </row>
    <row r="20">
      <c r="A20" t="inlineStr">
        <is>
          <t>T800 prepreg</t>
        </is>
      </c>
      <c r="B20" t="inlineStr">
        <is>
          <t>raw-material</t>
        </is>
      </c>
      <c r="D20" t="inlineStr">
        <is>
          <t>RM-T800-PREPREG</t>
        </is>
      </c>
      <c r="E20" t="inlineStr">
        <is>
          <t>RM-T800-PREPREG</t>
        </is>
      </c>
      <c r="F20" t="n">
        <v>1</v>
      </c>
      <c r="G20" t="inlineStr">
        <is>
          <t>kg</t>
        </is>
      </c>
      <c r="H20" t="inlineStr">
        <is>
          <t>BOM-PLAN-1</t>
        </is>
      </c>
      <c r="I20" t="inlineStr">
        <is>
          <t>Approved</t>
        </is>
      </c>
      <c r="J20" t="n">
        <v>0</v>
      </c>
      <c r="K20" t="n">
        <v>1.3</v>
      </c>
      <c r="L20" t="n">
        <v>2.2</v>
      </c>
    </row>
    <row r="21">
      <c r="A21" t="inlineStr">
        <is>
          <t>Resin &amp; bonding system</t>
        </is>
      </c>
      <c r="B21" t="inlineStr">
        <is>
          <t>raw-material</t>
        </is>
      </c>
      <c r="D21" t="inlineStr">
        <is>
          <t>RM-RESIN-BOND</t>
        </is>
      </c>
      <c r="E21" t="inlineStr">
        <is>
          <t>RM-RESIN-BOND</t>
        </is>
      </c>
      <c r="F21" t="n">
        <v>1</v>
      </c>
      <c r="G21" t="inlineStr">
        <is>
          <t>kg</t>
        </is>
      </c>
      <c r="H21" t="inlineStr">
        <is>
          <t>BOM-PLAN-1</t>
        </is>
      </c>
      <c r="I21" t="inlineStr">
        <is>
          <t>Approved</t>
        </is>
      </c>
      <c r="J21" t="n">
        <v>0</v>
      </c>
      <c r="K21" t="n">
        <v>0.8</v>
      </c>
      <c r="L21" t="n">
        <v>0.9</v>
      </c>
    </row>
    <row r="22">
      <c r="A22" t="inlineStr">
        <is>
          <t>Paint &amp; clear coat</t>
        </is>
      </c>
      <c r="B22" t="inlineStr">
        <is>
          <t>raw-material</t>
        </is>
      </c>
      <c r="C22" t="inlineStr">
        <is>
          <t>RM-PAINT-CLEAR</t>
        </is>
      </c>
      <c r="D22" t="inlineStr">
        <is>
          <t>RM-PAINT-CLEAR</t>
        </is>
      </c>
      <c r="E22" t="inlineStr">
        <is>
          <t>RM-PAINT-CLEAR</t>
        </is>
      </c>
      <c r="F22" t="n">
        <v>1</v>
      </c>
      <c r="G22" t="inlineStr">
        <is>
          <t>L</t>
        </is>
      </c>
      <c r="H22" t="inlineStr">
        <is>
          <t>BOM-PLAN-1</t>
        </is>
      </c>
      <c r="I22" t="inlineStr">
        <is>
          <t>Approved</t>
        </is>
      </c>
      <c r="J22" t="n">
        <v>0.35</v>
      </c>
      <c r="K22" t="n">
        <v>0.35</v>
      </c>
      <c r="L22" t="n">
        <v>0.35</v>
      </c>
    </row>
    <row r="23">
      <c r="A23" t="inlineStr">
        <is>
          <t>Packaging kit</t>
        </is>
      </c>
      <c r="B23" t="inlineStr">
        <is>
          <t>packaging</t>
        </is>
      </c>
      <c r="C23" t="inlineStr">
        <is>
          <t>PKG-KIT</t>
        </is>
      </c>
      <c r="D23" t="inlineStr">
        <is>
          <t>PKG-KIT</t>
        </is>
      </c>
      <c r="E23" t="inlineStr">
        <is>
          <t>PKG-KIT</t>
        </is>
      </c>
      <c r="F23" t="n">
        <v>1</v>
      </c>
      <c r="G23" t="inlineStr">
        <is>
          <t>kit</t>
        </is>
      </c>
      <c r="H23" t="inlineStr">
        <is>
          <t>BOM-PLAN-1</t>
        </is>
      </c>
      <c r="I23" t="inlineStr">
        <is>
          <t>Approved</t>
        </is>
      </c>
      <c r="J23" t="n">
        <v>1</v>
      </c>
      <c r="K23" t="n">
        <v>1</v>
      </c>
      <c r="L23" t="n">
        <v>1</v>
      </c>
    </row>
  </sheetData>
  <mergeCells count="2">
    <mergeCell ref="A1:I1"/>
    <mergeCell ref="A2:L2"/>
  </mergeCells>
  <dataValidations count="1">
    <dataValidation sqref="I4:I17" showDropDown="0" showInputMessage="0" showErrorMessage="0" allowBlank="0" type="list">
      <formula1>"Draft,Pending,Approved,Superseded"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ColWidth="11.69921875" defaultRowHeight="13.80000019073486"/>
  <sheetData>
    <row r="1" ht="21" customHeight="1" s="88">
      <c r="A1" s="180" t="inlineStr">
        <is>
          <t>Commercial Order Register · confirmed orders become committed demand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3">
      <c r="A3" s="231" t="inlineStr">
        <is>
          <t>Order ID</t>
        </is>
      </c>
      <c r="B3" s="231" t="inlineStr">
        <is>
          <t>Revision</t>
        </is>
      </c>
      <c r="C3" s="231" t="inlineStr">
        <is>
          <t>Order Date</t>
        </is>
      </c>
      <c r="D3" s="231" t="inlineStr">
        <is>
          <t>Customer</t>
        </is>
      </c>
      <c r="E3" s="231" t="inlineStr">
        <is>
          <t>Model</t>
        </is>
      </c>
      <c r="F3" s="231" t="inlineStr">
        <is>
          <t>Variant</t>
        </is>
      </c>
      <c r="G3" s="231" t="inlineStr">
        <is>
          <t>Qty</t>
        </is>
      </c>
      <c r="H3" s="231" t="inlineStr">
        <is>
          <t>Unit Price ₹L</t>
        </is>
      </c>
      <c r="I3" s="231" t="inlineStr">
        <is>
          <t>Order Value ₹L</t>
        </is>
      </c>
      <c r="J3" s="231" t="inlineStr">
        <is>
          <t>Status</t>
        </is>
      </c>
      <c r="K3" s="231" t="inlineStr">
        <is>
          <t>Required Date</t>
        </is>
      </c>
      <c r="L3" s="231" t="inlineStr">
        <is>
          <t>BOM Revision</t>
        </is>
      </c>
      <c r="M3" s="231" t="inlineStr">
        <is>
          <t>Job Release?</t>
        </is>
      </c>
      <c r="N3" s="231" t="inlineStr">
        <is>
          <t>Note</t>
        </is>
      </c>
      <c r="O3" s="231" t="inlineStr">
        <is>
          <t>Truth Class</t>
        </is>
      </c>
      <c r="P3" s="231" t="inlineStr">
        <is>
          <t>Created At</t>
        </is>
      </c>
      <c r="Q3" s="231" t="inlineStr">
        <is>
          <t>Approved At</t>
        </is>
      </c>
      <c r="R3" s="231" t="inlineStr">
        <is>
          <t>Approved By</t>
        </is>
      </c>
      <c r="S3" s="231" t="inlineStr">
        <is>
          <t>Source Ref</t>
        </is>
      </c>
    </row>
    <row r="4">
      <c r="A4">
        <f>IF(E4="","","SO-"&amp;TEXT(ROW()-3,"0000"))</f>
        <v/>
      </c>
      <c r="B4" s="64" t="n">
        <v>1</v>
      </c>
      <c r="C4" s="237" t="n"/>
      <c r="D4" s="64" t="n"/>
      <c r="E4" s="64" t="n"/>
      <c r="F4" s="64" t="n"/>
      <c r="G4" s="64" t="n"/>
      <c r="H4" s="238" t="n"/>
      <c r="I4" s="239">
        <f>IF(OR(G4="",H4=""),0,G4*H4)</f>
        <v/>
      </c>
      <c r="J4" s="64" t="n"/>
      <c r="K4" s="237" t="n"/>
      <c r="L4" s="64" t="inlineStr">
        <is>
          <t>BOM-PLAN-1</t>
        </is>
      </c>
      <c r="M4">
        <f>IF(AND(J4="Confirmed",L4&lt;&gt;"",G4&gt;0),"YES","NO")</f>
        <v/>
      </c>
      <c r="O4">
        <f>IF(A4="","",IF(J4="Fulfilled","Actual",IF(J4="Confirmed","Committed","Plan")))</f>
        <v/>
      </c>
    </row>
    <row r="5">
      <c r="A5">
        <f>IF(E5="","","SO-"&amp;TEXT(ROW()-3,"0000"))</f>
        <v/>
      </c>
      <c r="B5" s="64" t="n">
        <v>1</v>
      </c>
      <c r="C5" s="237" t="n"/>
      <c r="D5" s="64" t="n"/>
      <c r="E5" s="64" t="n"/>
      <c r="F5" s="64" t="n"/>
      <c r="G5" s="64" t="n"/>
      <c r="H5" s="238" t="n"/>
      <c r="I5" s="239">
        <f>IF(OR(G5="",H5=""),0,G5*H5)</f>
        <v/>
      </c>
      <c r="J5" s="64" t="n"/>
      <c r="K5" s="237" t="n"/>
      <c r="L5" s="64" t="inlineStr">
        <is>
          <t>BOM-PLAN-1</t>
        </is>
      </c>
      <c r="M5">
        <f>IF(AND(J5="Confirmed",L5&lt;&gt;"",G5&gt;0),"YES","NO")</f>
        <v/>
      </c>
      <c r="O5">
        <f>IF(A5="","",IF(J5="Fulfilled","Actual",IF(J5="Confirmed","Committed","Plan")))</f>
        <v/>
      </c>
    </row>
    <row r="6">
      <c r="A6">
        <f>IF(E6="","","SO-"&amp;TEXT(ROW()-3,"0000"))</f>
        <v/>
      </c>
      <c r="B6" s="64" t="n">
        <v>1</v>
      </c>
      <c r="C6" s="237" t="n"/>
      <c r="D6" s="64" t="n"/>
      <c r="E6" s="64" t="n"/>
      <c r="F6" s="64" t="n"/>
      <c r="G6" s="64" t="n"/>
      <c r="H6" s="238" t="n"/>
      <c r="I6" s="239">
        <f>IF(OR(G6="",H6=""),0,G6*H6)</f>
        <v/>
      </c>
      <c r="J6" s="64" t="n"/>
      <c r="K6" s="237" t="n"/>
      <c r="L6" s="64" t="inlineStr">
        <is>
          <t>BOM-PLAN-1</t>
        </is>
      </c>
      <c r="M6">
        <f>IF(AND(J6="Confirmed",L6&lt;&gt;"",G6&gt;0),"YES","NO")</f>
        <v/>
      </c>
      <c r="O6">
        <f>IF(A6="","",IF(J6="Fulfilled","Actual",IF(J6="Confirmed","Committed","Plan")))</f>
        <v/>
      </c>
    </row>
    <row r="7">
      <c r="A7">
        <f>IF(E7="","","SO-"&amp;TEXT(ROW()-3,"0000"))</f>
        <v/>
      </c>
      <c r="B7" s="64" t="n">
        <v>1</v>
      </c>
      <c r="C7" s="237" t="n"/>
      <c r="D7" s="64" t="n"/>
      <c r="E7" s="64" t="n"/>
      <c r="F7" s="64" t="n"/>
      <c r="G7" s="64" t="n"/>
      <c r="H7" s="238" t="n"/>
      <c r="I7" s="239">
        <f>IF(OR(G7="",H7=""),0,G7*H7)</f>
        <v/>
      </c>
      <c r="J7" s="64" t="n"/>
      <c r="K7" s="237" t="n"/>
      <c r="L7" s="64" t="inlineStr">
        <is>
          <t>BOM-PLAN-1</t>
        </is>
      </c>
      <c r="M7">
        <f>IF(AND(J7="Confirmed",L7&lt;&gt;"",G7&gt;0),"YES","NO")</f>
        <v/>
      </c>
      <c r="O7">
        <f>IF(A7="","",IF(J7="Fulfilled","Actual",IF(J7="Confirmed","Committed","Plan")))</f>
        <v/>
      </c>
    </row>
    <row r="8">
      <c r="A8">
        <f>IF(E8="","","SO-"&amp;TEXT(ROW()-3,"0000"))</f>
        <v/>
      </c>
      <c r="B8" s="64" t="n">
        <v>1</v>
      </c>
      <c r="C8" s="237" t="n"/>
      <c r="D8" s="64" t="n"/>
      <c r="E8" s="64" t="n"/>
      <c r="F8" s="64" t="n"/>
      <c r="G8" s="64" t="n"/>
      <c r="H8" s="238" t="n"/>
      <c r="I8" s="239">
        <f>IF(OR(G8="",H8=""),0,G8*H8)</f>
        <v/>
      </c>
      <c r="J8" s="64" t="n"/>
      <c r="K8" s="237" t="n"/>
      <c r="L8" s="64" t="inlineStr">
        <is>
          <t>BOM-PLAN-1</t>
        </is>
      </c>
      <c r="M8">
        <f>IF(AND(J8="Confirmed",L8&lt;&gt;"",G8&gt;0),"YES","NO")</f>
        <v/>
      </c>
      <c r="O8">
        <f>IF(A8="","",IF(J8="Fulfilled","Actual",IF(J8="Confirmed","Committed","Plan")))</f>
        <v/>
      </c>
    </row>
    <row r="9">
      <c r="A9">
        <f>IF(E9="","","SO-"&amp;TEXT(ROW()-3,"0000"))</f>
        <v/>
      </c>
      <c r="B9" s="64" t="n">
        <v>1</v>
      </c>
      <c r="C9" s="237" t="n"/>
      <c r="D9" s="64" t="n"/>
      <c r="E9" s="64" t="n"/>
      <c r="F9" s="64" t="n"/>
      <c r="G9" s="64" t="n"/>
      <c r="H9" s="238" t="n"/>
      <c r="I9" s="239">
        <f>IF(OR(G9="",H9=""),0,G9*H9)</f>
        <v/>
      </c>
      <c r="J9" s="64" t="n"/>
      <c r="K9" s="237" t="n"/>
      <c r="L9" s="64" t="inlineStr">
        <is>
          <t>BOM-PLAN-1</t>
        </is>
      </c>
      <c r="M9">
        <f>IF(AND(J9="Confirmed",L9&lt;&gt;"",G9&gt;0),"YES","NO")</f>
        <v/>
      </c>
      <c r="O9">
        <f>IF(A9="","",IF(J9="Fulfilled","Actual",IF(J9="Confirmed","Committed","Plan")))</f>
        <v/>
      </c>
    </row>
    <row r="10">
      <c r="A10">
        <f>IF(E10="","","SO-"&amp;TEXT(ROW()-3,"0000"))</f>
        <v/>
      </c>
      <c r="B10" s="64" t="n">
        <v>1</v>
      </c>
      <c r="C10" s="237" t="n"/>
      <c r="D10" s="64" t="n"/>
      <c r="E10" s="64" t="n"/>
      <c r="F10" s="64" t="n"/>
      <c r="G10" s="64" t="n"/>
      <c r="H10" s="238" t="n"/>
      <c r="I10" s="239">
        <f>IF(OR(G10="",H10=""),0,G10*H10)</f>
        <v/>
      </c>
      <c r="J10" s="64" t="n"/>
      <c r="K10" s="237" t="n"/>
      <c r="L10" s="64" t="inlineStr">
        <is>
          <t>BOM-PLAN-1</t>
        </is>
      </c>
      <c r="M10">
        <f>IF(AND(J10="Confirmed",L10&lt;&gt;"",G10&gt;0),"YES","NO")</f>
        <v/>
      </c>
      <c r="O10">
        <f>IF(A10="","",IF(J10="Fulfilled","Actual",IF(J10="Confirmed","Committed","Plan")))</f>
        <v/>
      </c>
    </row>
    <row r="11">
      <c r="A11">
        <f>IF(E11="","","SO-"&amp;TEXT(ROW()-3,"0000"))</f>
        <v/>
      </c>
      <c r="B11" s="64" t="n">
        <v>1</v>
      </c>
      <c r="C11" s="237" t="n"/>
      <c r="D11" s="64" t="n"/>
      <c r="E11" s="64" t="n"/>
      <c r="F11" s="64" t="n"/>
      <c r="G11" s="64" t="n"/>
      <c r="H11" s="238" t="n"/>
      <c r="I11" s="239">
        <f>IF(OR(G11="",H11=""),0,G11*H11)</f>
        <v/>
      </c>
      <c r="J11" s="64" t="n"/>
      <c r="K11" s="237" t="n"/>
      <c r="L11" s="64" t="inlineStr">
        <is>
          <t>BOM-PLAN-1</t>
        </is>
      </c>
      <c r="M11">
        <f>IF(AND(J11="Confirmed",L11&lt;&gt;"",G11&gt;0),"YES","NO")</f>
        <v/>
      </c>
      <c r="O11">
        <f>IF(A11="","",IF(J11="Fulfilled","Actual",IF(J11="Confirmed","Committed","Plan")))</f>
        <v/>
      </c>
    </row>
    <row r="12">
      <c r="A12">
        <f>IF(E12="","","SO-"&amp;TEXT(ROW()-3,"0000"))</f>
        <v/>
      </c>
      <c r="B12" s="64" t="n">
        <v>1</v>
      </c>
      <c r="C12" s="237" t="n"/>
      <c r="D12" s="64" t="n"/>
      <c r="E12" s="64" t="n"/>
      <c r="F12" s="64" t="n"/>
      <c r="G12" s="64" t="n"/>
      <c r="H12" s="238" t="n"/>
      <c r="I12" s="239">
        <f>IF(OR(G12="",H12=""),0,G12*H12)</f>
        <v/>
      </c>
      <c r="J12" s="64" t="n"/>
      <c r="K12" s="237" t="n"/>
      <c r="L12" s="64" t="inlineStr">
        <is>
          <t>BOM-PLAN-1</t>
        </is>
      </c>
      <c r="M12">
        <f>IF(AND(J12="Confirmed",L12&lt;&gt;"",G12&gt;0),"YES","NO")</f>
        <v/>
      </c>
      <c r="O12">
        <f>IF(A12="","",IF(J12="Fulfilled","Actual",IF(J12="Confirmed","Committed","Plan")))</f>
        <v/>
      </c>
    </row>
    <row r="13">
      <c r="A13">
        <f>IF(E13="","","SO-"&amp;TEXT(ROW()-3,"0000"))</f>
        <v/>
      </c>
      <c r="B13" s="64" t="n">
        <v>1</v>
      </c>
      <c r="C13" s="237" t="n"/>
      <c r="D13" s="64" t="n"/>
      <c r="E13" s="64" t="n"/>
      <c r="F13" s="64" t="n"/>
      <c r="G13" s="64" t="n"/>
      <c r="H13" s="238" t="n"/>
      <c r="I13" s="239">
        <f>IF(OR(G13="",H13=""),0,G13*H13)</f>
        <v/>
      </c>
      <c r="J13" s="64" t="n"/>
      <c r="K13" s="237" t="n"/>
      <c r="L13" s="64" t="inlineStr">
        <is>
          <t>BOM-PLAN-1</t>
        </is>
      </c>
      <c r="M13">
        <f>IF(AND(J13="Confirmed",L13&lt;&gt;"",G13&gt;0),"YES","NO")</f>
        <v/>
      </c>
      <c r="O13">
        <f>IF(A13="","",IF(J13="Fulfilled","Actual",IF(J13="Confirmed","Committed","Plan")))</f>
        <v/>
      </c>
    </row>
    <row r="14">
      <c r="A14">
        <f>IF(E14="","","SO-"&amp;TEXT(ROW()-3,"0000"))</f>
        <v/>
      </c>
      <c r="B14" s="64" t="n">
        <v>1</v>
      </c>
      <c r="C14" s="237" t="n"/>
      <c r="D14" s="64" t="n"/>
      <c r="E14" s="64" t="n"/>
      <c r="F14" s="64" t="n"/>
      <c r="G14" s="64" t="n"/>
      <c r="H14" s="238" t="n"/>
      <c r="I14" s="239">
        <f>IF(OR(G14="",H14=""),0,G14*H14)</f>
        <v/>
      </c>
      <c r="J14" s="64" t="n"/>
      <c r="K14" s="237" t="n"/>
      <c r="L14" s="64" t="inlineStr">
        <is>
          <t>BOM-PLAN-1</t>
        </is>
      </c>
      <c r="M14">
        <f>IF(AND(J14="Confirmed",L14&lt;&gt;"",G14&gt;0),"YES","NO")</f>
        <v/>
      </c>
      <c r="O14">
        <f>IF(A14="","",IF(J14="Fulfilled","Actual",IF(J14="Confirmed","Committed","Plan")))</f>
        <v/>
      </c>
    </row>
    <row r="15">
      <c r="A15">
        <f>IF(E15="","","SO-"&amp;TEXT(ROW()-3,"0000"))</f>
        <v/>
      </c>
      <c r="B15" s="64" t="n">
        <v>1</v>
      </c>
      <c r="C15" s="237" t="n"/>
      <c r="D15" s="64" t="n"/>
      <c r="E15" s="64" t="n"/>
      <c r="F15" s="64" t="n"/>
      <c r="G15" s="64" t="n"/>
      <c r="H15" s="238" t="n"/>
      <c r="I15" s="239">
        <f>IF(OR(G15="",H15=""),0,G15*H15)</f>
        <v/>
      </c>
      <c r="J15" s="64" t="n"/>
      <c r="K15" s="237" t="n"/>
      <c r="L15" s="64" t="inlineStr">
        <is>
          <t>BOM-PLAN-1</t>
        </is>
      </c>
      <c r="M15">
        <f>IF(AND(J15="Confirmed",L15&lt;&gt;"",G15&gt;0),"YES","NO")</f>
        <v/>
      </c>
      <c r="O15">
        <f>IF(A15="","",IF(J15="Fulfilled","Actual",IF(J15="Confirmed","Committed","Plan")))</f>
        <v/>
      </c>
    </row>
    <row r="16">
      <c r="A16">
        <f>IF(E16="","","SO-"&amp;TEXT(ROW()-3,"0000"))</f>
        <v/>
      </c>
      <c r="B16" s="64" t="n">
        <v>1</v>
      </c>
      <c r="C16" s="237" t="n"/>
      <c r="D16" s="64" t="n"/>
      <c r="E16" s="64" t="n"/>
      <c r="F16" s="64" t="n"/>
      <c r="G16" s="64" t="n"/>
      <c r="H16" s="238" t="n"/>
      <c r="I16" s="239">
        <f>IF(OR(G16="",H16=""),0,G16*H16)</f>
        <v/>
      </c>
      <c r="J16" s="64" t="n"/>
      <c r="K16" s="237" t="n"/>
      <c r="L16" s="64" t="inlineStr">
        <is>
          <t>BOM-PLAN-1</t>
        </is>
      </c>
      <c r="M16">
        <f>IF(AND(J16="Confirmed",L16&lt;&gt;"",G16&gt;0),"YES","NO")</f>
        <v/>
      </c>
      <c r="O16">
        <f>IF(A16="","",IF(J16="Fulfilled","Actual",IF(J16="Confirmed","Committed","Plan")))</f>
        <v/>
      </c>
    </row>
    <row r="17">
      <c r="A17">
        <f>IF(E17="","","SO-"&amp;TEXT(ROW()-3,"0000"))</f>
        <v/>
      </c>
      <c r="B17" s="64" t="n">
        <v>1</v>
      </c>
      <c r="C17" s="237" t="n"/>
      <c r="D17" s="64" t="n"/>
      <c r="E17" s="64" t="n"/>
      <c r="F17" s="64" t="n"/>
      <c r="G17" s="64" t="n"/>
      <c r="H17" s="238" t="n"/>
      <c r="I17" s="239">
        <f>IF(OR(G17="",H17=""),0,G17*H17)</f>
        <v/>
      </c>
      <c r="J17" s="64" t="n"/>
      <c r="K17" s="237" t="n"/>
      <c r="L17" s="64" t="inlineStr">
        <is>
          <t>BOM-PLAN-1</t>
        </is>
      </c>
      <c r="M17">
        <f>IF(AND(J17="Confirmed",L17&lt;&gt;"",G17&gt;0),"YES","NO")</f>
        <v/>
      </c>
      <c r="O17">
        <f>IF(A17="","",IF(J17="Fulfilled","Actual",IF(J17="Confirmed","Committed","Plan")))</f>
        <v/>
      </c>
    </row>
    <row r="18">
      <c r="A18">
        <f>IF(E18="","","SO-"&amp;TEXT(ROW()-3,"0000"))</f>
        <v/>
      </c>
      <c r="B18" s="64" t="n">
        <v>1</v>
      </c>
      <c r="C18" s="237" t="n"/>
      <c r="D18" s="64" t="n"/>
      <c r="E18" s="64" t="n"/>
      <c r="F18" s="64" t="n"/>
      <c r="G18" s="64" t="n"/>
      <c r="H18" s="238" t="n"/>
      <c r="I18" s="239">
        <f>IF(OR(G18="",H18=""),0,G18*H18)</f>
        <v/>
      </c>
      <c r="J18" s="64" t="n"/>
      <c r="K18" s="237" t="n"/>
      <c r="L18" s="64" t="inlineStr">
        <is>
          <t>BOM-PLAN-1</t>
        </is>
      </c>
      <c r="M18">
        <f>IF(AND(J18="Confirmed",L18&lt;&gt;"",G18&gt;0),"YES","NO")</f>
        <v/>
      </c>
      <c r="O18">
        <f>IF(A18="","",IF(J18="Fulfilled","Actual",IF(J18="Confirmed","Committed","Plan")))</f>
        <v/>
      </c>
    </row>
    <row r="19">
      <c r="A19">
        <f>IF(E19="","","SO-"&amp;TEXT(ROW()-3,"0000"))</f>
        <v/>
      </c>
      <c r="B19" s="64" t="n">
        <v>1</v>
      </c>
      <c r="C19" s="237" t="n"/>
      <c r="D19" s="64" t="n"/>
      <c r="E19" s="64" t="n"/>
      <c r="F19" s="64" t="n"/>
      <c r="G19" s="64" t="n"/>
      <c r="H19" s="238" t="n"/>
      <c r="I19" s="239">
        <f>IF(OR(G19="",H19=""),0,G19*H19)</f>
        <v/>
      </c>
      <c r="J19" s="64" t="n"/>
      <c r="K19" s="237" t="n"/>
      <c r="L19" s="64" t="inlineStr">
        <is>
          <t>BOM-PLAN-1</t>
        </is>
      </c>
      <c r="M19">
        <f>IF(AND(J19="Confirmed",L19&lt;&gt;"",G19&gt;0),"YES","NO")</f>
        <v/>
      </c>
      <c r="O19">
        <f>IF(A19="","",IF(J19="Fulfilled","Actual",IF(J19="Confirmed","Committed","Plan")))</f>
        <v/>
      </c>
    </row>
    <row r="20">
      <c r="A20">
        <f>IF(E20="","","SO-"&amp;TEXT(ROW()-3,"0000"))</f>
        <v/>
      </c>
      <c r="B20" s="64" t="n">
        <v>1</v>
      </c>
      <c r="C20" s="237" t="n"/>
      <c r="D20" s="64" t="n"/>
      <c r="E20" s="64" t="n"/>
      <c r="F20" s="64" t="n"/>
      <c r="G20" s="64" t="n"/>
      <c r="H20" s="238" t="n"/>
      <c r="I20" s="239">
        <f>IF(OR(G20="",H20=""),0,G20*H20)</f>
        <v/>
      </c>
      <c r="J20" s="64" t="n"/>
      <c r="K20" s="237" t="n"/>
      <c r="L20" s="64" t="inlineStr">
        <is>
          <t>BOM-PLAN-1</t>
        </is>
      </c>
      <c r="M20">
        <f>IF(AND(J20="Confirmed",L20&lt;&gt;"",G20&gt;0),"YES","NO")</f>
        <v/>
      </c>
      <c r="O20">
        <f>IF(A20="","",IF(J20="Fulfilled","Actual",IF(J20="Confirmed","Committed","Plan")))</f>
        <v/>
      </c>
    </row>
    <row r="21">
      <c r="A21">
        <f>IF(E21="","","SO-"&amp;TEXT(ROW()-3,"0000"))</f>
        <v/>
      </c>
      <c r="B21" s="64" t="n">
        <v>1</v>
      </c>
      <c r="C21" s="237" t="n"/>
      <c r="D21" s="64" t="n"/>
      <c r="E21" s="64" t="n"/>
      <c r="F21" s="64" t="n"/>
      <c r="G21" s="64" t="n"/>
      <c r="H21" s="238" t="n"/>
      <c r="I21" s="239">
        <f>IF(OR(G21="",H21=""),0,G21*H21)</f>
        <v/>
      </c>
      <c r="J21" s="64" t="n"/>
      <c r="K21" s="237" t="n"/>
      <c r="L21" s="64" t="inlineStr">
        <is>
          <t>BOM-PLAN-1</t>
        </is>
      </c>
      <c r="M21">
        <f>IF(AND(J21="Confirmed",L21&lt;&gt;"",G21&gt;0),"YES","NO")</f>
        <v/>
      </c>
      <c r="O21">
        <f>IF(A21="","",IF(J21="Fulfilled","Actual",IF(J21="Confirmed","Committed","Plan")))</f>
        <v/>
      </c>
    </row>
    <row r="22">
      <c r="A22">
        <f>IF(E22="","","SO-"&amp;TEXT(ROW()-3,"0000"))</f>
        <v/>
      </c>
      <c r="B22" s="64" t="n">
        <v>1</v>
      </c>
      <c r="C22" s="237" t="n"/>
      <c r="D22" s="64" t="n"/>
      <c r="E22" s="64" t="n"/>
      <c r="F22" s="64" t="n"/>
      <c r="G22" s="64" t="n"/>
      <c r="H22" s="238" t="n"/>
      <c r="I22" s="239">
        <f>IF(OR(G22="",H22=""),0,G22*H22)</f>
        <v/>
      </c>
      <c r="J22" s="64" t="n"/>
      <c r="K22" s="237" t="n"/>
      <c r="L22" s="64" t="inlineStr">
        <is>
          <t>BOM-PLAN-1</t>
        </is>
      </c>
      <c r="M22">
        <f>IF(AND(J22="Confirmed",L22&lt;&gt;"",G22&gt;0),"YES","NO")</f>
        <v/>
      </c>
      <c r="O22">
        <f>IF(A22="","",IF(J22="Fulfilled","Actual",IF(J22="Confirmed","Committed","Plan")))</f>
        <v/>
      </c>
    </row>
    <row r="23">
      <c r="A23">
        <f>IF(E23="","","SO-"&amp;TEXT(ROW()-3,"0000"))</f>
        <v/>
      </c>
      <c r="B23" s="64" t="n">
        <v>1</v>
      </c>
      <c r="C23" s="237" t="n"/>
      <c r="D23" s="64" t="n"/>
      <c r="E23" s="64" t="n"/>
      <c r="F23" s="64" t="n"/>
      <c r="G23" s="64" t="n"/>
      <c r="H23" s="238" t="n"/>
      <c r="I23" s="239">
        <f>IF(OR(G23="",H23=""),0,G23*H23)</f>
        <v/>
      </c>
      <c r="J23" s="64" t="n"/>
      <c r="K23" s="237" t="n"/>
      <c r="L23" s="64" t="inlineStr">
        <is>
          <t>BOM-PLAN-1</t>
        </is>
      </c>
      <c r="M23">
        <f>IF(AND(J23="Confirmed",L23&lt;&gt;"",G23&gt;0),"YES","NO")</f>
        <v/>
      </c>
      <c r="O23">
        <f>IF(A23="","",IF(J23="Fulfilled","Actual",IF(J23="Confirmed","Committed","Plan")))</f>
        <v/>
      </c>
    </row>
    <row r="24">
      <c r="A24">
        <f>IF(E24="","","SO-"&amp;TEXT(ROW()-3,"0000"))</f>
        <v/>
      </c>
      <c r="B24" s="64" t="n">
        <v>1</v>
      </c>
      <c r="C24" s="237" t="n"/>
      <c r="D24" s="64" t="n"/>
      <c r="E24" s="64" t="n"/>
      <c r="F24" s="64" t="n"/>
      <c r="G24" s="64" t="n"/>
      <c r="H24" s="238" t="n"/>
      <c r="I24" s="239">
        <f>IF(OR(G24="",H24=""),0,G24*H24)</f>
        <v/>
      </c>
      <c r="J24" s="64" t="n"/>
      <c r="K24" s="237" t="n"/>
      <c r="L24" s="64" t="inlineStr">
        <is>
          <t>BOM-PLAN-1</t>
        </is>
      </c>
      <c r="M24">
        <f>IF(AND(J24="Confirmed",L24&lt;&gt;"",G24&gt;0),"YES","NO")</f>
        <v/>
      </c>
      <c r="O24">
        <f>IF(A24="","",IF(J24="Fulfilled","Actual",IF(J24="Confirmed","Committed","Plan")))</f>
        <v/>
      </c>
    </row>
    <row r="25">
      <c r="A25">
        <f>IF(E25="","","SO-"&amp;TEXT(ROW()-3,"0000"))</f>
        <v/>
      </c>
      <c r="B25" s="64" t="n">
        <v>1</v>
      </c>
      <c r="C25" s="237" t="n"/>
      <c r="D25" s="64" t="n"/>
      <c r="E25" s="64" t="n"/>
      <c r="F25" s="64" t="n"/>
      <c r="G25" s="64" t="n"/>
      <c r="H25" s="238" t="n"/>
      <c r="I25" s="239">
        <f>IF(OR(G25="",H25=""),0,G25*H25)</f>
        <v/>
      </c>
      <c r="J25" s="64" t="n"/>
      <c r="K25" s="237" t="n"/>
      <c r="L25" s="64" t="inlineStr">
        <is>
          <t>BOM-PLAN-1</t>
        </is>
      </c>
      <c r="M25">
        <f>IF(AND(J25="Confirmed",L25&lt;&gt;"",G25&gt;0),"YES","NO")</f>
        <v/>
      </c>
      <c r="O25">
        <f>IF(A25="","",IF(J25="Fulfilled","Actual",IF(J25="Confirmed","Committed","Plan")))</f>
        <v/>
      </c>
    </row>
    <row r="26">
      <c r="A26">
        <f>IF(E26="","","SO-"&amp;TEXT(ROW()-3,"0000"))</f>
        <v/>
      </c>
      <c r="B26" s="64" t="n">
        <v>1</v>
      </c>
      <c r="C26" s="237" t="n"/>
      <c r="D26" s="64" t="n"/>
      <c r="E26" s="64" t="n"/>
      <c r="F26" s="64" t="n"/>
      <c r="G26" s="64" t="n"/>
      <c r="H26" s="238" t="n"/>
      <c r="I26" s="239">
        <f>IF(OR(G26="",H26=""),0,G26*H26)</f>
        <v/>
      </c>
      <c r="J26" s="64" t="n"/>
      <c r="K26" s="237" t="n"/>
      <c r="L26" s="64" t="inlineStr">
        <is>
          <t>BOM-PLAN-1</t>
        </is>
      </c>
      <c r="M26">
        <f>IF(AND(J26="Confirmed",L26&lt;&gt;"",G26&gt;0),"YES","NO")</f>
        <v/>
      </c>
      <c r="O26">
        <f>IF(A26="","",IF(J26="Fulfilled","Actual",IF(J26="Confirmed","Committed","Plan")))</f>
        <v/>
      </c>
    </row>
    <row r="27">
      <c r="A27">
        <f>IF(E27="","","SO-"&amp;TEXT(ROW()-3,"0000"))</f>
        <v/>
      </c>
      <c r="B27" s="64" t="n">
        <v>1</v>
      </c>
      <c r="C27" s="237" t="n"/>
      <c r="D27" s="64" t="n"/>
      <c r="E27" s="64" t="n"/>
      <c r="F27" s="64" t="n"/>
      <c r="G27" s="64" t="n"/>
      <c r="H27" s="238" t="n"/>
      <c r="I27" s="239">
        <f>IF(OR(G27="",H27=""),0,G27*H27)</f>
        <v/>
      </c>
      <c r="J27" s="64" t="n"/>
      <c r="K27" s="237" t="n"/>
      <c r="L27" s="64" t="inlineStr">
        <is>
          <t>BOM-PLAN-1</t>
        </is>
      </c>
      <c r="M27">
        <f>IF(AND(J27="Confirmed",L27&lt;&gt;"",G27&gt;0),"YES","NO")</f>
        <v/>
      </c>
      <c r="O27">
        <f>IF(A27="","",IF(J27="Fulfilled","Actual",IF(J27="Confirmed","Committed","Plan")))</f>
        <v/>
      </c>
    </row>
    <row r="28">
      <c r="A28">
        <f>IF(E28="","","SO-"&amp;TEXT(ROW()-3,"0000"))</f>
        <v/>
      </c>
      <c r="B28" s="64" t="n">
        <v>1</v>
      </c>
      <c r="C28" s="237" t="n"/>
      <c r="D28" s="64" t="n"/>
      <c r="E28" s="64" t="n"/>
      <c r="F28" s="64" t="n"/>
      <c r="G28" s="64" t="n"/>
      <c r="H28" s="238" t="n"/>
      <c r="I28" s="239">
        <f>IF(OR(G28="",H28=""),0,G28*H28)</f>
        <v/>
      </c>
      <c r="J28" s="64" t="n"/>
      <c r="K28" s="237" t="n"/>
      <c r="L28" s="64" t="inlineStr">
        <is>
          <t>BOM-PLAN-1</t>
        </is>
      </c>
      <c r="M28">
        <f>IF(AND(J28="Confirmed",L28&lt;&gt;"",G28&gt;0),"YES","NO")</f>
        <v/>
      </c>
      <c r="O28">
        <f>IF(A28="","",IF(J28="Fulfilled","Actual",IF(J28="Confirmed","Committed","Plan")))</f>
        <v/>
      </c>
    </row>
    <row r="29">
      <c r="A29">
        <f>IF(E29="","","SO-"&amp;TEXT(ROW()-3,"0000"))</f>
        <v/>
      </c>
      <c r="B29" s="64" t="n">
        <v>1</v>
      </c>
      <c r="C29" s="237" t="n"/>
      <c r="D29" s="64" t="n"/>
      <c r="E29" s="64" t="n"/>
      <c r="F29" s="64" t="n"/>
      <c r="G29" s="64" t="n"/>
      <c r="H29" s="238" t="n"/>
      <c r="I29" s="239">
        <f>IF(OR(G29="",H29=""),0,G29*H29)</f>
        <v/>
      </c>
      <c r="J29" s="64" t="n"/>
      <c r="K29" s="237" t="n"/>
      <c r="L29" s="64" t="inlineStr">
        <is>
          <t>BOM-PLAN-1</t>
        </is>
      </c>
      <c r="M29">
        <f>IF(AND(J29="Confirmed",L29&lt;&gt;"",G29&gt;0),"YES","NO")</f>
        <v/>
      </c>
      <c r="O29">
        <f>IF(A29="","",IF(J29="Fulfilled","Actual",IF(J29="Confirmed","Committed","Plan")))</f>
        <v/>
      </c>
    </row>
    <row r="30">
      <c r="A30">
        <f>IF(E30="","","SO-"&amp;TEXT(ROW()-3,"0000"))</f>
        <v/>
      </c>
      <c r="B30" s="64" t="n">
        <v>1</v>
      </c>
      <c r="C30" s="237" t="n"/>
      <c r="D30" s="64" t="n"/>
      <c r="E30" s="64" t="n"/>
      <c r="F30" s="64" t="n"/>
      <c r="G30" s="64" t="n"/>
      <c r="H30" s="238" t="n"/>
      <c r="I30" s="239">
        <f>IF(OR(G30="",H30=""),0,G30*H30)</f>
        <v/>
      </c>
      <c r="J30" s="64" t="n"/>
      <c r="K30" s="237" t="n"/>
      <c r="L30" s="64" t="inlineStr">
        <is>
          <t>BOM-PLAN-1</t>
        </is>
      </c>
      <c r="M30">
        <f>IF(AND(J30="Confirmed",L30&lt;&gt;"",G30&gt;0),"YES","NO")</f>
        <v/>
      </c>
      <c r="O30">
        <f>IF(A30="","",IF(J30="Fulfilled","Actual",IF(J30="Confirmed","Committed","Plan")))</f>
        <v/>
      </c>
    </row>
    <row r="31">
      <c r="A31">
        <f>IF(E31="","","SO-"&amp;TEXT(ROW()-3,"0000"))</f>
        <v/>
      </c>
      <c r="B31" s="64" t="n">
        <v>1</v>
      </c>
      <c r="C31" s="237" t="n"/>
      <c r="D31" s="64" t="n"/>
      <c r="E31" s="64" t="n"/>
      <c r="F31" s="64" t="n"/>
      <c r="G31" s="64" t="n"/>
      <c r="H31" s="238" t="n"/>
      <c r="I31" s="239">
        <f>IF(OR(G31="",H31=""),0,G31*H31)</f>
        <v/>
      </c>
      <c r="J31" s="64" t="n"/>
      <c r="K31" s="237" t="n"/>
      <c r="L31" s="64" t="inlineStr">
        <is>
          <t>BOM-PLAN-1</t>
        </is>
      </c>
      <c r="M31">
        <f>IF(AND(J31="Confirmed",L31&lt;&gt;"",G31&gt;0),"YES","NO")</f>
        <v/>
      </c>
      <c r="O31">
        <f>IF(A31="","",IF(J31="Fulfilled","Actual",IF(J31="Confirmed","Committed","Plan")))</f>
        <v/>
      </c>
    </row>
    <row r="32">
      <c r="A32">
        <f>IF(E32="","","SO-"&amp;TEXT(ROW()-3,"0000"))</f>
        <v/>
      </c>
      <c r="B32" s="64" t="n">
        <v>1</v>
      </c>
      <c r="C32" s="237" t="n"/>
      <c r="D32" s="64" t="n"/>
      <c r="E32" s="64" t="n"/>
      <c r="F32" s="64" t="n"/>
      <c r="G32" s="64" t="n"/>
      <c r="H32" s="238" t="n"/>
      <c r="I32" s="239">
        <f>IF(OR(G32="",H32=""),0,G32*H32)</f>
        <v/>
      </c>
      <c r="J32" s="64" t="n"/>
      <c r="K32" s="237" t="n"/>
      <c r="L32" s="64" t="inlineStr">
        <is>
          <t>BOM-PLAN-1</t>
        </is>
      </c>
      <c r="M32">
        <f>IF(AND(J32="Confirmed",L32&lt;&gt;"",G32&gt;0),"YES","NO")</f>
        <v/>
      </c>
      <c r="O32">
        <f>IF(A32="","",IF(J32="Fulfilled","Actual",IF(J32="Confirmed","Committed","Plan")))</f>
        <v/>
      </c>
    </row>
    <row r="33">
      <c r="A33">
        <f>IF(E33="","","SO-"&amp;TEXT(ROW()-3,"0000"))</f>
        <v/>
      </c>
      <c r="B33" s="64" t="n">
        <v>1</v>
      </c>
      <c r="C33" s="237" t="n"/>
      <c r="D33" s="64" t="n"/>
      <c r="E33" s="64" t="n"/>
      <c r="F33" s="64" t="n"/>
      <c r="G33" s="64" t="n"/>
      <c r="H33" s="238" t="n"/>
      <c r="I33" s="239">
        <f>IF(OR(G33="",H33=""),0,G33*H33)</f>
        <v/>
      </c>
      <c r="J33" s="64" t="n"/>
      <c r="K33" s="237" t="n"/>
      <c r="L33" s="64" t="inlineStr">
        <is>
          <t>BOM-PLAN-1</t>
        </is>
      </c>
      <c r="M33">
        <f>IF(AND(J33="Confirmed",L33&lt;&gt;"",G33&gt;0),"YES","NO")</f>
        <v/>
      </c>
      <c r="O33">
        <f>IF(A33="","",IF(J33="Fulfilled","Actual",IF(J33="Confirmed","Committed","Plan")))</f>
        <v/>
      </c>
    </row>
    <row r="34">
      <c r="A34">
        <f>IF(E34="","","SO-"&amp;TEXT(ROW()-3,"0000"))</f>
        <v/>
      </c>
      <c r="B34" s="64" t="n">
        <v>1</v>
      </c>
      <c r="C34" s="237" t="n"/>
      <c r="D34" s="64" t="n"/>
      <c r="E34" s="64" t="n"/>
      <c r="F34" s="64" t="n"/>
      <c r="G34" s="64" t="n"/>
      <c r="H34" s="238" t="n"/>
      <c r="I34" s="239">
        <f>IF(OR(G34="",H34=""),0,G34*H34)</f>
        <v/>
      </c>
      <c r="J34" s="64" t="n"/>
      <c r="K34" s="237" t="n"/>
      <c r="L34" s="64" t="inlineStr">
        <is>
          <t>BOM-PLAN-1</t>
        </is>
      </c>
      <c r="M34">
        <f>IF(AND(J34="Confirmed",L34&lt;&gt;"",G34&gt;0),"YES","NO")</f>
        <v/>
      </c>
      <c r="O34">
        <f>IF(A34="","",IF(J34="Fulfilled","Actual",IF(J34="Confirmed","Committed","Plan")))</f>
        <v/>
      </c>
    </row>
    <row r="35">
      <c r="A35">
        <f>IF(E35="","","SO-"&amp;TEXT(ROW()-3,"0000"))</f>
        <v/>
      </c>
      <c r="B35" s="64" t="n">
        <v>1</v>
      </c>
      <c r="C35" s="237" t="n"/>
      <c r="D35" s="64" t="n"/>
      <c r="E35" s="64" t="n"/>
      <c r="F35" s="64" t="n"/>
      <c r="G35" s="64" t="n"/>
      <c r="H35" s="238" t="n"/>
      <c r="I35" s="239">
        <f>IF(OR(G35="",H35=""),0,G35*H35)</f>
        <v/>
      </c>
      <c r="J35" s="64" t="n"/>
      <c r="K35" s="237" t="n"/>
      <c r="L35" s="64" t="inlineStr">
        <is>
          <t>BOM-PLAN-1</t>
        </is>
      </c>
      <c r="M35">
        <f>IF(AND(J35="Confirmed",L35&lt;&gt;"",G35&gt;0),"YES","NO")</f>
        <v/>
      </c>
      <c r="O35">
        <f>IF(A35="","",IF(J35="Fulfilled","Actual",IF(J35="Confirmed","Committed","Plan")))</f>
        <v/>
      </c>
    </row>
    <row r="36">
      <c r="A36">
        <f>IF(E36="","","SO-"&amp;TEXT(ROW()-3,"0000"))</f>
        <v/>
      </c>
      <c r="B36" s="64" t="n">
        <v>1</v>
      </c>
      <c r="C36" s="237" t="n"/>
      <c r="D36" s="64" t="n"/>
      <c r="E36" s="64" t="n"/>
      <c r="F36" s="64" t="n"/>
      <c r="G36" s="64" t="n"/>
      <c r="H36" s="238" t="n"/>
      <c r="I36" s="239">
        <f>IF(OR(G36="",H36=""),0,G36*H36)</f>
        <v/>
      </c>
      <c r="J36" s="64" t="n"/>
      <c r="K36" s="237" t="n"/>
      <c r="L36" s="64" t="inlineStr">
        <is>
          <t>BOM-PLAN-1</t>
        </is>
      </c>
      <c r="M36">
        <f>IF(AND(J36="Confirmed",L36&lt;&gt;"",G36&gt;0),"YES","NO")</f>
        <v/>
      </c>
      <c r="O36">
        <f>IF(A36="","",IF(J36="Fulfilled","Actual",IF(J36="Confirmed","Committed","Plan")))</f>
        <v/>
      </c>
    </row>
    <row r="37">
      <c r="A37">
        <f>IF(E37="","","SO-"&amp;TEXT(ROW()-3,"0000"))</f>
        <v/>
      </c>
      <c r="B37" s="64" t="n">
        <v>1</v>
      </c>
      <c r="C37" s="237" t="n"/>
      <c r="D37" s="64" t="n"/>
      <c r="E37" s="64" t="n"/>
      <c r="F37" s="64" t="n"/>
      <c r="G37" s="64" t="n"/>
      <c r="H37" s="238" t="n"/>
      <c r="I37" s="239">
        <f>IF(OR(G37="",H37=""),0,G37*H37)</f>
        <v/>
      </c>
      <c r="J37" s="64" t="n"/>
      <c r="K37" s="237" t="n"/>
      <c r="L37" s="64" t="inlineStr">
        <is>
          <t>BOM-PLAN-1</t>
        </is>
      </c>
      <c r="M37">
        <f>IF(AND(J37="Confirmed",L37&lt;&gt;"",G37&gt;0),"YES","NO")</f>
        <v/>
      </c>
      <c r="O37">
        <f>IF(A37="","",IF(J37="Fulfilled","Actual",IF(J37="Confirmed","Committed","Plan")))</f>
        <v/>
      </c>
    </row>
    <row r="38">
      <c r="A38">
        <f>IF(E38="","","SO-"&amp;TEXT(ROW()-3,"0000"))</f>
        <v/>
      </c>
      <c r="B38" s="64" t="n">
        <v>1</v>
      </c>
      <c r="C38" s="237" t="n"/>
      <c r="D38" s="64" t="n"/>
      <c r="E38" s="64" t="n"/>
      <c r="F38" s="64" t="n"/>
      <c r="G38" s="64" t="n"/>
      <c r="H38" s="238" t="n"/>
      <c r="I38" s="239">
        <f>IF(OR(G38="",H38=""),0,G38*H38)</f>
        <v/>
      </c>
      <c r="J38" s="64" t="n"/>
      <c r="K38" s="237" t="n"/>
      <c r="L38" s="64" t="inlineStr">
        <is>
          <t>BOM-PLAN-1</t>
        </is>
      </c>
      <c r="M38">
        <f>IF(AND(J38="Confirmed",L38&lt;&gt;"",G38&gt;0),"YES","NO")</f>
        <v/>
      </c>
      <c r="O38">
        <f>IF(A38="","",IF(J38="Fulfilled","Actual",IF(J38="Confirmed","Committed","Plan")))</f>
        <v/>
      </c>
    </row>
    <row r="39">
      <c r="A39">
        <f>IF(E39="","","SO-"&amp;TEXT(ROW()-3,"0000"))</f>
        <v/>
      </c>
      <c r="B39" s="64" t="n">
        <v>1</v>
      </c>
      <c r="C39" s="237" t="n"/>
      <c r="D39" s="64" t="n"/>
      <c r="E39" s="64" t="n"/>
      <c r="F39" s="64" t="n"/>
      <c r="G39" s="64" t="n"/>
      <c r="H39" s="238" t="n"/>
      <c r="I39" s="239">
        <f>IF(OR(G39="",H39=""),0,G39*H39)</f>
        <v/>
      </c>
      <c r="J39" s="64" t="n"/>
      <c r="K39" s="237" t="n"/>
      <c r="L39" s="64" t="inlineStr">
        <is>
          <t>BOM-PLAN-1</t>
        </is>
      </c>
      <c r="M39">
        <f>IF(AND(J39="Confirmed",L39&lt;&gt;"",G39&gt;0),"YES","NO")</f>
        <v/>
      </c>
      <c r="O39">
        <f>IF(A39="","",IF(J39="Fulfilled","Actual",IF(J39="Confirmed","Committed","Plan")))</f>
        <v/>
      </c>
    </row>
    <row r="40">
      <c r="A40">
        <f>IF(E40="","","SO-"&amp;TEXT(ROW()-3,"0000"))</f>
        <v/>
      </c>
      <c r="B40" s="64" t="n">
        <v>1</v>
      </c>
      <c r="C40" s="237" t="n"/>
      <c r="D40" s="64" t="n"/>
      <c r="E40" s="64" t="n"/>
      <c r="F40" s="64" t="n"/>
      <c r="G40" s="64" t="n"/>
      <c r="H40" s="238" t="n"/>
      <c r="I40" s="239">
        <f>IF(OR(G40="",H40=""),0,G40*H40)</f>
        <v/>
      </c>
      <c r="J40" s="64" t="n"/>
      <c r="K40" s="237" t="n"/>
      <c r="L40" s="64" t="inlineStr">
        <is>
          <t>BOM-PLAN-1</t>
        </is>
      </c>
      <c r="M40">
        <f>IF(AND(J40="Confirmed",L40&lt;&gt;"",G40&gt;0),"YES","NO")</f>
        <v/>
      </c>
      <c r="O40">
        <f>IF(A40="","",IF(J40="Fulfilled","Actual",IF(J40="Confirmed","Committed","Plan")))</f>
        <v/>
      </c>
    </row>
    <row r="41">
      <c r="A41">
        <f>IF(E41="","","SO-"&amp;TEXT(ROW()-3,"0000"))</f>
        <v/>
      </c>
      <c r="B41" s="64" t="n">
        <v>1</v>
      </c>
      <c r="C41" s="237" t="n"/>
      <c r="D41" s="64" t="n"/>
      <c r="E41" s="64" t="n"/>
      <c r="F41" s="64" t="n"/>
      <c r="G41" s="64" t="n"/>
      <c r="H41" s="238" t="n"/>
      <c r="I41" s="239">
        <f>IF(OR(G41="",H41=""),0,G41*H41)</f>
        <v/>
      </c>
      <c r="J41" s="64" t="n"/>
      <c r="K41" s="237" t="n"/>
      <c r="L41" s="64" t="inlineStr">
        <is>
          <t>BOM-PLAN-1</t>
        </is>
      </c>
      <c r="M41">
        <f>IF(AND(J41="Confirmed",L41&lt;&gt;"",G41&gt;0),"YES","NO")</f>
        <v/>
      </c>
      <c r="O41">
        <f>IF(A41="","",IF(J41="Fulfilled","Actual",IF(J41="Confirmed","Committed","Plan")))</f>
        <v/>
      </c>
    </row>
    <row r="42">
      <c r="A42">
        <f>IF(E42="","","SO-"&amp;TEXT(ROW()-3,"0000"))</f>
        <v/>
      </c>
      <c r="B42" s="64" t="n">
        <v>1</v>
      </c>
      <c r="C42" s="237" t="n"/>
      <c r="D42" s="64" t="n"/>
      <c r="E42" s="64" t="n"/>
      <c r="F42" s="64" t="n"/>
      <c r="G42" s="64" t="n"/>
      <c r="H42" s="238" t="n"/>
      <c r="I42" s="239">
        <f>IF(OR(G42="",H42=""),0,G42*H42)</f>
        <v/>
      </c>
      <c r="J42" s="64" t="n"/>
      <c r="K42" s="237" t="n"/>
      <c r="L42" s="64" t="inlineStr">
        <is>
          <t>BOM-PLAN-1</t>
        </is>
      </c>
      <c r="M42">
        <f>IF(AND(J42="Confirmed",L42&lt;&gt;"",G42&gt;0),"YES","NO")</f>
        <v/>
      </c>
      <c r="O42">
        <f>IF(A42="","",IF(J42="Fulfilled","Actual",IF(J42="Confirmed","Committed","Plan")))</f>
        <v/>
      </c>
    </row>
    <row r="43">
      <c r="A43">
        <f>IF(E43="","","SO-"&amp;TEXT(ROW()-3,"0000"))</f>
        <v/>
      </c>
      <c r="B43" s="64" t="n">
        <v>1</v>
      </c>
      <c r="C43" s="237" t="n"/>
      <c r="D43" s="64" t="n"/>
      <c r="E43" s="64" t="n"/>
      <c r="F43" s="64" t="n"/>
      <c r="G43" s="64" t="n"/>
      <c r="H43" s="238" t="n"/>
      <c r="I43" s="239">
        <f>IF(OR(G43="",H43=""),0,G43*H43)</f>
        <v/>
      </c>
      <c r="J43" s="64" t="n"/>
      <c r="K43" s="237" t="n"/>
      <c r="L43" s="64" t="inlineStr">
        <is>
          <t>BOM-PLAN-1</t>
        </is>
      </c>
      <c r="M43">
        <f>IF(AND(J43="Confirmed",L43&lt;&gt;"",G43&gt;0),"YES","NO")</f>
        <v/>
      </c>
      <c r="O43">
        <f>IF(A43="","",IF(J43="Fulfilled","Actual",IF(J43="Confirmed","Committed","Plan")))</f>
        <v/>
      </c>
    </row>
    <row r="44">
      <c r="A44">
        <f>IF(E44="","","SO-"&amp;TEXT(ROW()-3,"0000"))</f>
        <v/>
      </c>
      <c r="B44" s="64" t="n">
        <v>1</v>
      </c>
      <c r="C44" s="237" t="n"/>
      <c r="D44" s="64" t="n"/>
      <c r="E44" s="64" t="n"/>
      <c r="F44" s="64" t="n"/>
      <c r="G44" s="64" t="n"/>
      <c r="H44" s="238" t="n"/>
      <c r="I44" s="239">
        <f>IF(OR(G44="",H44=""),0,G44*H44)</f>
        <v/>
      </c>
      <c r="J44" s="64" t="n"/>
      <c r="K44" s="237" t="n"/>
      <c r="L44" s="64" t="inlineStr">
        <is>
          <t>BOM-PLAN-1</t>
        </is>
      </c>
      <c r="M44">
        <f>IF(AND(J44="Confirmed",L44&lt;&gt;"",G44&gt;0),"YES","NO")</f>
        <v/>
      </c>
      <c r="O44">
        <f>IF(A44="","",IF(J44="Fulfilled","Actual",IF(J44="Confirmed","Committed","Plan")))</f>
        <v/>
      </c>
    </row>
    <row r="45">
      <c r="A45">
        <f>IF(E45="","","SO-"&amp;TEXT(ROW()-3,"0000"))</f>
        <v/>
      </c>
      <c r="B45" s="64" t="n">
        <v>1</v>
      </c>
      <c r="C45" s="237" t="n"/>
      <c r="D45" s="64" t="n"/>
      <c r="E45" s="64" t="n"/>
      <c r="F45" s="64" t="n"/>
      <c r="G45" s="64" t="n"/>
      <c r="H45" s="238" t="n"/>
      <c r="I45" s="239">
        <f>IF(OR(G45="",H45=""),0,G45*H45)</f>
        <v/>
      </c>
      <c r="J45" s="64" t="n"/>
      <c r="K45" s="237" t="n"/>
      <c r="L45" s="64" t="inlineStr">
        <is>
          <t>BOM-PLAN-1</t>
        </is>
      </c>
      <c r="M45">
        <f>IF(AND(J45="Confirmed",L45&lt;&gt;"",G45&gt;0),"YES","NO")</f>
        <v/>
      </c>
      <c r="O45">
        <f>IF(A45="","",IF(J45="Fulfilled","Actual",IF(J45="Confirmed","Committed","Plan")))</f>
        <v/>
      </c>
    </row>
    <row r="46">
      <c r="A46">
        <f>IF(E46="","","SO-"&amp;TEXT(ROW()-3,"0000"))</f>
        <v/>
      </c>
      <c r="B46" s="64" t="n">
        <v>1</v>
      </c>
      <c r="C46" s="237" t="n"/>
      <c r="D46" s="64" t="n"/>
      <c r="E46" s="64" t="n"/>
      <c r="F46" s="64" t="n"/>
      <c r="G46" s="64" t="n"/>
      <c r="H46" s="238" t="n"/>
      <c r="I46" s="239">
        <f>IF(OR(G46="",H46=""),0,G46*H46)</f>
        <v/>
      </c>
      <c r="J46" s="64" t="n"/>
      <c r="K46" s="237" t="n"/>
      <c r="L46" s="64" t="inlineStr">
        <is>
          <t>BOM-PLAN-1</t>
        </is>
      </c>
      <c r="M46">
        <f>IF(AND(J46="Confirmed",L46&lt;&gt;"",G46&gt;0),"YES","NO")</f>
        <v/>
      </c>
      <c r="O46">
        <f>IF(A46="","",IF(J46="Fulfilled","Actual",IF(J46="Confirmed","Committed","Plan")))</f>
        <v/>
      </c>
    </row>
    <row r="47">
      <c r="A47">
        <f>IF(E47="","","SO-"&amp;TEXT(ROW()-3,"0000"))</f>
        <v/>
      </c>
      <c r="B47" s="64" t="n">
        <v>1</v>
      </c>
      <c r="C47" s="237" t="n"/>
      <c r="D47" s="64" t="n"/>
      <c r="E47" s="64" t="n"/>
      <c r="F47" s="64" t="n"/>
      <c r="G47" s="64" t="n"/>
      <c r="H47" s="238" t="n"/>
      <c r="I47" s="239">
        <f>IF(OR(G47="",H47=""),0,G47*H47)</f>
        <v/>
      </c>
      <c r="J47" s="64" t="n"/>
      <c r="K47" s="237" t="n"/>
      <c r="L47" s="64" t="inlineStr">
        <is>
          <t>BOM-PLAN-1</t>
        </is>
      </c>
      <c r="M47">
        <f>IF(AND(J47="Confirmed",L47&lt;&gt;"",G47&gt;0),"YES","NO")</f>
        <v/>
      </c>
      <c r="O47">
        <f>IF(A47="","",IF(J47="Fulfilled","Actual",IF(J47="Confirmed","Committed","Plan")))</f>
        <v/>
      </c>
    </row>
    <row r="48">
      <c r="A48">
        <f>IF(E48="","","SO-"&amp;TEXT(ROW()-3,"0000"))</f>
        <v/>
      </c>
      <c r="B48" s="64" t="n">
        <v>1</v>
      </c>
      <c r="C48" s="237" t="n"/>
      <c r="D48" s="64" t="n"/>
      <c r="E48" s="64" t="n"/>
      <c r="F48" s="64" t="n"/>
      <c r="G48" s="64" t="n"/>
      <c r="H48" s="238" t="n"/>
      <c r="I48" s="239">
        <f>IF(OR(G48="",H48=""),0,G48*H48)</f>
        <v/>
      </c>
      <c r="J48" s="64" t="n"/>
      <c r="K48" s="237" t="n"/>
      <c r="L48" s="64" t="inlineStr">
        <is>
          <t>BOM-PLAN-1</t>
        </is>
      </c>
      <c r="M48">
        <f>IF(AND(J48="Confirmed",L48&lt;&gt;"",G48&gt;0),"YES","NO")</f>
        <v/>
      </c>
      <c r="O48">
        <f>IF(A48="","",IF(J48="Fulfilled","Actual",IF(J48="Confirmed","Committed","Plan")))</f>
        <v/>
      </c>
    </row>
    <row r="49">
      <c r="A49">
        <f>IF(E49="","","SO-"&amp;TEXT(ROW()-3,"0000"))</f>
        <v/>
      </c>
      <c r="B49" s="64" t="n">
        <v>1</v>
      </c>
      <c r="C49" s="237" t="n"/>
      <c r="D49" s="64" t="n"/>
      <c r="E49" s="64" t="n"/>
      <c r="F49" s="64" t="n"/>
      <c r="G49" s="64" t="n"/>
      <c r="H49" s="238" t="n"/>
      <c r="I49" s="239">
        <f>IF(OR(G49="",H49=""),0,G49*H49)</f>
        <v/>
      </c>
      <c r="J49" s="64" t="n"/>
      <c r="K49" s="237" t="n"/>
      <c r="L49" s="64" t="inlineStr">
        <is>
          <t>BOM-PLAN-1</t>
        </is>
      </c>
      <c r="M49">
        <f>IF(AND(J49="Confirmed",L49&lt;&gt;"",G49&gt;0),"YES","NO")</f>
        <v/>
      </c>
      <c r="O49">
        <f>IF(A49="","",IF(J49="Fulfilled","Actual",IF(J49="Confirmed","Committed","Plan")))</f>
        <v/>
      </c>
    </row>
    <row r="50">
      <c r="A50">
        <f>IF(E50="","","SO-"&amp;TEXT(ROW()-3,"0000"))</f>
        <v/>
      </c>
      <c r="B50" s="64" t="n">
        <v>1</v>
      </c>
      <c r="C50" s="237" t="n"/>
      <c r="D50" s="64" t="n"/>
      <c r="E50" s="64" t="n"/>
      <c r="F50" s="64" t="n"/>
      <c r="G50" s="64" t="n"/>
      <c r="H50" s="238" t="n"/>
      <c r="I50" s="239">
        <f>IF(OR(G50="",H50=""),0,G50*H50)</f>
        <v/>
      </c>
      <c r="J50" s="64" t="n"/>
      <c r="K50" s="237" t="n"/>
      <c r="L50" s="64" t="inlineStr">
        <is>
          <t>BOM-PLAN-1</t>
        </is>
      </c>
      <c r="M50">
        <f>IF(AND(J50="Confirmed",L50&lt;&gt;"",G50&gt;0),"YES","NO")</f>
        <v/>
      </c>
      <c r="O50">
        <f>IF(A50="","",IF(J50="Fulfilled","Actual",IF(J50="Confirmed","Committed","Plan")))</f>
        <v/>
      </c>
    </row>
    <row r="51">
      <c r="A51">
        <f>IF(E51="","","SO-"&amp;TEXT(ROW()-3,"0000"))</f>
        <v/>
      </c>
      <c r="B51" s="64" t="n">
        <v>1</v>
      </c>
      <c r="C51" s="237" t="n"/>
      <c r="D51" s="64" t="n"/>
      <c r="E51" s="64" t="n"/>
      <c r="F51" s="64" t="n"/>
      <c r="G51" s="64" t="n"/>
      <c r="H51" s="238" t="n"/>
      <c r="I51" s="239">
        <f>IF(OR(G51="",H51=""),0,G51*H51)</f>
        <v/>
      </c>
      <c r="J51" s="64" t="n"/>
      <c r="K51" s="237" t="n"/>
      <c r="L51" s="64" t="inlineStr">
        <is>
          <t>BOM-PLAN-1</t>
        </is>
      </c>
      <c r="M51">
        <f>IF(AND(J51="Confirmed",L51&lt;&gt;"",G51&gt;0),"YES","NO")</f>
        <v/>
      </c>
      <c r="O51">
        <f>IF(A51="","",IF(J51="Fulfilled","Actual",IF(J51="Confirmed","Committed","Plan")))</f>
        <v/>
      </c>
    </row>
    <row r="52">
      <c r="A52">
        <f>IF(E52="","","SO-"&amp;TEXT(ROW()-3,"0000"))</f>
        <v/>
      </c>
      <c r="B52" s="64" t="n">
        <v>1</v>
      </c>
      <c r="C52" s="237" t="n"/>
      <c r="D52" s="64" t="n"/>
      <c r="E52" s="64" t="n"/>
      <c r="F52" s="64" t="n"/>
      <c r="G52" s="64" t="n"/>
      <c r="H52" s="238" t="n"/>
      <c r="I52" s="239">
        <f>IF(OR(G52="",H52=""),0,G52*H52)</f>
        <v/>
      </c>
      <c r="J52" s="64" t="n"/>
      <c r="K52" s="237" t="n"/>
      <c r="L52" s="64" t="inlineStr">
        <is>
          <t>BOM-PLAN-1</t>
        </is>
      </c>
      <c r="M52">
        <f>IF(AND(J52="Confirmed",L52&lt;&gt;"",G52&gt;0),"YES","NO")</f>
        <v/>
      </c>
      <c r="O52">
        <f>IF(A52="","",IF(J52="Fulfilled","Actual",IF(J52="Confirmed","Committed","Plan")))</f>
        <v/>
      </c>
    </row>
    <row r="53">
      <c r="A53">
        <f>IF(E53="","","SO-"&amp;TEXT(ROW()-3,"0000"))</f>
        <v/>
      </c>
      <c r="B53" s="64" t="n">
        <v>1</v>
      </c>
      <c r="C53" s="237" t="n"/>
      <c r="D53" s="64" t="n"/>
      <c r="E53" s="64" t="n"/>
      <c r="F53" s="64" t="n"/>
      <c r="G53" s="64" t="n"/>
      <c r="H53" s="238" t="n"/>
      <c r="I53" s="239">
        <f>IF(OR(G53="",H53=""),0,G53*H53)</f>
        <v/>
      </c>
      <c r="J53" s="64" t="n"/>
      <c r="K53" s="237" t="n"/>
      <c r="L53" s="64" t="inlineStr">
        <is>
          <t>BOM-PLAN-1</t>
        </is>
      </c>
      <c r="M53">
        <f>IF(AND(J53="Confirmed",L53&lt;&gt;"",G53&gt;0),"YES","NO")</f>
        <v/>
      </c>
      <c r="O53">
        <f>IF(A53="","",IF(J53="Fulfilled","Actual",IF(J53="Confirmed","Committed","Plan")))</f>
        <v/>
      </c>
    </row>
  </sheetData>
  <mergeCells count="1">
    <mergeCell ref="A1:N1"/>
  </mergeCells>
  <dataValidations count="3">
    <dataValidation sqref="E4:E53" showDropDown="0" showInputMessage="0" showErrorMessage="0" allowBlank="0" type="list">
      <formula1>"Longitude,Latitude,Altitude"</formula1>
    </dataValidation>
    <dataValidation sqref="F4:F53" showDropDown="0" showInputMessage="0" showErrorMessage="0" allowBlank="0" type="list">
      <formula1>"Standard,Performance,Flagship,Custom-approved"</formula1>
    </dataValidation>
    <dataValidation sqref="J4:J53" showDropDown="0" showInputMessage="0" showErrorMessage="0" allowBlank="0" type="list">
      <formula1>"Draft,Confirmed,On Hold,Cancelled,Delivered"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ColWidth="10.19921875" defaultRowHeight="13.80000019073486"/>
  <cols>
    <col width="10.19921875" customWidth="1" style="93" min="1" max="16384"/>
  </cols>
  <sheetData>
    <row r="1" ht="21" customHeight="1" s="88">
      <c r="A1" s="184" t="inlineStr">
        <is>
          <t>Production Job Cards · controlled release from confirmed order + approved BOM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</row>
    <row r="3" ht="27.60000038146973" customHeight="1" s="88">
      <c r="A3" s="231" t="inlineStr">
        <is>
          <t>Job Card</t>
        </is>
      </c>
      <c r="B3" s="231" t="inlineStr">
        <is>
          <t>Order ID</t>
        </is>
      </c>
      <c r="C3" s="231" t="inlineStr">
        <is>
          <t>Order Rev</t>
        </is>
      </c>
      <c r="D3" s="231" t="inlineStr">
        <is>
          <t>Model</t>
        </is>
      </c>
      <c r="E3" s="231" t="inlineStr">
        <is>
          <t>Qty</t>
        </is>
      </c>
      <c r="F3" s="231" t="inlineStr">
        <is>
          <t>BOM Revision</t>
        </is>
      </c>
      <c r="G3" s="231" t="inlineStr">
        <is>
          <t>Release Status</t>
        </is>
      </c>
      <c r="H3" s="231" t="inlineStr">
        <is>
          <t>Material Status</t>
        </is>
      </c>
      <c r="I3" s="231" t="inlineStr">
        <is>
          <t>Planned Start</t>
        </is>
      </c>
      <c r="J3" s="231" t="inlineStr">
        <is>
          <t>Planned Finish</t>
        </is>
      </c>
      <c r="K3" s="231" t="inlineStr">
        <is>
          <t>Traveller ID</t>
        </is>
      </c>
      <c r="L3" s="231" t="inlineStr">
        <is>
          <t>Control Note</t>
        </is>
      </c>
      <c r="M3" s="231" t="inlineStr">
        <is>
          <t>Release Gate</t>
        </is>
      </c>
      <c r="N3" s="231" t="inlineStr">
        <is>
          <t>Plan Month</t>
        </is>
      </c>
      <c r="O3" s="231" t="inlineStr">
        <is>
          <t>Truth Class</t>
        </is>
      </c>
      <c r="P3" s="231" t="inlineStr">
        <is>
          <t>Revision</t>
        </is>
      </c>
      <c r="Q3" s="231" t="inlineStr">
        <is>
          <t>Created At</t>
        </is>
      </c>
      <c r="R3" s="231" t="inlineStr">
        <is>
          <t>Approved At</t>
        </is>
      </c>
      <c r="S3" s="231" t="inlineStr">
        <is>
          <t>Approved By</t>
        </is>
      </c>
    </row>
    <row r="4">
      <c r="A4" s="93">
        <f>IF('Sales Orders'!M4="YES","JC-"&amp;TEXT(ROW()-3,"0000"),"")</f>
        <v/>
      </c>
      <c r="B4" s="93">
        <f>IF(A4="","",'Sales Orders'!A4)</f>
        <v/>
      </c>
      <c r="C4" s="93">
        <f>IF(A4="","",'Sales Orders'!B4)</f>
        <v/>
      </c>
      <c r="D4" s="93">
        <f>IF(A4="","",'Sales Orders'!E4)</f>
        <v/>
      </c>
      <c r="E4" s="93">
        <f>IF(A4="","",'Sales Orders'!G4)</f>
        <v/>
      </c>
      <c r="F4" s="93">
        <f>IF(A4="","",'Sales Orders'!L4)</f>
        <v/>
      </c>
      <c r="G4" s="93">
        <f>IF(A4="","","RELEASED")</f>
        <v/>
      </c>
      <c r="H4" s="93">
        <f>IF(A4="","",IF(COUNTIFS('Job Material Req'!$A:$A,A4,'Job Material Req'!$L:$L,"SHORTAGE")&gt;0,"SHORTAGE",IF(COUNTIFS('Job Material Req'!$A:$A,A4,'Job Material Req'!$L:$L,"READY TO RESERVE")&gt;0,"READY TO RESERVE","RESERVED")))</f>
        <v/>
      </c>
      <c r="K4" s="93">
        <f>IF(A4="","","TRV-"&amp;TEXT(ROW()-3,"0000"))</f>
        <v/>
      </c>
      <c r="L4" s="93">
        <f>IF(A4="","","Material status summarized from Job Material Req")</f>
        <v/>
      </c>
      <c r="M4">
        <f>IF(A4="","",IF(H4&lt;&gt;"RESERVED","HOLD - MATERIAL","READY FOR RELEASE"))</f>
        <v/>
      </c>
      <c r="N4">
        <f>IF(I4="","",12*(YEAR(I4)-YEAR(Inputs!$B$5))+MONTH(I4)-MONTH(Inputs!$B$5)+1)</f>
        <v/>
      </c>
      <c r="O4">
        <f>IF(A4="","",IF(G4="Closed","Actual",IF(G4="Released","Committed","Plan")))</f>
        <v/>
      </c>
      <c r="P4" t="n">
        <v>1</v>
      </c>
    </row>
    <row r="5">
      <c r="A5" s="93">
        <f>IF('Sales Orders'!M5="YES","JC-"&amp;TEXT(ROW()-3,"0000"),"")</f>
        <v/>
      </c>
      <c r="B5" s="93">
        <f>IF(A5="","",'Sales Orders'!A5)</f>
        <v/>
      </c>
      <c r="C5" s="93">
        <f>IF(A5="","",'Sales Orders'!B5)</f>
        <v/>
      </c>
      <c r="D5" s="93">
        <f>IF(A5="","",'Sales Orders'!E5)</f>
        <v/>
      </c>
      <c r="E5" s="93">
        <f>IF(A5="","",'Sales Orders'!G5)</f>
        <v/>
      </c>
      <c r="F5" s="93">
        <f>IF(A5="","",'Sales Orders'!L5)</f>
        <v/>
      </c>
      <c r="G5" s="93">
        <f>IF(A5="","","RELEASED")</f>
        <v/>
      </c>
      <c r="H5" s="93">
        <f>IF(A5="","",IF(COUNTIFS('Job Material Req'!$A:$A,A5,'Job Material Req'!$L:$L,"SHORTAGE")&gt;0,"SHORTAGE",IF(COUNTIFS('Job Material Req'!$A:$A,A5,'Job Material Req'!$L:$L,"READY TO RESERVE")&gt;0,"READY TO RESERVE","RESERVED")))</f>
        <v/>
      </c>
      <c r="K5" s="93">
        <f>IF(A5="","","TRV-"&amp;TEXT(ROW()-3,"0000"))</f>
        <v/>
      </c>
      <c r="L5" s="93">
        <f>IF(A5="","","Material status summarized from Job Material Req")</f>
        <v/>
      </c>
      <c r="M5">
        <f>IF(A5="","",IF(H5&lt;&gt;"RESERVED","HOLD - MATERIAL","READY FOR RELEASE"))</f>
        <v/>
      </c>
      <c r="N5">
        <f>IF(I5="","",12*(YEAR(I5)-YEAR(Inputs!$B$5))+MONTH(I5)-MONTH(Inputs!$B$5)+1)</f>
        <v/>
      </c>
      <c r="O5">
        <f>IF(A5="","",IF(G5="Closed","Actual",IF(G5="Released","Committed","Plan")))</f>
        <v/>
      </c>
      <c r="P5" t="n">
        <v>1</v>
      </c>
    </row>
    <row r="6">
      <c r="A6" s="93">
        <f>IF('Sales Orders'!M6="YES","JC-"&amp;TEXT(ROW()-3,"0000"),"")</f>
        <v/>
      </c>
      <c r="B6" s="93">
        <f>IF(A6="","",'Sales Orders'!A6)</f>
        <v/>
      </c>
      <c r="C6" s="93">
        <f>IF(A6="","",'Sales Orders'!B6)</f>
        <v/>
      </c>
      <c r="D6" s="93">
        <f>IF(A6="","",'Sales Orders'!E6)</f>
        <v/>
      </c>
      <c r="E6" s="93">
        <f>IF(A6="","",'Sales Orders'!G6)</f>
        <v/>
      </c>
      <c r="F6" s="93">
        <f>IF(A6="","",'Sales Orders'!L6)</f>
        <v/>
      </c>
      <c r="G6" s="93">
        <f>IF(A6="","","RELEASED")</f>
        <v/>
      </c>
      <c r="H6" s="93">
        <f>IF(A6="","",IF(COUNTIFS('Job Material Req'!$A:$A,A6,'Job Material Req'!$L:$L,"SHORTAGE")&gt;0,"SHORTAGE",IF(COUNTIFS('Job Material Req'!$A:$A,A6,'Job Material Req'!$L:$L,"READY TO RESERVE")&gt;0,"READY TO RESERVE","RESERVED")))</f>
        <v/>
      </c>
      <c r="K6" s="93">
        <f>IF(A6="","","TRV-"&amp;TEXT(ROW()-3,"0000"))</f>
        <v/>
      </c>
      <c r="L6" s="93">
        <f>IF(A6="","","Material status summarized from Job Material Req")</f>
        <v/>
      </c>
      <c r="M6">
        <f>IF(A6="","",IF(H6&lt;&gt;"RESERVED","HOLD - MATERIAL","READY FOR RELEASE"))</f>
        <v/>
      </c>
      <c r="N6">
        <f>IF(I6="","",12*(YEAR(I6)-YEAR(Inputs!$B$5))+MONTH(I6)-MONTH(Inputs!$B$5)+1)</f>
        <v/>
      </c>
      <c r="O6">
        <f>IF(A6="","",IF(G6="Closed","Actual",IF(G6="Released","Committed","Plan")))</f>
        <v/>
      </c>
      <c r="P6" t="n">
        <v>1</v>
      </c>
    </row>
    <row r="7">
      <c r="A7" s="93">
        <f>IF('Sales Orders'!M7="YES","JC-"&amp;TEXT(ROW()-3,"0000"),"")</f>
        <v/>
      </c>
      <c r="B7" s="93">
        <f>IF(A7="","",'Sales Orders'!A7)</f>
        <v/>
      </c>
      <c r="C7" s="93">
        <f>IF(A7="","",'Sales Orders'!B7)</f>
        <v/>
      </c>
      <c r="D7" s="93">
        <f>IF(A7="","",'Sales Orders'!E7)</f>
        <v/>
      </c>
      <c r="E7" s="93">
        <f>IF(A7="","",'Sales Orders'!G7)</f>
        <v/>
      </c>
      <c r="F7" s="93">
        <f>IF(A7="","",'Sales Orders'!L7)</f>
        <v/>
      </c>
      <c r="G7" s="93">
        <f>IF(A7="","","RELEASED")</f>
        <v/>
      </c>
      <c r="H7" s="93">
        <f>IF(A7="","",IF(COUNTIFS('Job Material Req'!$A:$A,A7,'Job Material Req'!$L:$L,"SHORTAGE")&gt;0,"SHORTAGE",IF(COUNTIFS('Job Material Req'!$A:$A,A7,'Job Material Req'!$L:$L,"READY TO RESERVE")&gt;0,"READY TO RESERVE","RESERVED")))</f>
        <v/>
      </c>
      <c r="K7" s="93">
        <f>IF(A7="","","TRV-"&amp;TEXT(ROW()-3,"0000"))</f>
        <v/>
      </c>
      <c r="L7" s="93">
        <f>IF(A7="","","Material status summarized from Job Material Req")</f>
        <v/>
      </c>
      <c r="M7">
        <f>IF(A7="","",IF(H7&lt;&gt;"RESERVED","HOLD - MATERIAL","READY FOR RELEASE"))</f>
        <v/>
      </c>
      <c r="N7">
        <f>IF(I7="","",12*(YEAR(I7)-YEAR(Inputs!$B$5))+MONTH(I7)-MONTH(Inputs!$B$5)+1)</f>
        <v/>
      </c>
      <c r="O7">
        <f>IF(A7="","",IF(G7="Closed","Actual",IF(G7="Released","Committed","Plan")))</f>
        <v/>
      </c>
      <c r="P7" t="n">
        <v>1</v>
      </c>
    </row>
    <row r="8">
      <c r="A8" s="93">
        <f>IF('Sales Orders'!M8="YES","JC-"&amp;TEXT(ROW()-3,"0000"),"")</f>
        <v/>
      </c>
      <c r="B8" s="93">
        <f>IF(A8="","",'Sales Orders'!A8)</f>
        <v/>
      </c>
      <c r="C8" s="93">
        <f>IF(A8="","",'Sales Orders'!B8)</f>
        <v/>
      </c>
      <c r="D8" s="93">
        <f>IF(A8="","",'Sales Orders'!E8)</f>
        <v/>
      </c>
      <c r="E8" s="93">
        <f>IF(A8="","",'Sales Orders'!G8)</f>
        <v/>
      </c>
      <c r="F8" s="93">
        <f>IF(A8="","",'Sales Orders'!L8)</f>
        <v/>
      </c>
      <c r="G8" s="93">
        <f>IF(A8="","","RELEASED")</f>
        <v/>
      </c>
      <c r="H8" s="93">
        <f>IF(A8="","",IF(COUNTIFS('Job Material Req'!$A:$A,A8,'Job Material Req'!$L:$L,"SHORTAGE")&gt;0,"SHORTAGE",IF(COUNTIFS('Job Material Req'!$A:$A,A8,'Job Material Req'!$L:$L,"READY TO RESERVE")&gt;0,"READY TO RESERVE","RESERVED")))</f>
        <v/>
      </c>
      <c r="K8" s="93">
        <f>IF(A8="","","TRV-"&amp;TEXT(ROW()-3,"0000"))</f>
        <v/>
      </c>
      <c r="L8" s="93">
        <f>IF(A8="","","Material status summarized from Job Material Req")</f>
        <v/>
      </c>
      <c r="M8">
        <f>IF(A8="","",IF(H8&lt;&gt;"RESERVED","HOLD - MATERIAL","READY FOR RELEASE"))</f>
        <v/>
      </c>
      <c r="N8">
        <f>IF(I8="","",12*(YEAR(I8)-YEAR(Inputs!$B$5))+MONTH(I8)-MONTH(Inputs!$B$5)+1)</f>
        <v/>
      </c>
      <c r="O8">
        <f>IF(A8="","",IF(G8="Closed","Actual",IF(G8="Released","Committed","Plan")))</f>
        <v/>
      </c>
      <c r="P8" t="n">
        <v>1</v>
      </c>
    </row>
    <row r="9">
      <c r="A9" s="93">
        <f>IF('Sales Orders'!M9="YES","JC-"&amp;TEXT(ROW()-3,"0000"),"")</f>
        <v/>
      </c>
      <c r="B9" s="93">
        <f>IF(A9="","",'Sales Orders'!A9)</f>
        <v/>
      </c>
      <c r="C9" s="93">
        <f>IF(A9="","",'Sales Orders'!B9)</f>
        <v/>
      </c>
      <c r="D9" s="93">
        <f>IF(A9="","",'Sales Orders'!E9)</f>
        <v/>
      </c>
      <c r="E9" s="93">
        <f>IF(A9="","",'Sales Orders'!G9)</f>
        <v/>
      </c>
      <c r="F9" s="93">
        <f>IF(A9="","",'Sales Orders'!L9)</f>
        <v/>
      </c>
      <c r="G9" s="93">
        <f>IF(A9="","","RELEASED")</f>
        <v/>
      </c>
      <c r="H9" s="93">
        <f>IF(A9="","",IF(COUNTIFS('Job Material Req'!$A:$A,A9,'Job Material Req'!$L:$L,"SHORTAGE")&gt;0,"SHORTAGE",IF(COUNTIFS('Job Material Req'!$A:$A,A9,'Job Material Req'!$L:$L,"READY TO RESERVE")&gt;0,"READY TO RESERVE","RESERVED")))</f>
        <v/>
      </c>
      <c r="K9" s="93">
        <f>IF(A9="","","TRV-"&amp;TEXT(ROW()-3,"0000"))</f>
        <v/>
      </c>
      <c r="L9" s="93">
        <f>IF(A9="","","Material status summarized from Job Material Req")</f>
        <v/>
      </c>
      <c r="M9">
        <f>IF(A9="","",IF(H9&lt;&gt;"RESERVED","HOLD - MATERIAL","READY FOR RELEASE"))</f>
        <v/>
      </c>
      <c r="N9">
        <f>IF(I9="","",12*(YEAR(I9)-YEAR(Inputs!$B$5))+MONTH(I9)-MONTH(Inputs!$B$5)+1)</f>
        <v/>
      </c>
      <c r="O9">
        <f>IF(A9="","",IF(G9="Closed","Actual",IF(G9="Released","Committed","Plan")))</f>
        <v/>
      </c>
      <c r="P9" t="n">
        <v>1</v>
      </c>
    </row>
    <row r="10">
      <c r="A10" s="93">
        <f>IF('Sales Orders'!M10="YES","JC-"&amp;TEXT(ROW()-3,"0000"),"")</f>
        <v/>
      </c>
      <c r="B10" s="93">
        <f>IF(A10="","",'Sales Orders'!A10)</f>
        <v/>
      </c>
      <c r="C10" s="93">
        <f>IF(A10="","",'Sales Orders'!B10)</f>
        <v/>
      </c>
      <c r="D10" s="93">
        <f>IF(A10="","",'Sales Orders'!E10)</f>
        <v/>
      </c>
      <c r="E10" s="93">
        <f>IF(A10="","",'Sales Orders'!G10)</f>
        <v/>
      </c>
      <c r="F10" s="93">
        <f>IF(A10="","",'Sales Orders'!L10)</f>
        <v/>
      </c>
      <c r="G10" s="93">
        <f>IF(A10="","","RELEASED")</f>
        <v/>
      </c>
      <c r="H10" s="93">
        <f>IF(A10="","",IF(COUNTIFS('Job Material Req'!$A:$A,A10,'Job Material Req'!$L:$L,"SHORTAGE")&gt;0,"SHORTAGE",IF(COUNTIFS('Job Material Req'!$A:$A,A10,'Job Material Req'!$L:$L,"READY TO RESERVE")&gt;0,"READY TO RESERVE","RESERVED")))</f>
        <v/>
      </c>
      <c r="K10" s="93">
        <f>IF(A10="","","TRV-"&amp;TEXT(ROW()-3,"0000"))</f>
        <v/>
      </c>
      <c r="L10" s="93">
        <f>IF(A10="","","Material status summarized from Job Material Req")</f>
        <v/>
      </c>
      <c r="M10">
        <f>IF(A10="","",IF(H10&lt;&gt;"RESERVED","HOLD - MATERIAL","READY FOR RELEASE"))</f>
        <v/>
      </c>
      <c r="N10">
        <f>IF(I10="","",12*(YEAR(I10)-YEAR(Inputs!$B$5))+MONTH(I10)-MONTH(Inputs!$B$5)+1)</f>
        <v/>
      </c>
      <c r="O10">
        <f>IF(A10="","",IF(G10="Closed","Actual",IF(G10="Released","Committed","Plan")))</f>
        <v/>
      </c>
      <c r="P10" t="n">
        <v>1</v>
      </c>
    </row>
    <row r="11">
      <c r="A11" s="93">
        <f>IF('Sales Orders'!M11="YES","JC-"&amp;TEXT(ROW()-3,"0000"),"")</f>
        <v/>
      </c>
      <c r="B11" s="93">
        <f>IF(A11="","",'Sales Orders'!A11)</f>
        <v/>
      </c>
      <c r="C11" s="93">
        <f>IF(A11="","",'Sales Orders'!B11)</f>
        <v/>
      </c>
      <c r="D11" s="93">
        <f>IF(A11="","",'Sales Orders'!E11)</f>
        <v/>
      </c>
      <c r="E11" s="93">
        <f>IF(A11="","",'Sales Orders'!G11)</f>
        <v/>
      </c>
      <c r="F11" s="93">
        <f>IF(A11="","",'Sales Orders'!L11)</f>
        <v/>
      </c>
      <c r="G11" s="93">
        <f>IF(A11="","","RELEASED")</f>
        <v/>
      </c>
      <c r="H11" s="93">
        <f>IF(A11="","",IF(COUNTIFS('Job Material Req'!$A:$A,A11,'Job Material Req'!$L:$L,"SHORTAGE")&gt;0,"SHORTAGE",IF(COUNTIFS('Job Material Req'!$A:$A,A11,'Job Material Req'!$L:$L,"READY TO RESERVE")&gt;0,"READY TO RESERVE","RESERVED")))</f>
        <v/>
      </c>
      <c r="K11" s="93">
        <f>IF(A11="","","TRV-"&amp;TEXT(ROW()-3,"0000"))</f>
        <v/>
      </c>
      <c r="L11" s="93">
        <f>IF(A11="","","Material status summarized from Job Material Req")</f>
        <v/>
      </c>
      <c r="M11">
        <f>IF(A11="","",IF(H11&lt;&gt;"RESERVED","HOLD - MATERIAL","READY FOR RELEASE"))</f>
        <v/>
      </c>
      <c r="N11">
        <f>IF(I11="","",12*(YEAR(I11)-YEAR(Inputs!$B$5))+MONTH(I11)-MONTH(Inputs!$B$5)+1)</f>
        <v/>
      </c>
      <c r="O11">
        <f>IF(A11="","",IF(G11="Closed","Actual",IF(G11="Released","Committed","Plan")))</f>
        <v/>
      </c>
      <c r="P11" t="n">
        <v>1</v>
      </c>
    </row>
    <row r="12">
      <c r="A12" s="93">
        <f>IF('Sales Orders'!M12="YES","JC-"&amp;TEXT(ROW()-3,"0000"),"")</f>
        <v/>
      </c>
      <c r="B12" s="93">
        <f>IF(A12="","",'Sales Orders'!A12)</f>
        <v/>
      </c>
      <c r="C12" s="93">
        <f>IF(A12="","",'Sales Orders'!B12)</f>
        <v/>
      </c>
      <c r="D12" s="93">
        <f>IF(A12="","",'Sales Orders'!E12)</f>
        <v/>
      </c>
      <c r="E12" s="93">
        <f>IF(A12="","",'Sales Orders'!G12)</f>
        <v/>
      </c>
      <c r="F12" s="93">
        <f>IF(A12="","",'Sales Orders'!L12)</f>
        <v/>
      </c>
      <c r="G12" s="93">
        <f>IF(A12="","","RELEASED")</f>
        <v/>
      </c>
      <c r="H12" s="93">
        <f>IF(A12="","",IF(COUNTIFS('Job Material Req'!$A:$A,A12,'Job Material Req'!$L:$L,"SHORTAGE")&gt;0,"SHORTAGE",IF(COUNTIFS('Job Material Req'!$A:$A,A12,'Job Material Req'!$L:$L,"READY TO RESERVE")&gt;0,"READY TO RESERVE","RESERVED")))</f>
        <v/>
      </c>
      <c r="K12" s="93">
        <f>IF(A12="","","TRV-"&amp;TEXT(ROW()-3,"0000"))</f>
        <v/>
      </c>
      <c r="L12" s="93">
        <f>IF(A12="","","Material status summarized from Job Material Req")</f>
        <v/>
      </c>
      <c r="M12">
        <f>IF(A12="","",IF(H12&lt;&gt;"RESERVED","HOLD - MATERIAL","READY FOR RELEASE"))</f>
        <v/>
      </c>
      <c r="N12">
        <f>IF(I12="","",12*(YEAR(I12)-YEAR(Inputs!$B$5))+MONTH(I12)-MONTH(Inputs!$B$5)+1)</f>
        <v/>
      </c>
      <c r="O12">
        <f>IF(A12="","",IF(G12="Closed","Actual",IF(G12="Released","Committed","Plan")))</f>
        <v/>
      </c>
      <c r="P12" t="n">
        <v>1</v>
      </c>
    </row>
    <row r="13">
      <c r="A13" s="93">
        <f>IF('Sales Orders'!M13="YES","JC-"&amp;TEXT(ROW()-3,"0000"),"")</f>
        <v/>
      </c>
      <c r="B13" s="93">
        <f>IF(A13="","",'Sales Orders'!A13)</f>
        <v/>
      </c>
      <c r="C13" s="93">
        <f>IF(A13="","",'Sales Orders'!B13)</f>
        <v/>
      </c>
      <c r="D13" s="93">
        <f>IF(A13="","",'Sales Orders'!E13)</f>
        <v/>
      </c>
      <c r="E13" s="93">
        <f>IF(A13="","",'Sales Orders'!G13)</f>
        <v/>
      </c>
      <c r="F13" s="93">
        <f>IF(A13="","",'Sales Orders'!L13)</f>
        <v/>
      </c>
      <c r="G13" s="93">
        <f>IF(A13="","","RELEASED")</f>
        <v/>
      </c>
      <c r="H13" s="93">
        <f>IF(A13="","",IF(COUNTIFS('Job Material Req'!$A:$A,A13,'Job Material Req'!$L:$L,"SHORTAGE")&gt;0,"SHORTAGE",IF(COUNTIFS('Job Material Req'!$A:$A,A13,'Job Material Req'!$L:$L,"READY TO RESERVE")&gt;0,"READY TO RESERVE","RESERVED")))</f>
        <v/>
      </c>
      <c r="K13" s="93">
        <f>IF(A13="","","TRV-"&amp;TEXT(ROW()-3,"0000"))</f>
        <v/>
      </c>
      <c r="L13" s="93">
        <f>IF(A13="","","Material status summarized from Job Material Req")</f>
        <v/>
      </c>
      <c r="M13">
        <f>IF(A13="","",IF(H13&lt;&gt;"RESERVED","HOLD - MATERIAL","READY FOR RELEASE"))</f>
        <v/>
      </c>
      <c r="N13">
        <f>IF(I13="","",12*(YEAR(I13)-YEAR(Inputs!$B$5))+MONTH(I13)-MONTH(Inputs!$B$5)+1)</f>
        <v/>
      </c>
      <c r="O13">
        <f>IF(A13="","",IF(G13="Closed","Actual",IF(G13="Released","Committed","Plan")))</f>
        <v/>
      </c>
      <c r="P13" t="n">
        <v>1</v>
      </c>
    </row>
    <row r="14">
      <c r="A14" s="93">
        <f>IF('Sales Orders'!M14="YES","JC-"&amp;TEXT(ROW()-3,"0000"),"")</f>
        <v/>
      </c>
      <c r="B14" s="93">
        <f>IF(A14="","",'Sales Orders'!A14)</f>
        <v/>
      </c>
      <c r="C14" s="93">
        <f>IF(A14="","",'Sales Orders'!B14)</f>
        <v/>
      </c>
      <c r="D14" s="93">
        <f>IF(A14="","",'Sales Orders'!E14)</f>
        <v/>
      </c>
      <c r="E14" s="93">
        <f>IF(A14="","",'Sales Orders'!G14)</f>
        <v/>
      </c>
      <c r="F14" s="93">
        <f>IF(A14="","",'Sales Orders'!L14)</f>
        <v/>
      </c>
      <c r="G14" s="93">
        <f>IF(A14="","","RELEASED")</f>
        <v/>
      </c>
      <c r="H14" s="93">
        <f>IF(A14="","",IF(COUNTIFS('Job Material Req'!$A:$A,A14,'Job Material Req'!$L:$L,"SHORTAGE")&gt;0,"SHORTAGE",IF(COUNTIFS('Job Material Req'!$A:$A,A14,'Job Material Req'!$L:$L,"READY TO RESERVE")&gt;0,"READY TO RESERVE","RESERVED")))</f>
        <v/>
      </c>
      <c r="K14" s="93">
        <f>IF(A14="","","TRV-"&amp;TEXT(ROW()-3,"0000"))</f>
        <v/>
      </c>
      <c r="L14" s="93">
        <f>IF(A14="","","Material status summarized from Job Material Req")</f>
        <v/>
      </c>
      <c r="M14">
        <f>IF(A14="","",IF(H14&lt;&gt;"RESERVED","HOLD - MATERIAL","READY FOR RELEASE"))</f>
        <v/>
      </c>
      <c r="N14">
        <f>IF(I14="","",12*(YEAR(I14)-YEAR(Inputs!$B$5))+MONTH(I14)-MONTH(Inputs!$B$5)+1)</f>
        <v/>
      </c>
      <c r="O14">
        <f>IF(A14="","",IF(G14="Closed","Actual",IF(G14="Released","Committed","Plan")))</f>
        <v/>
      </c>
      <c r="P14" t="n">
        <v>1</v>
      </c>
    </row>
    <row r="15">
      <c r="A15" s="93">
        <f>IF('Sales Orders'!M15="YES","JC-"&amp;TEXT(ROW()-3,"0000"),"")</f>
        <v/>
      </c>
      <c r="B15" s="93">
        <f>IF(A15="","",'Sales Orders'!A15)</f>
        <v/>
      </c>
      <c r="C15" s="93">
        <f>IF(A15="","",'Sales Orders'!B15)</f>
        <v/>
      </c>
      <c r="D15" s="93">
        <f>IF(A15="","",'Sales Orders'!E15)</f>
        <v/>
      </c>
      <c r="E15" s="93">
        <f>IF(A15="","",'Sales Orders'!G15)</f>
        <v/>
      </c>
      <c r="F15" s="93">
        <f>IF(A15="","",'Sales Orders'!L15)</f>
        <v/>
      </c>
      <c r="G15" s="93">
        <f>IF(A15="","","RELEASED")</f>
        <v/>
      </c>
      <c r="H15" s="93">
        <f>IF(A15="","",IF(COUNTIFS('Job Material Req'!$A:$A,A15,'Job Material Req'!$L:$L,"SHORTAGE")&gt;0,"SHORTAGE",IF(COUNTIFS('Job Material Req'!$A:$A,A15,'Job Material Req'!$L:$L,"READY TO RESERVE")&gt;0,"READY TO RESERVE","RESERVED")))</f>
        <v/>
      </c>
      <c r="K15" s="93">
        <f>IF(A15="","","TRV-"&amp;TEXT(ROW()-3,"0000"))</f>
        <v/>
      </c>
      <c r="L15" s="93">
        <f>IF(A15="","","Material status summarized from Job Material Req")</f>
        <v/>
      </c>
      <c r="M15">
        <f>IF(A15="","",IF(H15&lt;&gt;"RESERVED","HOLD - MATERIAL","READY FOR RELEASE"))</f>
        <v/>
      </c>
      <c r="N15">
        <f>IF(I15="","",12*(YEAR(I15)-YEAR(Inputs!$B$5))+MONTH(I15)-MONTH(Inputs!$B$5)+1)</f>
        <v/>
      </c>
      <c r="O15">
        <f>IF(A15="","",IF(G15="Closed","Actual",IF(G15="Released","Committed","Plan")))</f>
        <v/>
      </c>
      <c r="P15" t="n">
        <v>1</v>
      </c>
    </row>
    <row r="16">
      <c r="A16" s="93">
        <f>IF('Sales Orders'!M16="YES","JC-"&amp;TEXT(ROW()-3,"0000"),"")</f>
        <v/>
      </c>
      <c r="B16" s="93">
        <f>IF(A16="","",'Sales Orders'!A16)</f>
        <v/>
      </c>
      <c r="C16" s="93">
        <f>IF(A16="","",'Sales Orders'!B16)</f>
        <v/>
      </c>
      <c r="D16" s="93">
        <f>IF(A16="","",'Sales Orders'!E16)</f>
        <v/>
      </c>
      <c r="E16" s="93">
        <f>IF(A16="","",'Sales Orders'!G16)</f>
        <v/>
      </c>
      <c r="F16" s="93">
        <f>IF(A16="","",'Sales Orders'!L16)</f>
        <v/>
      </c>
      <c r="G16" s="93">
        <f>IF(A16="","","RELEASED")</f>
        <v/>
      </c>
      <c r="H16" s="93">
        <f>IF(A16="","",IF(COUNTIFS('Job Material Req'!$A:$A,A16,'Job Material Req'!$L:$L,"SHORTAGE")&gt;0,"SHORTAGE",IF(COUNTIFS('Job Material Req'!$A:$A,A16,'Job Material Req'!$L:$L,"READY TO RESERVE")&gt;0,"READY TO RESERVE","RESERVED")))</f>
        <v/>
      </c>
      <c r="K16" s="93">
        <f>IF(A16="","","TRV-"&amp;TEXT(ROW()-3,"0000"))</f>
        <v/>
      </c>
      <c r="L16" s="93">
        <f>IF(A16="","","Material status summarized from Job Material Req")</f>
        <v/>
      </c>
      <c r="M16">
        <f>IF(A16="","",IF(H16&lt;&gt;"RESERVED","HOLD - MATERIAL","READY FOR RELEASE"))</f>
        <v/>
      </c>
      <c r="N16">
        <f>IF(I16="","",12*(YEAR(I16)-YEAR(Inputs!$B$5))+MONTH(I16)-MONTH(Inputs!$B$5)+1)</f>
        <v/>
      </c>
      <c r="O16">
        <f>IF(A16="","",IF(G16="Closed","Actual",IF(G16="Released","Committed","Plan")))</f>
        <v/>
      </c>
      <c r="P16" t="n">
        <v>1</v>
      </c>
    </row>
    <row r="17">
      <c r="A17" s="93">
        <f>IF('Sales Orders'!M17="YES","JC-"&amp;TEXT(ROW()-3,"0000"),"")</f>
        <v/>
      </c>
      <c r="B17" s="93">
        <f>IF(A17="","",'Sales Orders'!A17)</f>
        <v/>
      </c>
      <c r="C17" s="93">
        <f>IF(A17="","",'Sales Orders'!B17)</f>
        <v/>
      </c>
      <c r="D17" s="93">
        <f>IF(A17="","",'Sales Orders'!E17)</f>
        <v/>
      </c>
      <c r="E17" s="93">
        <f>IF(A17="","",'Sales Orders'!G17)</f>
        <v/>
      </c>
      <c r="F17" s="93">
        <f>IF(A17="","",'Sales Orders'!L17)</f>
        <v/>
      </c>
      <c r="G17" s="93">
        <f>IF(A17="","","RELEASED")</f>
        <v/>
      </c>
      <c r="H17" s="93">
        <f>IF(A17="","",IF(COUNTIFS('Job Material Req'!$A:$A,A17,'Job Material Req'!$L:$L,"SHORTAGE")&gt;0,"SHORTAGE",IF(COUNTIFS('Job Material Req'!$A:$A,A17,'Job Material Req'!$L:$L,"READY TO RESERVE")&gt;0,"READY TO RESERVE","RESERVED")))</f>
        <v/>
      </c>
      <c r="K17" s="93">
        <f>IF(A17="","","TRV-"&amp;TEXT(ROW()-3,"0000"))</f>
        <v/>
      </c>
      <c r="L17" s="93">
        <f>IF(A17="","","Material status summarized from Job Material Req")</f>
        <v/>
      </c>
      <c r="M17">
        <f>IF(A17="","",IF(H17&lt;&gt;"RESERVED","HOLD - MATERIAL","READY FOR RELEASE"))</f>
        <v/>
      </c>
      <c r="N17">
        <f>IF(I17="","",12*(YEAR(I17)-YEAR(Inputs!$B$5))+MONTH(I17)-MONTH(Inputs!$B$5)+1)</f>
        <v/>
      </c>
      <c r="O17">
        <f>IF(A17="","",IF(G17="Closed","Actual",IF(G17="Released","Committed","Plan")))</f>
        <v/>
      </c>
      <c r="P17" t="n">
        <v>1</v>
      </c>
    </row>
    <row r="18">
      <c r="A18" s="93">
        <f>IF('Sales Orders'!M18="YES","JC-"&amp;TEXT(ROW()-3,"0000"),"")</f>
        <v/>
      </c>
      <c r="B18" s="93">
        <f>IF(A18="","",'Sales Orders'!A18)</f>
        <v/>
      </c>
      <c r="C18" s="93">
        <f>IF(A18="","",'Sales Orders'!B18)</f>
        <v/>
      </c>
      <c r="D18" s="93">
        <f>IF(A18="","",'Sales Orders'!E18)</f>
        <v/>
      </c>
      <c r="E18" s="93">
        <f>IF(A18="","",'Sales Orders'!G18)</f>
        <v/>
      </c>
      <c r="F18" s="93">
        <f>IF(A18="","",'Sales Orders'!L18)</f>
        <v/>
      </c>
      <c r="G18" s="93">
        <f>IF(A18="","","RELEASED")</f>
        <v/>
      </c>
      <c r="H18" s="93">
        <f>IF(A18="","",IF(COUNTIFS('Job Material Req'!$A:$A,A18,'Job Material Req'!$L:$L,"SHORTAGE")&gt;0,"SHORTAGE",IF(COUNTIFS('Job Material Req'!$A:$A,A18,'Job Material Req'!$L:$L,"READY TO RESERVE")&gt;0,"READY TO RESERVE","RESERVED")))</f>
        <v/>
      </c>
      <c r="K18" s="93">
        <f>IF(A18="","","TRV-"&amp;TEXT(ROW()-3,"0000"))</f>
        <v/>
      </c>
      <c r="L18" s="93">
        <f>IF(A18="","","Material status summarized from Job Material Req")</f>
        <v/>
      </c>
      <c r="M18">
        <f>IF(A18="","",IF(H18&lt;&gt;"RESERVED","HOLD - MATERIAL","READY FOR RELEASE"))</f>
        <v/>
      </c>
      <c r="N18">
        <f>IF(I18="","",12*(YEAR(I18)-YEAR(Inputs!$B$5))+MONTH(I18)-MONTH(Inputs!$B$5)+1)</f>
        <v/>
      </c>
      <c r="O18">
        <f>IF(A18="","",IF(G18="Closed","Actual",IF(G18="Released","Committed","Plan")))</f>
        <v/>
      </c>
      <c r="P18" t="n">
        <v>1</v>
      </c>
    </row>
    <row r="19">
      <c r="A19" s="93">
        <f>IF('Sales Orders'!M19="YES","JC-"&amp;TEXT(ROW()-3,"0000"),"")</f>
        <v/>
      </c>
      <c r="B19" s="93">
        <f>IF(A19="","",'Sales Orders'!A19)</f>
        <v/>
      </c>
      <c r="C19" s="93">
        <f>IF(A19="","",'Sales Orders'!B19)</f>
        <v/>
      </c>
      <c r="D19" s="93">
        <f>IF(A19="","",'Sales Orders'!E19)</f>
        <v/>
      </c>
      <c r="E19" s="93">
        <f>IF(A19="","",'Sales Orders'!G19)</f>
        <v/>
      </c>
      <c r="F19" s="93">
        <f>IF(A19="","",'Sales Orders'!L19)</f>
        <v/>
      </c>
      <c r="G19" s="93">
        <f>IF(A19="","","RELEASED")</f>
        <v/>
      </c>
      <c r="H19" s="93">
        <f>IF(A19="","",IF(COUNTIFS('Job Material Req'!$A:$A,A19,'Job Material Req'!$L:$L,"SHORTAGE")&gt;0,"SHORTAGE",IF(COUNTIFS('Job Material Req'!$A:$A,A19,'Job Material Req'!$L:$L,"READY TO RESERVE")&gt;0,"READY TO RESERVE","RESERVED")))</f>
        <v/>
      </c>
      <c r="K19" s="93">
        <f>IF(A19="","","TRV-"&amp;TEXT(ROW()-3,"0000"))</f>
        <v/>
      </c>
      <c r="L19" s="93">
        <f>IF(A19="","","Material status summarized from Job Material Req")</f>
        <v/>
      </c>
      <c r="M19">
        <f>IF(A19="","",IF(H19&lt;&gt;"RESERVED","HOLD - MATERIAL","READY FOR RELEASE"))</f>
        <v/>
      </c>
      <c r="N19">
        <f>IF(I19="","",12*(YEAR(I19)-YEAR(Inputs!$B$5))+MONTH(I19)-MONTH(Inputs!$B$5)+1)</f>
        <v/>
      </c>
      <c r="O19">
        <f>IF(A19="","",IF(G19="Closed","Actual",IF(G19="Released","Committed","Plan")))</f>
        <v/>
      </c>
      <c r="P19" t="n">
        <v>1</v>
      </c>
    </row>
    <row r="20">
      <c r="A20" s="93">
        <f>IF('Sales Orders'!M20="YES","JC-"&amp;TEXT(ROW()-3,"0000"),"")</f>
        <v/>
      </c>
      <c r="B20" s="93">
        <f>IF(A20="","",'Sales Orders'!A20)</f>
        <v/>
      </c>
      <c r="C20" s="93">
        <f>IF(A20="","",'Sales Orders'!B20)</f>
        <v/>
      </c>
      <c r="D20" s="93">
        <f>IF(A20="","",'Sales Orders'!E20)</f>
        <v/>
      </c>
      <c r="E20" s="93">
        <f>IF(A20="","",'Sales Orders'!G20)</f>
        <v/>
      </c>
      <c r="F20" s="93">
        <f>IF(A20="","",'Sales Orders'!L20)</f>
        <v/>
      </c>
      <c r="G20" s="93">
        <f>IF(A20="","","RELEASED")</f>
        <v/>
      </c>
      <c r="H20" s="93">
        <f>IF(A20="","",IF(COUNTIFS('Job Material Req'!$A:$A,A20,'Job Material Req'!$L:$L,"SHORTAGE")&gt;0,"SHORTAGE",IF(COUNTIFS('Job Material Req'!$A:$A,A20,'Job Material Req'!$L:$L,"READY TO RESERVE")&gt;0,"READY TO RESERVE","RESERVED")))</f>
        <v/>
      </c>
      <c r="K20" s="93">
        <f>IF(A20="","","TRV-"&amp;TEXT(ROW()-3,"0000"))</f>
        <v/>
      </c>
      <c r="L20" s="93">
        <f>IF(A20="","","Material status summarized from Job Material Req")</f>
        <v/>
      </c>
      <c r="M20">
        <f>IF(A20="","",IF(H20&lt;&gt;"RESERVED","HOLD - MATERIAL","READY FOR RELEASE"))</f>
        <v/>
      </c>
      <c r="N20">
        <f>IF(I20="","",12*(YEAR(I20)-YEAR(Inputs!$B$5))+MONTH(I20)-MONTH(Inputs!$B$5)+1)</f>
        <v/>
      </c>
      <c r="O20">
        <f>IF(A20="","",IF(G20="Closed","Actual",IF(G20="Released","Committed","Plan")))</f>
        <v/>
      </c>
      <c r="P20" t="n">
        <v>1</v>
      </c>
    </row>
    <row r="21">
      <c r="A21" s="93">
        <f>IF('Sales Orders'!M21="YES","JC-"&amp;TEXT(ROW()-3,"0000"),"")</f>
        <v/>
      </c>
      <c r="B21" s="93">
        <f>IF(A21="","",'Sales Orders'!A21)</f>
        <v/>
      </c>
      <c r="C21" s="93">
        <f>IF(A21="","",'Sales Orders'!B21)</f>
        <v/>
      </c>
      <c r="D21" s="93">
        <f>IF(A21="","",'Sales Orders'!E21)</f>
        <v/>
      </c>
      <c r="E21" s="93">
        <f>IF(A21="","",'Sales Orders'!G21)</f>
        <v/>
      </c>
      <c r="F21" s="93">
        <f>IF(A21="","",'Sales Orders'!L21)</f>
        <v/>
      </c>
      <c r="G21" s="93">
        <f>IF(A21="","","RELEASED")</f>
        <v/>
      </c>
      <c r="H21" s="93">
        <f>IF(A21="","",IF(COUNTIFS('Job Material Req'!$A:$A,A21,'Job Material Req'!$L:$L,"SHORTAGE")&gt;0,"SHORTAGE",IF(COUNTIFS('Job Material Req'!$A:$A,A21,'Job Material Req'!$L:$L,"READY TO RESERVE")&gt;0,"READY TO RESERVE","RESERVED")))</f>
        <v/>
      </c>
      <c r="K21" s="93">
        <f>IF(A21="","","TRV-"&amp;TEXT(ROW()-3,"0000"))</f>
        <v/>
      </c>
      <c r="L21" s="93">
        <f>IF(A21="","","Material status summarized from Job Material Req")</f>
        <v/>
      </c>
      <c r="M21">
        <f>IF(A21="","",IF(H21&lt;&gt;"RESERVED","HOLD - MATERIAL","READY FOR RELEASE"))</f>
        <v/>
      </c>
      <c r="N21">
        <f>IF(I21="","",12*(YEAR(I21)-YEAR(Inputs!$B$5))+MONTH(I21)-MONTH(Inputs!$B$5)+1)</f>
        <v/>
      </c>
      <c r="O21">
        <f>IF(A21="","",IF(G21="Closed","Actual",IF(G21="Released","Committed","Plan")))</f>
        <v/>
      </c>
      <c r="P21" t="n">
        <v>1</v>
      </c>
    </row>
    <row r="22">
      <c r="A22" s="93">
        <f>IF('Sales Orders'!M22="YES","JC-"&amp;TEXT(ROW()-3,"0000"),"")</f>
        <v/>
      </c>
      <c r="B22" s="93">
        <f>IF(A22="","",'Sales Orders'!A22)</f>
        <v/>
      </c>
      <c r="C22" s="93">
        <f>IF(A22="","",'Sales Orders'!B22)</f>
        <v/>
      </c>
      <c r="D22" s="93">
        <f>IF(A22="","",'Sales Orders'!E22)</f>
        <v/>
      </c>
      <c r="E22" s="93">
        <f>IF(A22="","",'Sales Orders'!G22)</f>
        <v/>
      </c>
      <c r="F22" s="93">
        <f>IF(A22="","",'Sales Orders'!L22)</f>
        <v/>
      </c>
      <c r="G22" s="93">
        <f>IF(A22="","","RELEASED")</f>
        <v/>
      </c>
      <c r="H22" s="93">
        <f>IF(A22="","",IF(COUNTIFS('Job Material Req'!$A:$A,A22,'Job Material Req'!$L:$L,"SHORTAGE")&gt;0,"SHORTAGE",IF(COUNTIFS('Job Material Req'!$A:$A,A22,'Job Material Req'!$L:$L,"READY TO RESERVE")&gt;0,"READY TO RESERVE","RESERVED")))</f>
        <v/>
      </c>
      <c r="K22" s="93">
        <f>IF(A22="","","TRV-"&amp;TEXT(ROW()-3,"0000"))</f>
        <v/>
      </c>
      <c r="L22" s="93">
        <f>IF(A22="","","Material status summarized from Job Material Req")</f>
        <v/>
      </c>
      <c r="M22">
        <f>IF(A22="","",IF(H22&lt;&gt;"RESERVED","HOLD - MATERIAL","READY FOR RELEASE"))</f>
        <v/>
      </c>
      <c r="N22">
        <f>IF(I22="","",12*(YEAR(I22)-YEAR(Inputs!$B$5))+MONTH(I22)-MONTH(Inputs!$B$5)+1)</f>
        <v/>
      </c>
      <c r="O22">
        <f>IF(A22="","",IF(G22="Closed","Actual",IF(G22="Released","Committed","Plan")))</f>
        <v/>
      </c>
      <c r="P22" t="n">
        <v>1</v>
      </c>
    </row>
    <row r="23">
      <c r="A23" s="93">
        <f>IF('Sales Orders'!M23="YES","JC-"&amp;TEXT(ROW()-3,"0000"),"")</f>
        <v/>
      </c>
      <c r="B23" s="93">
        <f>IF(A23="","",'Sales Orders'!A23)</f>
        <v/>
      </c>
      <c r="C23" s="93">
        <f>IF(A23="","",'Sales Orders'!B23)</f>
        <v/>
      </c>
      <c r="D23" s="93">
        <f>IF(A23="","",'Sales Orders'!E23)</f>
        <v/>
      </c>
      <c r="E23" s="93">
        <f>IF(A23="","",'Sales Orders'!G23)</f>
        <v/>
      </c>
      <c r="F23" s="93">
        <f>IF(A23="","",'Sales Orders'!L23)</f>
        <v/>
      </c>
      <c r="G23" s="93">
        <f>IF(A23="","","RELEASED")</f>
        <v/>
      </c>
      <c r="H23" s="93">
        <f>IF(A23="","",IF(COUNTIFS('Job Material Req'!$A:$A,A23,'Job Material Req'!$L:$L,"SHORTAGE")&gt;0,"SHORTAGE",IF(COUNTIFS('Job Material Req'!$A:$A,A23,'Job Material Req'!$L:$L,"READY TO RESERVE")&gt;0,"READY TO RESERVE","RESERVED")))</f>
        <v/>
      </c>
      <c r="K23" s="93">
        <f>IF(A23="","","TRV-"&amp;TEXT(ROW()-3,"0000"))</f>
        <v/>
      </c>
      <c r="L23" s="93">
        <f>IF(A23="","","Material status summarized from Job Material Req")</f>
        <v/>
      </c>
      <c r="M23">
        <f>IF(A23="","",IF(H23&lt;&gt;"RESERVED","HOLD - MATERIAL","READY FOR RELEASE"))</f>
        <v/>
      </c>
      <c r="N23">
        <f>IF(I23="","",12*(YEAR(I23)-YEAR(Inputs!$B$5))+MONTH(I23)-MONTH(Inputs!$B$5)+1)</f>
        <v/>
      </c>
      <c r="O23">
        <f>IF(A23="","",IF(G23="Closed","Actual",IF(G23="Released","Committed","Plan")))</f>
        <v/>
      </c>
      <c r="P23" t="n">
        <v>1</v>
      </c>
    </row>
    <row r="24">
      <c r="A24" s="93">
        <f>IF('Sales Orders'!M24="YES","JC-"&amp;TEXT(ROW()-3,"0000"),"")</f>
        <v/>
      </c>
      <c r="B24" s="93">
        <f>IF(A24="","",'Sales Orders'!A24)</f>
        <v/>
      </c>
      <c r="C24" s="93">
        <f>IF(A24="","",'Sales Orders'!B24)</f>
        <v/>
      </c>
      <c r="D24" s="93">
        <f>IF(A24="","",'Sales Orders'!E24)</f>
        <v/>
      </c>
      <c r="E24" s="93">
        <f>IF(A24="","",'Sales Orders'!G24)</f>
        <v/>
      </c>
      <c r="F24" s="93">
        <f>IF(A24="","",'Sales Orders'!L24)</f>
        <v/>
      </c>
      <c r="G24" s="93">
        <f>IF(A24="","","RELEASED")</f>
        <v/>
      </c>
      <c r="H24" s="93">
        <f>IF(A24="","",IF(COUNTIFS('Job Material Req'!$A$4:$A$703,A24,'Job Material Req'!$J$4:$J$703,"&gt;0")&gt;0,"SHORTAGE","READY"))</f>
        <v/>
      </c>
      <c r="K24" s="93">
        <f>IF(A24="","","TRV-"&amp;TEXT(ROW()-3,"0000"))</f>
        <v/>
      </c>
      <c r="L24" s="93">
        <f>IF(A24="","","Material status summarized from Job Material Req")</f>
        <v/>
      </c>
      <c r="N24">
        <f>IF(I24="","",12*(YEAR(I24)-YEAR(Inputs!$B$5))+MONTH(I24)-MONTH(Inputs!$B$5)+1)</f>
        <v/>
      </c>
      <c r="O24">
        <f>IF(A24="","",IF(G24="Closed","Actual",IF(G24="Released","Committed","Plan")))</f>
        <v/>
      </c>
      <c r="P24" t="n">
        <v>1</v>
      </c>
    </row>
    <row r="25">
      <c r="A25" s="93">
        <f>IF('Sales Orders'!M25="YES","JC-"&amp;TEXT(ROW()-3,"0000"),"")</f>
        <v/>
      </c>
      <c r="B25" s="93">
        <f>IF(A25="","",'Sales Orders'!A25)</f>
        <v/>
      </c>
      <c r="C25" s="93">
        <f>IF(A25="","",'Sales Orders'!B25)</f>
        <v/>
      </c>
      <c r="D25" s="93">
        <f>IF(A25="","",'Sales Orders'!E25)</f>
        <v/>
      </c>
      <c r="E25" s="93">
        <f>IF(A25="","",'Sales Orders'!G25)</f>
        <v/>
      </c>
      <c r="F25" s="93">
        <f>IF(A25="","",'Sales Orders'!L25)</f>
        <v/>
      </c>
      <c r="G25" s="93">
        <f>IF(A25="","","RELEASED")</f>
        <v/>
      </c>
      <c r="H25" s="93">
        <f>IF(A25="","",IF(COUNTIFS('Job Material Req'!$A$4:$A$703,A25,'Job Material Req'!$J$4:$J$703,"&gt;0")&gt;0,"SHORTAGE","READY"))</f>
        <v/>
      </c>
      <c r="K25" s="93">
        <f>IF(A25="","","TRV-"&amp;TEXT(ROW()-3,"0000"))</f>
        <v/>
      </c>
      <c r="L25" s="93">
        <f>IF(A25="","","Material status summarized from Job Material Req")</f>
        <v/>
      </c>
      <c r="N25">
        <f>IF(I25="","",12*(YEAR(I25)-YEAR(Inputs!$B$5))+MONTH(I25)-MONTH(Inputs!$B$5)+1)</f>
        <v/>
      </c>
      <c r="O25">
        <f>IF(A25="","",IF(G25="Closed","Actual",IF(G25="Released","Committed","Plan")))</f>
        <v/>
      </c>
      <c r="P25" t="n">
        <v>1</v>
      </c>
    </row>
    <row r="26">
      <c r="A26" s="93">
        <f>IF('Sales Orders'!M26="YES","JC-"&amp;TEXT(ROW()-3,"0000"),"")</f>
        <v/>
      </c>
      <c r="B26" s="93">
        <f>IF(A26="","",'Sales Orders'!A26)</f>
        <v/>
      </c>
      <c r="C26" s="93">
        <f>IF(A26="","",'Sales Orders'!B26)</f>
        <v/>
      </c>
      <c r="D26" s="93">
        <f>IF(A26="","",'Sales Orders'!E26)</f>
        <v/>
      </c>
      <c r="E26" s="93">
        <f>IF(A26="","",'Sales Orders'!G26)</f>
        <v/>
      </c>
      <c r="F26" s="93">
        <f>IF(A26="","",'Sales Orders'!L26)</f>
        <v/>
      </c>
      <c r="G26" s="93">
        <f>IF(A26="","","RELEASED")</f>
        <v/>
      </c>
      <c r="H26" s="93">
        <f>IF(A26="","",IF(COUNTIFS('Job Material Req'!$A$4:$A$703,A26,'Job Material Req'!$J$4:$J$703,"&gt;0")&gt;0,"SHORTAGE","READY"))</f>
        <v/>
      </c>
      <c r="K26" s="93">
        <f>IF(A26="","","TRV-"&amp;TEXT(ROW()-3,"0000"))</f>
        <v/>
      </c>
      <c r="L26" s="93">
        <f>IF(A26="","","Material status summarized from Job Material Req")</f>
        <v/>
      </c>
      <c r="N26">
        <f>IF(I26="","",12*(YEAR(I26)-YEAR(Inputs!$B$5))+MONTH(I26)-MONTH(Inputs!$B$5)+1)</f>
        <v/>
      </c>
      <c r="O26">
        <f>IF(A26="","",IF(G26="Closed","Actual",IF(G26="Released","Committed","Plan")))</f>
        <v/>
      </c>
      <c r="P26" t="n">
        <v>1</v>
      </c>
    </row>
    <row r="27">
      <c r="A27" s="93">
        <f>IF('Sales Orders'!M27="YES","JC-"&amp;TEXT(ROW()-3,"0000"),"")</f>
        <v/>
      </c>
      <c r="B27" s="93">
        <f>IF(A27="","",'Sales Orders'!A27)</f>
        <v/>
      </c>
      <c r="C27" s="93">
        <f>IF(A27="","",'Sales Orders'!B27)</f>
        <v/>
      </c>
      <c r="D27" s="93">
        <f>IF(A27="","",'Sales Orders'!E27)</f>
        <v/>
      </c>
      <c r="E27" s="93">
        <f>IF(A27="","",'Sales Orders'!G27)</f>
        <v/>
      </c>
      <c r="F27" s="93">
        <f>IF(A27="","",'Sales Orders'!L27)</f>
        <v/>
      </c>
      <c r="G27" s="93">
        <f>IF(A27="","","RELEASED")</f>
        <v/>
      </c>
      <c r="H27" s="93">
        <f>IF(A27="","",IF(COUNTIFS('Job Material Req'!$A$4:$A$703,A27,'Job Material Req'!$J$4:$J$703,"&gt;0")&gt;0,"SHORTAGE","READY"))</f>
        <v/>
      </c>
      <c r="K27" s="93">
        <f>IF(A27="","","TRV-"&amp;TEXT(ROW()-3,"0000"))</f>
        <v/>
      </c>
      <c r="L27" s="93">
        <f>IF(A27="","","Material status summarized from Job Material Req")</f>
        <v/>
      </c>
      <c r="N27">
        <f>IF(I27="","",12*(YEAR(I27)-YEAR(Inputs!$B$5))+MONTH(I27)-MONTH(Inputs!$B$5)+1)</f>
        <v/>
      </c>
      <c r="O27">
        <f>IF(A27="","",IF(G27="Closed","Actual",IF(G27="Released","Committed","Plan")))</f>
        <v/>
      </c>
      <c r="P27" t="n">
        <v>1</v>
      </c>
    </row>
    <row r="28">
      <c r="A28" s="93">
        <f>IF('Sales Orders'!M28="YES","JC-"&amp;TEXT(ROW()-3,"0000"),"")</f>
        <v/>
      </c>
      <c r="B28" s="93">
        <f>IF(A28="","",'Sales Orders'!A28)</f>
        <v/>
      </c>
      <c r="C28" s="93">
        <f>IF(A28="","",'Sales Orders'!B28)</f>
        <v/>
      </c>
      <c r="D28" s="93">
        <f>IF(A28="","",'Sales Orders'!E28)</f>
        <v/>
      </c>
      <c r="E28" s="93">
        <f>IF(A28="","",'Sales Orders'!G28)</f>
        <v/>
      </c>
      <c r="F28" s="93">
        <f>IF(A28="","",'Sales Orders'!L28)</f>
        <v/>
      </c>
      <c r="G28" s="93">
        <f>IF(A28="","","RELEASED")</f>
        <v/>
      </c>
      <c r="H28" s="93">
        <f>IF(A28="","",IF(COUNTIFS('Job Material Req'!$A$4:$A$703,A28,'Job Material Req'!$J$4:$J$703,"&gt;0")&gt;0,"SHORTAGE","READY"))</f>
        <v/>
      </c>
      <c r="K28" s="93">
        <f>IF(A28="","","TRV-"&amp;TEXT(ROW()-3,"0000"))</f>
        <v/>
      </c>
      <c r="L28" s="93">
        <f>IF(A28="","","Material status summarized from Job Material Req")</f>
        <v/>
      </c>
      <c r="N28">
        <f>IF(I28="","",12*(YEAR(I28)-YEAR(Inputs!$B$5))+MONTH(I28)-MONTH(Inputs!$B$5)+1)</f>
        <v/>
      </c>
      <c r="O28">
        <f>IF(A28="","",IF(G28="Closed","Actual",IF(G28="Released","Committed","Plan")))</f>
        <v/>
      </c>
      <c r="P28" t="n">
        <v>1</v>
      </c>
    </row>
    <row r="29">
      <c r="A29" s="93">
        <f>IF('Sales Orders'!M29="YES","JC-"&amp;TEXT(ROW()-3,"0000"),"")</f>
        <v/>
      </c>
      <c r="B29" s="93">
        <f>IF(A29="","",'Sales Orders'!A29)</f>
        <v/>
      </c>
      <c r="C29" s="93">
        <f>IF(A29="","",'Sales Orders'!B29)</f>
        <v/>
      </c>
      <c r="D29" s="93">
        <f>IF(A29="","",'Sales Orders'!E29)</f>
        <v/>
      </c>
      <c r="E29" s="93">
        <f>IF(A29="","",'Sales Orders'!G29)</f>
        <v/>
      </c>
      <c r="F29" s="93">
        <f>IF(A29="","",'Sales Orders'!L29)</f>
        <v/>
      </c>
      <c r="G29" s="93">
        <f>IF(A29="","","RELEASED")</f>
        <v/>
      </c>
      <c r="H29" s="93">
        <f>IF(A29="","",IF(COUNTIFS('Job Material Req'!$A$4:$A$703,A29,'Job Material Req'!$J$4:$J$703,"&gt;0")&gt;0,"SHORTAGE","READY"))</f>
        <v/>
      </c>
      <c r="K29" s="93">
        <f>IF(A29="","","TRV-"&amp;TEXT(ROW()-3,"0000"))</f>
        <v/>
      </c>
      <c r="L29" s="93">
        <f>IF(A29="","","Material status summarized from Job Material Req")</f>
        <v/>
      </c>
      <c r="N29">
        <f>IF(I29="","",12*(YEAR(I29)-YEAR(Inputs!$B$5))+MONTH(I29)-MONTH(Inputs!$B$5)+1)</f>
        <v/>
      </c>
      <c r="O29">
        <f>IF(A29="","",IF(G29="Closed","Actual",IF(G29="Released","Committed","Plan")))</f>
        <v/>
      </c>
      <c r="P29" t="n">
        <v>1</v>
      </c>
    </row>
    <row r="30">
      <c r="A30" s="93">
        <f>IF('Sales Orders'!M30="YES","JC-"&amp;TEXT(ROW()-3,"0000"),"")</f>
        <v/>
      </c>
      <c r="B30" s="93">
        <f>IF(A30="","",'Sales Orders'!A30)</f>
        <v/>
      </c>
      <c r="C30" s="93">
        <f>IF(A30="","",'Sales Orders'!B30)</f>
        <v/>
      </c>
      <c r="D30" s="93">
        <f>IF(A30="","",'Sales Orders'!E30)</f>
        <v/>
      </c>
      <c r="E30" s="93">
        <f>IF(A30="","",'Sales Orders'!G30)</f>
        <v/>
      </c>
      <c r="F30" s="93">
        <f>IF(A30="","",'Sales Orders'!L30)</f>
        <v/>
      </c>
      <c r="G30" s="93">
        <f>IF(A30="","","RELEASED")</f>
        <v/>
      </c>
      <c r="H30" s="93">
        <f>IF(A30="","",IF(COUNTIFS('Job Material Req'!$A$4:$A$703,A30,'Job Material Req'!$J$4:$J$703,"&gt;0")&gt;0,"SHORTAGE","READY"))</f>
        <v/>
      </c>
      <c r="K30" s="93">
        <f>IF(A30="","","TRV-"&amp;TEXT(ROW()-3,"0000"))</f>
        <v/>
      </c>
      <c r="L30" s="93">
        <f>IF(A30="","","Material status summarized from Job Material Req")</f>
        <v/>
      </c>
      <c r="N30">
        <f>IF(I30="","",12*(YEAR(I30)-YEAR(Inputs!$B$5))+MONTH(I30)-MONTH(Inputs!$B$5)+1)</f>
        <v/>
      </c>
      <c r="O30">
        <f>IF(A30="","",IF(G30="Closed","Actual",IF(G30="Released","Committed","Plan")))</f>
        <v/>
      </c>
      <c r="P30" t="n">
        <v>1</v>
      </c>
    </row>
    <row r="31">
      <c r="A31" s="93">
        <f>IF('Sales Orders'!M31="YES","JC-"&amp;TEXT(ROW()-3,"0000"),"")</f>
        <v/>
      </c>
      <c r="B31" s="93">
        <f>IF(A31="","",'Sales Orders'!A31)</f>
        <v/>
      </c>
      <c r="C31" s="93">
        <f>IF(A31="","",'Sales Orders'!B31)</f>
        <v/>
      </c>
      <c r="D31" s="93">
        <f>IF(A31="","",'Sales Orders'!E31)</f>
        <v/>
      </c>
      <c r="E31" s="93">
        <f>IF(A31="","",'Sales Orders'!G31)</f>
        <v/>
      </c>
      <c r="F31" s="93">
        <f>IF(A31="","",'Sales Orders'!L31)</f>
        <v/>
      </c>
      <c r="G31" s="93">
        <f>IF(A31="","","RELEASED")</f>
        <v/>
      </c>
      <c r="H31" s="93">
        <f>IF(A31="","",IF(COUNTIFS('Job Material Req'!$A$4:$A$703,A31,'Job Material Req'!$J$4:$J$703,"&gt;0")&gt;0,"SHORTAGE","READY"))</f>
        <v/>
      </c>
      <c r="K31" s="93">
        <f>IF(A31="","","TRV-"&amp;TEXT(ROW()-3,"0000"))</f>
        <v/>
      </c>
      <c r="L31" s="93">
        <f>IF(A31="","","Material status summarized from Job Material Req")</f>
        <v/>
      </c>
      <c r="N31">
        <f>IF(I31="","",12*(YEAR(I31)-YEAR(Inputs!$B$5))+MONTH(I31)-MONTH(Inputs!$B$5)+1)</f>
        <v/>
      </c>
      <c r="O31">
        <f>IF(A31="","",IF(G31="Closed","Actual",IF(G31="Released","Committed","Plan")))</f>
        <v/>
      </c>
      <c r="P31" t="n">
        <v>1</v>
      </c>
    </row>
    <row r="32">
      <c r="A32" s="93">
        <f>IF('Sales Orders'!M32="YES","JC-"&amp;TEXT(ROW()-3,"0000"),"")</f>
        <v/>
      </c>
      <c r="B32" s="93">
        <f>IF(A32="","",'Sales Orders'!A32)</f>
        <v/>
      </c>
      <c r="C32" s="93">
        <f>IF(A32="","",'Sales Orders'!B32)</f>
        <v/>
      </c>
      <c r="D32" s="93">
        <f>IF(A32="","",'Sales Orders'!E32)</f>
        <v/>
      </c>
      <c r="E32" s="93">
        <f>IF(A32="","",'Sales Orders'!G32)</f>
        <v/>
      </c>
      <c r="F32" s="93">
        <f>IF(A32="","",'Sales Orders'!L32)</f>
        <v/>
      </c>
      <c r="G32" s="93">
        <f>IF(A32="","","RELEASED")</f>
        <v/>
      </c>
      <c r="H32" s="93">
        <f>IF(A32="","",IF(COUNTIFS('Job Material Req'!$A$4:$A$703,A32,'Job Material Req'!$J$4:$J$703,"&gt;0")&gt;0,"SHORTAGE","READY"))</f>
        <v/>
      </c>
      <c r="K32" s="93">
        <f>IF(A32="","","TRV-"&amp;TEXT(ROW()-3,"0000"))</f>
        <v/>
      </c>
      <c r="L32" s="93">
        <f>IF(A32="","","Material status summarized from Job Material Req")</f>
        <v/>
      </c>
      <c r="N32">
        <f>IF(I32="","",12*(YEAR(I32)-YEAR(Inputs!$B$5))+MONTH(I32)-MONTH(Inputs!$B$5)+1)</f>
        <v/>
      </c>
      <c r="O32">
        <f>IF(A32="","",IF(G32="Closed","Actual",IF(G32="Released","Committed","Plan")))</f>
        <v/>
      </c>
      <c r="P32" t="n">
        <v>1</v>
      </c>
    </row>
    <row r="33">
      <c r="A33" s="93">
        <f>IF('Sales Orders'!M33="YES","JC-"&amp;TEXT(ROW()-3,"0000"),"")</f>
        <v/>
      </c>
      <c r="B33" s="93">
        <f>IF(A33="","",'Sales Orders'!A33)</f>
        <v/>
      </c>
      <c r="C33" s="93">
        <f>IF(A33="","",'Sales Orders'!B33)</f>
        <v/>
      </c>
      <c r="D33" s="93">
        <f>IF(A33="","",'Sales Orders'!E33)</f>
        <v/>
      </c>
      <c r="E33" s="93">
        <f>IF(A33="","",'Sales Orders'!G33)</f>
        <v/>
      </c>
      <c r="F33" s="93">
        <f>IF(A33="","",'Sales Orders'!L33)</f>
        <v/>
      </c>
      <c r="G33" s="93">
        <f>IF(A33="","","RELEASED")</f>
        <v/>
      </c>
      <c r="H33" s="93">
        <f>IF(A33="","",IF(COUNTIFS('Job Material Req'!$A$4:$A$703,A33,'Job Material Req'!$J$4:$J$703,"&gt;0")&gt;0,"SHORTAGE","READY"))</f>
        <v/>
      </c>
      <c r="K33" s="93">
        <f>IF(A33="","","TRV-"&amp;TEXT(ROW()-3,"0000"))</f>
        <v/>
      </c>
      <c r="L33" s="93">
        <f>IF(A33="","","Material status summarized from Job Material Req")</f>
        <v/>
      </c>
      <c r="N33">
        <f>IF(I33="","",12*(YEAR(I33)-YEAR(Inputs!$B$5))+MONTH(I33)-MONTH(Inputs!$B$5)+1)</f>
        <v/>
      </c>
      <c r="O33">
        <f>IF(A33="","",IF(G33="Closed","Actual",IF(G33="Released","Committed","Plan")))</f>
        <v/>
      </c>
      <c r="P33" t="n">
        <v>1</v>
      </c>
    </row>
    <row r="34">
      <c r="A34" s="93">
        <f>IF('Sales Orders'!M34="YES","JC-"&amp;TEXT(ROW()-3,"0000"),"")</f>
        <v/>
      </c>
      <c r="B34" s="93">
        <f>IF(A34="","",'Sales Orders'!A34)</f>
        <v/>
      </c>
      <c r="C34" s="93">
        <f>IF(A34="","",'Sales Orders'!B34)</f>
        <v/>
      </c>
      <c r="D34" s="93">
        <f>IF(A34="","",'Sales Orders'!E34)</f>
        <v/>
      </c>
      <c r="E34" s="93">
        <f>IF(A34="","",'Sales Orders'!G34)</f>
        <v/>
      </c>
      <c r="F34" s="93">
        <f>IF(A34="","",'Sales Orders'!L34)</f>
        <v/>
      </c>
      <c r="G34" s="93">
        <f>IF(A34="","","RELEASED")</f>
        <v/>
      </c>
      <c r="H34" s="93">
        <f>IF(A34="","",IF(COUNTIFS('Job Material Req'!$A$4:$A$703,A34,'Job Material Req'!$J$4:$J$703,"&gt;0")&gt;0,"SHORTAGE","READY"))</f>
        <v/>
      </c>
      <c r="K34" s="93">
        <f>IF(A34="","","TRV-"&amp;TEXT(ROW()-3,"0000"))</f>
        <v/>
      </c>
      <c r="L34" s="93">
        <f>IF(A34="","","Material status summarized from Job Material Req")</f>
        <v/>
      </c>
      <c r="N34">
        <f>IF(I34="","",12*(YEAR(I34)-YEAR(Inputs!$B$5))+MONTH(I34)-MONTH(Inputs!$B$5)+1)</f>
        <v/>
      </c>
      <c r="O34">
        <f>IF(A34="","",IF(G34="Closed","Actual",IF(G34="Released","Committed","Plan")))</f>
        <v/>
      </c>
      <c r="P34" t="n">
        <v>1</v>
      </c>
    </row>
    <row r="35">
      <c r="A35" s="93">
        <f>IF('Sales Orders'!M35="YES","JC-"&amp;TEXT(ROW()-3,"0000"),"")</f>
        <v/>
      </c>
      <c r="B35" s="93">
        <f>IF(A35="","",'Sales Orders'!A35)</f>
        <v/>
      </c>
      <c r="C35" s="93">
        <f>IF(A35="","",'Sales Orders'!B35)</f>
        <v/>
      </c>
      <c r="D35" s="93">
        <f>IF(A35="","",'Sales Orders'!E35)</f>
        <v/>
      </c>
      <c r="E35" s="93">
        <f>IF(A35="","",'Sales Orders'!G35)</f>
        <v/>
      </c>
      <c r="F35" s="93">
        <f>IF(A35="","",'Sales Orders'!L35)</f>
        <v/>
      </c>
      <c r="G35" s="93">
        <f>IF(A35="","","RELEASED")</f>
        <v/>
      </c>
      <c r="H35" s="93">
        <f>IF(A35="","",IF(COUNTIFS('Job Material Req'!$A$4:$A$703,A35,'Job Material Req'!$J$4:$J$703,"&gt;0")&gt;0,"SHORTAGE","READY"))</f>
        <v/>
      </c>
      <c r="K35" s="93">
        <f>IF(A35="","","TRV-"&amp;TEXT(ROW()-3,"0000"))</f>
        <v/>
      </c>
      <c r="L35" s="93">
        <f>IF(A35="","","Material status summarized from Job Material Req")</f>
        <v/>
      </c>
      <c r="N35">
        <f>IF(I35="","",12*(YEAR(I35)-YEAR(Inputs!$B$5))+MONTH(I35)-MONTH(Inputs!$B$5)+1)</f>
        <v/>
      </c>
      <c r="O35">
        <f>IF(A35="","",IF(G35="Closed","Actual",IF(G35="Released","Committed","Plan")))</f>
        <v/>
      </c>
      <c r="P35" t="n">
        <v>1</v>
      </c>
    </row>
    <row r="36">
      <c r="A36" s="93">
        <f>IF('Sales Orders'!M36="YES","JC-"&amp;TEXT(ROW()-3,"0000"),"")</f>
        <v/>
      </c>
      <c r="B36" s="93">
        <f>IF(A36="","",'Sales Orders'!A36)</f>
        <v/>
      </c>
      <c r="C36" s="93">
        <f>IF(A36="","",'Sales Orders'!B36)</f>
        <v/>
      </c>
      <c r="D36" s="93">
        <f>IF(A36="","",'Sales Orders'!E36)</f>
        <v/>
      </c>
      <c r="E36" s="93">
        <f>IF(A36="","",'Sales Orders'!G36)</f>
        <v/>
      </c>
      <c r="F36" s="93">
        <f>IF(A36="","",'Sales Orders'!L36)</f>
        <v/>
      </c>
      <c r="G36" s="93">
        <f>IF(A36="","","RELEASED")</f>
        <v/>
      </c>
      <c r="H36" s="93">
        <f>IF(A36="","",IF(COUNTIFS('Job Material Req'!$A$4:$A$703,A36,'Job Material Req'!$J$4:$J$703,"&gt;0")&gt;0,"SHORTAGE","READY"))</f>
        <v/>
      </c>
      <c r="K36" s="93">
        <f>IF(A36="","","TRV-"&amp;TEXT(ROW()-3,"0000"))</f>
        <v/>
      </c>
      <c r="L36" s="93">
        <f>IF(A36="","","Material status summarized from Job Material Req")</f>
        <v/>
      </c>
      <c r="N36">
        <f>IF(I36="","",12*(YEAR(I36)-YEAR(Inputs!$B$5))+MONTH(I36)-MONTH(Inputs!$B$5)+1)</f>
        <v/>
      </c>
      <c r="O36">
        <f>IF(A36="","",IF(G36="Closed","Actual",IF(G36="Released","Committed","Plan")))</f>
        <v/>
      </c>
      <c r="P36" t="n">
        <v>1</v>
      </c>
    </row>
    <row r="37">
      <c r="A37" s="93">
        <f>IF('Sales Orders'!M37="YES","JC-"&amp;TEXT(ROW()-3,"0000"),"")</f>
        <v/>
      </c>
      <c r="B37" s="93">
        <f>IF(A37="","",'Sales Orders'!A37)</f>
        <v/>
      </c>
      <c r="C37" s="93">
        <f>IF(A37="","",'Sales Orders'!B37)</f>
        <v/>
      </c>
      <c r="D37" s="93">
        <f>IF(A37="","",'Sales Orders'!E37)</f>
        <v/>
      </c>
      <c r="E37" s="93">
        <f>IF(A37="","",'Sales Orders'!G37)</f>
        <v/>
      </c>
      <c r="F37" s="93">
        <f>IF(A37="","",'Sales Orders'!L37)</f>
        <v/>
      </c>
      <c r="G37" s="93">
        <f>IF(A37="","","RELEASED")</f>
        <v/>
      </c>
      <c r="H37" s="93">
        <f>IF(A37="","",IF(COUNTIFS('Job Material Req'!$A$4:$A$703,A37,'Job Material Req'!$J$4:$J$703,"&gt;0")&gt;0,"SHORTAGE","READY"))</f>
        <v/>
      </c>
      <c r="K37" s="93">
        <f>IF(A37="","","TRV-"&amp;TEXT(ROW()-3,"0000"))</f>
        <v/>
      </c>
      <c r="L37" s="93">
        <f>IF(A37="","","Material status summarized from Job Material Req")</f>
        <v/>
      </c>
      <c r="N37">
        <f>IF(I37="","",12*(YEAR(I37)-YEAR(Inputs!$B$5))+MONTH(I37)-MONTH(Inputs!$B$5)+1)</f>
        <v/>
      </c>
      <c r="O37">
        <f>IF(A37="","",IF(G37="Closed","Actual",IF(G37="Released","Committed","Plan")))</f>
        <v/>
      </c>
      <c r="P37" t="n">
        <v>1</v>
      </c>
    </row>
    <row r="38">
      <c r="A38" s="93">
        <f>IF('Sales Orders'!M38="YES","JC-"&amp;TEXT(ROW()-3,"0000"),"")</f>
        <v/>
      </c>
      <c r="B38" s="93">
        <f>IF(A38="","",'Sales Orders'!A38)</f>
        <v/>
      </c>
      <c r="C38" s="93">
        <f>IF(A38="","",'Sales Orders'!B38)</f>
        <v/>
      </c>
      <c r="D38" s="93">
        <f>IF(A38="","",'Sales Orders'!E38)</f>
        <v/>
      </c>
      <c r="E38" s="93">
        <f>IF(A38="","",'Sales Orders'!G38)</f>
        <v/>
      </c>
      <c r="F38" s="93">
        <f>IF(A38="","",'Sales Orders'!L38)</f>
        <v/>
      </c>
      <c r="G38" s="93">
        <f>IF(A38="","","RELEASED")</f>
        <v/>
      </c>
      <c r="H38" s="93">
        <f>IF(A38="","",IF(COUNTIFS('Job Material Req'!$A$4:$A$703,A38,'Job Material Req'!$J$4:$J$703,"&gt;0")&gt;0,"SHORTAGE","READY"))</f>
        <v/>
      </c>
      <c r="K38" s="93">
        <f>IF(A38="","","TRV-"&amp;TEXT(ROW()-3,"0000"))</f>
        <v/>
      </c>
      <c r="L38" s="93">
        <f>IF(A38="","","Material status summarized from Job Material Req")</f>
        <v/>
      </c>
      <c r="N38">
        <f>IF(I38="","",12*(YEAR(I38)-YEAR(Inputs!$B$5))+MONTH(I38)-MONTH(Inputs!$B$5)+1)</f>
        <v/>
      </c>
      <c r="O38">
        <f>IF(A38="","",IF(G38="Closed","Actual",IF(G38="Released","Committed","Plan")))</f>
        <v/>
      </c>
      <c r="P38" t="n">
        <v>1</v>
      </c>
    </row>
    <row r="39">
      <c r="A39" s="93">
        <f>IF('Sales Orders'!M39="YES","JC-"&amp;TEXT(ROW()-3,"0000"),"")</f>
        <v/>
      </c>
      <c r="B39" s="93">
        <f>IF(A39="","",'Sales Orders'!A39)</f>
        <v/>
      </c>
      <c r="C39" s="93">
        <f>IF(A39="","",'Sales Orders'!B39)</f>
        <v/>
      </c>
      <c r="D39" s="93">
        <f>IF(A39="","",'Sales Orders'!E39)</f>
        <v/>
      </c>
      <c r="E39" s="93">
        <f>IF(A39="","",'Sales Orders'!G39)</f>
        <v/>
      </c>
      <c r="F39" s="93">
        <f>IF(A39="","",'Sales Orders'!L39)</f>
        <v/>
      </c>
      <c r="G39" s="93">
        <f>IF(A39="","","RELEASED")</f>
        <v/>
      </c>
      <c r="H39" s="93">
        <f>IF(A39="","",IF(COUNTIFS('Job Material Req'!$A$4:$A$703,A39,'Job Material Req'!$J$4:$J$703,"&gt;0")&gt;0,"SHORTAGE","READY"))</f>
        <v/>
      </c>
      <c r="K39" s="93">
        <f>IF(A39="","","TRV-"&amp;TEXT(ROW()-3,"0000"))</f>
        <v/>
      </c>
      <c r="L39" s="93">
        <f>IF(A39="","","Material status summarized from Job Material Req")</f>
        <v/>
      </c>
      <c r="N39">
        <f>IF(I39="","",12*(YEAR(I39)-YEAR(Inputs!$B$5))+MONTH(I39)-MONTH(Inputs!$B$5)+1)</f>
        <v/>
      </c>
      <c r="O39">
        <f>IF(A39="","",IF(G39="Closed","Actual",IF(G39="Released","Committed","Plan")))</f>
        <v/>
      </c>
      <c r="P39" t="n">
        <v>1</v>
      </c>
    </row>
    <row r="40">
      <c r="A40" s="93">
        <f>IF('Sales Orders'!M40="YES","JC-"&amp;TEXT(ROW()-3,"0000"),"")</f>
        <v/>
      </c>
      <c r="B40" s="93">
        <f>IF(A40="","",'Sales Orders'!A40)</f>
        <v/>
      </c>
      <c r="C40" s="93">
        <f>IF(A40="","",'Sales Orders'!B40)</f>
        <v/>
      </c>
      <c r="D40" s="93">
        <f>IF(A40="","",'Sales Orders'!E40)</f>
        <v/>
      </c>
      <c r="E40" s="93">
        <f>IF(A40="","",'Sales Orders'!G40)</f>
        <v/>
      </c>
      <c r="F40" s="93">
        <f>IF(A40="","",'Sales Orders'!L40)</f>
        <v/>
      </c>
      <c r="G40" s="93">
        <f>IF(A40="","","RELEASED")</f>
        <v/>
      </c>
      <c r="H40" s="93">
        <f>IF(A40="","",IF(COUNTIFS('Job Material Req'!$A$4:$A$703,A40,'Job Material Req'!$J$4:$J$703,"&gt;0")&gt;0,"SHORTAGE","READY"))</f>
        <v/>
      </c>
      <c r="K40" s="93">
        <f>IF(A40="","","TRV-"&amp;TEXT(ROW()-3,"0000"))</f>
        <v/>
      </c>
      <c r="L40" s="93">
        <f>IF(A40="","","Material status summarized from Job Material Req")</f>
        <v/>
      </c>
      <c r="N40">
        <f>IF(I40="","",12*(YEAR(I40)-YEAR(Inputs!$B$5))+MONTH(I40)-MONTH(Inputs!$B$5)+1)</f>
        <v/>
      </c>
      <c r="O40">
        <f>IF(A40="","",IF(G40="Closed","Actual",IF(G40="Released","Committed","Plan")))</f>
        <v/>
      </c>
      <c r="P40" t="n">
        <v>1</v>
      </c>
    </row>
    <row r="41">
      <c r="A41" s="93">
        <f>IF('Sales Orders'!M41="YES","JC-"&amp;TEXT(ROW()-3,"0000"),"")</f>
        <v/>
      </c>
      <c r="B41" s="93">
        <f>IF(A41="","",'Sales Orders'!A41)</f>
        <v/>
      </c>
      <c r="C41" s="93">
        <f>IF(A41="","",'Sales Orders'!B41)</f>
        <v/>
      </c>
      <c r="D41" s="93">
        <f>IF(A41="","",'Sales Orders'!E41)</f>
        <v/>
      </c>
      <c r="E41" s="93">
        <f>IF(A41="","",'Sales Orders'!G41)</f>
        <v/>
      </c>
      <c r="F41" s="93">
        <f>IF(A41="","",'Sales Orders'!L41)</f>
        <v/>
      </c>
      <c r="G41" s="93">
        <f>IF(A41="","","RELEASED")</f>
        <v/>
      </c>
      <c r="H41" s="93">
        <f>IF(A41="","",IF(COUNTIFS('Job Material Req'!$A$4:$A$703,A41,'Job Material Req'!$J$4:$J$703,"&gt;0")&gt;0,"SHORTAGE","READY"))</f>
        <v/>
      </c>
      <c r="K41" s="93">
        <f>IF(A41="","","TRV-"&amp;TEXT(ROW()-3,"0000"))</f>
        <v/>
      </c>
      <c r="L41" s="93">
        <f>IF(A41="","","Material status summarized from Job Material Req")</f>
        <v/>
      </c>
      <c r="N41">
        <f>IF(I41="","",12*(YEAR(I41)-YEAR(Inputs!$B$5))+MONTH(I41)-MONTH(Inputs!$B$5)+1)</f>
        <v/>
      </c>
      <c r="O41">
        <f>IF(A41="","",IF(G41="Closed","Actual",IF(G41="Released","Committed","Plan")))</f>
        <v/>
      </c>
      <c r="P41" t="n">
        <v>1</v>
      </c>
    </row>
    <row r="42">
      <c r="A42" s="93">
        <f>IF('Sales Orders'!M42="YES","JC-"&amp;TEXT(ROW()-3,"0000"),"")</f>
        <v/>
      </c>
      <c r="B42" s="93">
        <f>IF(A42="","",'Sales Orders'!A42)</f>
        <v/>
      </c>
      <c r="C42" s="93">
        <f>IF(A42="","",'Sales Orders'!B42)</f>
        <v/>
      </c>
      <c r="D42" s="93">
        <f>IF(A42="","",'Sales Orders'!E42)</f>
        <v/>
      </c>
      <c r="E42" s="93">
        <f>IF(A42="","",'Sales Orders'!G42)</f>
        <v/>
      </c>
      <c r="F42" s="93">
        <f>IF(A42="","",'Sales Orders'!L42)</f>
        <v/>
      </c>
      <c r="G42" s="93">
        <f>IF(A42="","","RELEASED")</f>
        <v/>
      </c>
      <c r="H42" s="93">
        <f>IF(A42="","",IF(COUNTIFS('Job Material Req'!$A$4:$A$703,A42,'Job Material Req'!$J$4:$J$703,"&gt;0")&gt;0,"SHORTAGE","READY"))</f>
        <v/>
      </c>
      <c r="K42" s="93">
        <f>IF(A42="","","TRV-"&amp;TEXT(ROW()-3,"0000"))</f>
        <v/>
      </c>
      <c r="L42" s="93">
        <f>IF(A42="","","Material status summarized from Job Material Req")</f>
        <v/>
      </c>
      <c r="N42">
        <f>IF(I42="","",12*(YEAR(I42)-YEAR(Inputs!$B$5))+MONTH(I42)-MONTH(Inputs!$B$5)+1)</f>
        <v/>
      </c>
      <c r="O42">
        <f>IF(A42="","",IF(G42="Closed","Actual",IF(G42="Released","Committed","Plan")))</f>
        <v/>
      </c>
      <c r="P42" t="n">
        <v>1</v>
      </c>
    </row>
    <row r="43">
      <c r="A43" s="93">
        <f>IF('Sales Orders'!M43="YES","JC-"&amp;TEXT(ROW()-3,"0000"),"")</f>
        <v/>
      </c>
      <c r="B43" s="93">
        <f>IF(A43="","",'Sales Orders'!A43)</f>
        <v/>
      </c>
      <c r="C43" s="93">
        <f>IF(A43="","",'Sales Orders'!B43)</f>
        <v/>
      </c>
      <c r="D43" s="93">
        <f>IF(A43="","",'Sales Orders'!E43)</f>
        <v/>
      </c>
      <c r="E43" s="93">
        <f>IF(A43="","",'Sales Orders'!G43)</f>
        <v/>
      </c>
      <c r="F43" s="93">
        <f>IF(A43="","",'Sales Orders'!L43)</f>
        <v/>
      </c>
      <c r="G43" s="93">
        <f>IF(A43="","","RELEASED")</f>
        <v/>
      </c>
      <c r="H43" s="93">
        <f>IF(A43="","",IF(COUNTIFS('Job Material Req'!$A$4:$A$703,A43,'Job Material Req'!$J$4:$J$703,"&gt;0")&gt;0,"SHORTAGE","READY"))</f>
        <v/>
      </c>
      <c r="K43" s="93">
        <f>IF(A43="","","TRV-"&amp;TEXT(ROW()-3,"0000"))</f>
        <v/>
      </c>
      <c r="L43" s="93">
        <f>IF(A43="","","Material status summarized from Job Material Req")</f>
        <v/>
      </c>
      <c r="N43">
        <f>IF(I43="","",12*(YEAR(I43)-YEAR(Inputs!$B$5))+MONTH(I43)-MONTH(Inputs!$B$5)+1)</f>
        <v/>
      </c>
      <c r="O43">
        <f>IF(A43="","",IF(G43="Closed","Actual",IF(G43="Released","Committed","Plan")))</f>
        <v/>
      </c>
      <c r="P43" t="n">
        <v>1</v>
      </c>
    </row>
    <row r="44">
      <c r="A44" s="93">
        <f>IF('Sales Orders'!M44="YES","JC-"&amp;TEXT(ROW()-3,"0000"),"")</f>
        <v/>
      </c>
      <c r="B44" s="93">
        <f>IF(A44="","",'Sales Orders'!A44)</f>
        <v/>
      </c>
      <c r="C44" s="93">
        <f>IF(A44="","",'Sales Orders'!B44)</f>
        <v/>
      </c>
      <c r="D44" s="93">
        <f>IF(A44="","",'Sales Orders'!E44)</f>
        <v/>
      </c>
      <c r="E44" s="93">
        <f>IF(A44="","",'Sales Orders'!G44)</f>
        <v/>
      </c>
      <c r="F44" s="93">
        <f>IF(A44="","",'Sales Orders'!L44)</f>
        <v/>
      </c>
      <c r="G44" s="93">
        <f>IF(A44="","","RELEASED")</f>
        <v/>
      </c>
      <c r="H44" s="93">
        <f>IF(A44="","",IF(COUNTIFS('Job Material Req'!$A$4:$A$703,A44,'Job Material Req'!$J$4:$J$703,"&gt;0")&gt;0,"SHORTAGE","READY"))</f>
        <v/>
      </c>
      <c r="K44" s="93">
        <f>IF(A44="","","TRV-"&amp;TEXT(ROW()-3,"0000"))</f>
        <v/>
      </c>
      <c r="L44" s="93">
        <f>IF(A44="","","Material status summarized from Job Material Req")</f>
        <v/>
      </c>
      <c r="N44">
        <f>IF(I44="","",12*(YEAR(I44)-YEAR(Inputs!$B$5))+MONTH(I44)-MONTH(Inputs!$B$5)+1)</f>
        <v/>
      </c>
      <c r="O44">
        <f>IF(A44="","",IF(G44="Closed","Actual",IF(G44="Released","Committed","Plan")))</f>
        <v/>
      </c>
      <c r="P44" t="n">
        <v>1</v>
      </c>
    </row>
    <row r="45">
      <c r="A45" s="93">
        <f>IF('Sales Orders'!M45="YES","JC-"&amp;TEXT(ROW()-3,"0000"),"")</f>
        <v/>
      </c>
      <c r="B45" s="93">
        <f>IF(A45="","",'Sales Orders'!A45)</f>
        <v/>
      </c>
      <c r="C45" s="93">
        <f>IF(A45="","",'Sales Orders'!B45)</f>
        <v/>
      </c>
      <c r="D45" s="93">
        <f>IF(A45="","",'Sales Orders'!E45)</f>
        <v/>
      </c>
      <c r="E45" s="93">
        <f>IF(A45="","",'Sales Orders'!G45)</f>
        <v/>
      </c>
      <c r="F45" s="93">
        <f>IF(A45="","",'Sales Orders'!L45)</f>
        <v/>
      </c>
      <c r="G45" s="93">
        <f>IF(A45="","","RELEASED")</f>
        <v/>
      </c>
      <c r="H45" s="93">
        <f>IF(A45="","",IF(COUNTIFS('Job Material Req'!$A$4:$A$703,A45,'Job Material Req'!$J$4:$J$703,"&gt;0")&gt;0,"SHORTAGE","READY"))</f>
        <v/>
      </c>
      <c r="K45" s="93">
        <f>IF(A45="","","TRV-"&amp;TEXT(ROW()-3,"0000"))</f>
        <v/>
      </c>
      <c r="L45" s="93">
        <f>IF(A45="","","Material status summarized from Job Material Req")</f>
        <v/>
      </c>
      <c r="N45">
        <f>IF(I45="","",12*(YEAR(I45)-YEAR(Inputs!$B$5))+MONTH(I45)-MONTH(Inputs!$B$5)+1)</f>
        <v/>
      </c>
      <c r="O45">
        <f>IF(A45="","",IF(G45="Closed","Actual",IF(G45="Released","Committed","Plan")))</f>
        <v/>
      </c>
      <c r="P45" t="n">
        <v>1</v>
      </c>
    </row>
    <row r="46">
      <c r="A46" s="93">
        <f>IF('Sales Orders'!M46="YES","JC-"&amp;TEXT(ROW()-3,"0000"),"")</f>
        <v/>
      </c>
      <c r="B46" s="93">
        <f>IF(A46="","",'Sales Orders'!A46)</f>
        <v/>
      </c>
      <c r="C46" s="93">
        <f>IF(A46="","",'Sales Orders'!B46)</f>
        <v/>
      </c>
      <c r="D46" s="93">
        <f>IF(A46="","",'Sales Orders'!E46)</f>
        <v/>
      </c>
      <c r="E46" s="93">
        <f>IF(A46="","",'Sales Orders'!G46)</f>
        <v/>
      </c>
      <c r="F46" s="93">
        <f>IF(A46="","",'Sales Orders'!L46)</f>
        <v/>
      </c>
      <c r="G46" s="93">
        <f>IF(A46="","","RELEASED")</f>
        <v/>
      </c>
      <c r="H46" s="93">
        <f>IF(A46="","",IF(COUNTIFS('Job Material Req'!$A$4:$A$703,A46,'Job Material Req'!$J$4:$J$703,"&gt;0")&gt;0,"SHORTAGE","READY"))</f>
        <v/>
      </c>
      <c r="K46" s="93">
        <f>IF(A46="","","TRV-"&amp;TEXT(ROW()-3,"0000"))</f>
        <v/>
      </c>
      <c r="L46" s="93">
        <f>IF(A46="","","Material status summarized from Job Material Req")</f>
        <v/>
      </c>
      <c r="N46">
        <f>IF(I46="","",12*(YEAR(I46)-YEAR(Inputs!$B$5))+MONTH(I46)-MONTH(Inputs!$B$5)+1)</f>
        <v/>
      </c>
      <c r="O46">
        <f>IF(A46="","",IF(G46="Closed","Actual",IF(G46="Released","Committed","Plan")))</f>
        <v/>
      </c>
      <c r="P46" t="n">
        <v>1</v>
      </c>
    </row>
    <row r="47">
      <c r="A47" s="93">
        <f>IF('Sales Orders'!M47="YES","JC-"&amp;TEXT(ROW()-3,"0000"),"")</f>
        <v/>
      </c>
      <c r="B47" s="93">
        <f>IF(A47="","",'Sales Orders'!A47)</f>
        <v/>
      </c>
      <c r="C47" s="93">
        <f>IF(A47="","",'Sales Orders'!B47)</f>
        <v/>
      </c>
      <c r="D47" s="93">
        <f>IF(A47="","",'Sales Orders'!E47)</f>
        <v/>
      </c>
      <c r="E47" s="93">
        <f>IF(A47="","",'Sales Orders'!G47)</f>
        <v/>
      </c>
      <c r="F47" s="93">
        <f>IF(A47="","",'Sales Orders'!L47)</f>
        <v/>
      </c>
      <c r="G47" s="93">
        <f>IF(A47="","","RELEASED")</f>
        <v/>
      </c>
      <c r="H47" s="93">
        <f>IF(A47="","",IF(COUNTIFS('Job Material Req'!$A$4:$A$703,A47,'Job Material Req'!$J$4:$J$703,"&gt;0")&gt;0,"SHORTAGE","READY"))</f>
        <v/>
      </c>
      <c r="K47" s="93">
        <f>IF(A47="","","TRV-"&amp;TEXT(ROW()-3,"0000"))</f>
        <v/>
      </c>
      <c r="L47" s="93">
        <f>IF(A47="","","Material status summarized from Job Material Req")</f>
        <v/>
      </c>
      <c r="N47">
        <f>IF(I47="","",12*(YEAR(I47)-YEAR(Inputs!$B$5))+MONTH(I47)-MONTH(Inputs!$B$5)+1)</f>
        <v/>
      </c>
      <c r="O47">
        <f>IF(A47="","",IF(G47="Closed","Actual",IF(G47="Released","Committed","Plan")))</f>
        <v/>
      </c>
      <c r="P47" t="n">
        <v>1</v>
      </c>
    </row>
    <row r="48">
      <c r="A48" s="93">
        <f>IF('Sales Orders'!M48="YES","JC-"&amp;TEXT(ROW()-3,"0000"),"")</f>
        <v/>
      </c>
      <c r="B48" s="93">
        <f>IF(A48="","",'Sales Orders'!A48)</f>
        <v/>
      </c>
      <c r="C48" s="93">
        <f>IF(A48="","",'Sales Orders'!B48)</f>
        <v/>
      </c>
      <c r="D48" s="93">
        <f>IF(A48="","",'Sales Orders'!E48)</f>
        <v/>
      </c>
      <c r="E48" s="93">
        <f>IF(A48="","",'Sales Orders'!G48)</f>
        <v/>
      </c>
      <c r="F48" s="93">
        <f>IF(A48="","",'Sales Orders'!L48)</f>
        <v/>
      </c>
      <c r="G48" s="93">
        <f>IF(A48="","","RELEASED")</f>
        <v/>
      </c>
      <c r="H48" s="93">
        <f>IF(A48="","",IF(COUNTIFS('Job Material Req'!$A$4:$A$703,A48,'Job Material Req'!$J$4:$J$703,"&gt;0")&gt;0,"SHORTAGE","READY"))</f>
        <v/>
      </c>
      <c r="K48" s="93">
        <f>IF(A48="","","TRV-"&amp;TEXT(ROW()-3,"0000"))</f>
        <v/>
      </c>
      <c r="L48" s="93">
        <f>IF(A48="","","Material status summarized from Job Material Req")</f>
        <v/>
      </c>
      <c r="N48">
        <f>IF(I48="","",12*(YEAR(I48)-YEAR(Inputs!$B$5))+MONTH(I48)-MONTH(Inputs!$B$5)+1)</f>
        <v/>
      </c>
      <c r="O48">
        <f>IF(A48="","",IF(G48="Closed","Actual",IF(G48="Released","Committed","Plan")))</f>
        <v/>
      </c>
      <c r="P48" t="n">
        <v>1</v>
      </c>
    </row>
    <row r="49">
      <c r="A49" s="93">
        <f>IF('Sales Orders'!M49="YES","JC-"&amp;TEXT(ROW()-3,"0000"),"")</f>
        <v/>
      </c>
      <c r="B49" s="93">
        <f>IF(A49="","",'Sales Orders'!A49)</f>
        <v/>
      </c>
      <c r="C49" s="93">
        <f>IF(A49="","",'Sales Orders'!B49)</f>
        <v/>
      </c>
      <c r="D49" s="93">
        <f>IF(A49="","",'Sales Orders'!E49)</f>
        <v/>
      </c>
      <c r="E49" s="93">
        <f>IF(A49="","",'Sales Orders'!G49)</f>
        <v/>
      </c>
      <c r="F49" s="93">
        <f>IF(A49="","",'Sales Orders'!L49)</f>
        <v/>
      </c>
      <c r="G49" s="93">
        <f>IF(A49="","","RELEASED")</f>
        <v/>
      </c>
      <c r="H49" s="93">
        <f>IF(A49="","",IF(COUNTIFS('Job Material Req'!$A$4:$A$703,A49,'Job Material Req'!$J$4:$J$703,"&gt;0")&gt;0,"SHORTAGE","READY"))</f>
        <v/>
      </c>
      <c r="K49" s="93">
        <f>IF(A49="","","TRV-"&amp;TEXT(ROW()-3,"0000"))</f>
        <v/>
      </c>
      <c r="L49" s="93">
        <f>IF(A49="","","Material status summarized from Job Material Req")</f>
        <v/>
      </c>
      <c r="N49">
        <f>IF(I49="","",12*(YEAR(I49)-YEAR(Inputs!$B$5))+MONTH(I49)-MONTH(Inputs!$B$5)+1)</f>
        <v/>
      </c>
      <c r="O49">
        <f>IF(A49="","",IF(G49="Closed","Actual",IF(G49="Released","Committed","Plan")))</f>
        <v/>
      </c>
      <c r="P49" t="n">
        <v>1</v>
      </c>
    </row>
    <row r="50">
      <c r="A50" s="93">
        <f>IF('Sales Orders'!M50="YES","JC-"&amp;TEXT(ROW()-3,"0000"),"")</f>
        <v/>
      </c>
      <c r="B50" s="93">
        <f>IF(A50="","",'Sales Orders'!A50)</f>
        <v/>
      </c>
      <c r="C50" s="93">
        <f>IF(A50="","",'Sales Orders'!B50)</f>
        <v/>
      </c>
      <c r="D50" s="93">
        <f>IF(A50="","",'Sales Orders'!E50)</f>
        <v/>
      </c>
      <c r="E50" s="93">
        <f>IF(A50="","",'Sales Orders'!G50)</f>
        <v/>
      </c>
      <c r="F50" s="93">
        <f>IF(A50="","",'Sales Orders'!L50)</f>
        <v/>
      </c>
      <c r="G50" s="93">
        <f>IF(A50="","","RELEASED")</f>
        <v/>
      </c>
      <c r="H50" s="93">
        <f>IF(A50="","",IF(COUNTIFS('Job Material Req'!$A$4:$A$703,A50,'Job Material Req'!$J$4:$J$703,"&gt;0")&gt;0,"SHORTAGE","READY"))</f>
        <v/>
      </c>
      <c r="K50" s="93">
        <f>IF(A50="","","TRV-"&amp;TEXT(ROW()-3,"0000"))</f>
        <v/>
      </c>
      <c r="L50" s="93">
        <f>IF(A50="","","Material status summarized from Job Material Req")</f>
        <v/>
      </c>
      <c r="N50">
        <f>IF(I50="","",12*(YEAR(I50)-YEAR(Inputs!$B$5))+MONTH(I50)-MONTH(Inputs!$B$5)+1)</f>
        <v/>
      </c>
      <c r="O50">
        <f>IF(A50="","",IF(G50="Closed","Actual",IF(G50="Released","Committed","Plan")))</f>
        <v/>
      </c>
      <c r="P50" t="n">
        <v>1</v>
      </c>
    </row>
    <row r="51">
      <c r="A51" s="93">
        <f>IF('Sales Orders'!M51="YES","JC-"&amp;TEXT(ROW()-3,"0000"),"")</f>
        <v/>
      </c>
      <c r="B51" s="93">
        <f>IF(A51="","",'Sales Orders'!A51)</f>
        <v/>
      </c>
      <c r="C51" s="93">
        <f>IF(A51="","",'Sales Orders'!B51)</f>
        <v/>
      </c>
      <c r="D51" s="93">
        <f>IF(A51="","",'Sales Orders'!E51)</f>
        <v/>
      </c>
      <c r="E51" s="93">
        <f>IF(A51="","",'Sales Orders'!G51)</f>
        <v/>
      </c>
      <c r="F51" s="93">
        <f>IF(A51="","",'Sales Orders'!L51)</f>
        <v/>
      </c>
      <c r="G51" s="93">
        <f>IF(A51="","","RELEASED")</f>
        <v/>
      </c>
      <c r="H51" s="93">
        <f>IF(A51="","",IF(COUNTIFS('Job Material Req'!$A$4:$A$703,A51,'Job Material Req'!$J$4:$J$703,"&gt;0")&gt;0,"SHORTAGE","READY"))</f>
        <v/>
      </c>
      <c r="K51" s="93">
        <f>IF(A51="","","TRV-"&amp;TEXT(ROW()-3,"0000"))</f>
        <v/>
      </c>
      <c r="L51" s="93">
        <f>IF(A51="","","Material status summarized from Job Material Req")</f>
        <v/>
      </c>
      <c r="N51">
        <f>IF(I51="","",12*(YEAR(I51)-YEAR(Inputs!$B$5))+MONTH(I51)-MONTH(Inputs!$B$5)+1)</f>
        <v/>
      </c>
      <c r="O51">
        <f>IF(A51="","",IF(G51="Closed","Actual",IF(G51="Released","Committed","Plan")))</f>
        <v/>
      </c>
      <c r="P51" t="n">
        <v>1</v>
      </c>
    </row>
    <row r="52">
      <c r="A52" s="93">
        <f>IF('Sales Orders'!M52="YES","JC-"&amp;TEXT(ROW()-3,"0000"),"")</f>
        <v/>
      </c>
      <c r="B52" s="93">
        <f>IF(A52="","",'Sales Orders'!A52)</f>
        <v/>
      </c>
      <c r="C52" s="93">
        <f>IF(A52="","",'Sales Orders'!B52)</f>
        <v/>
      </c>
      <c r="D52" s="93">
        <f>IF(A52="","",'Sales Orders'!E52)</f>
        <v/>
      </c>
      <c r="E52" s="93">
        <f>IF(A52="","",'Sales Orders'!G52)</f>
        <v/>
      </c>
      <c r="F52" s="93">
        <f>IF(A52="","",'Sales Orders'!L52)</f>
        <v/>
      </c>
      <c r="G52" s="93">
        <f>IF(A52="","","RELEASED")</f>
        <v/>
      </c>
      <c r="H52" s="93">
        <f>IF(A52="","",IF(COUNTIFS('Job Material Req'!$A$4:$A$703,A52,'Job Material Req'!$J$4:$J$703,"&gt;0")&gt;0,"SHORTAGE","READY"))</f>
        <v/>
      </c>
      <c r="K52" s="93">
        <f>IF(A52="","","TRV-"&amp;TEXT(ROW()-3,"0000"))</f>
        <v/>
      </c>
      <c r="L52" s="93">
        <f>IF(A52="","","Material status summarized from Job Material Req")</f>
        <v/>
      </c>
      <c r="N52">
        <f>IF(I52="","",12*(YEAR(I52)-YEAR(Inputs!$B$5))+MONTH(I52)-MONTH(Inputs!$B$5)+1)</f>
        <v/>
      </c>
      <c r="O52">
        <f>IF(A52="","",IF(G52="Closed","Actual",IF(G52="Released","Committed","Plan")))</f>
        <v/>
      </c>
      <c r="P52" t="n">
        <v>1</v>
      </c>
    </row>
    <row r="53">
      <c r="A53" s="93">
        <f>IF('Sales Orders'!M53="YES","JC-"&amp;TEXT(ROW()-3,"0000"),"")</f>
        <v/>
      </c>
      <c r="B53" s="93">
        <f>IF(A53="","",'Sales Orders'!A53)</f>
        <v/>
      </c>
      <c r="C53" s="93">
        <f>IF(A53="","",'Sales Orders'!B53)</f>
        <v/>
      </c>
      <c r="D53" s="93">
        <f>IF(A53="","",'Sales Orders'!E53)</f>
        <v/>
      </c>
      <c r="E53" s="93">
        <f>IF(A53="","",'Sales Orders'!G53)</f>
        <v/>
      </c>
      <c r="F53" s="93">
        <f>IF(A53="","",'Sales Orders'!L53)</f>
        <v/>
      </c>
      <c r="G53" s="93">
        <f>IF(A53="","","RELEASED")</f>
        <v/>
      </c>
      <c r="H53" s="93">
        <f>IF(A53="","",IF(COUNTIFS('Job Material Req'!$A$4:$A$703,A53,'Job Material Req'!$J$4:$J$703,"&gt;0")&gt;0,"SHORTAGE","READY"))</f>
        <v/>
      </c>
      <c r="K53" s="93">
        <f>IF(A53="","","TRV-"&amp;TEXT(ROW()-3,"0000"))</f>
        <v/>
      </c>
      <c r="L53" s="93">
        <f>IF(A53="","","Material status summarized from Job Material Req")</f>
        <v/>
      </c>
      <c r="N53">
        <f>IF(I53="","",12*(YEAR(I53)-YEAR(Inputs!$B$5))+MONTH(I53)-MONTH(Inputs!$B$5)+1)</f>
        <v/>
      </c>
      <c r="O53">
        <f>IF(A53="","",IF(G53="Closed","Actual",IF(G53="Released","Committed","Plan")))</f>
        <v/>
      </c>
      <c r="P53" t="n">
        <v>1</v>
      </c>
    </row>
  </sheetData>
  <mergeCells count="1">
    <mergeCell ref="A1:L1"/>
  </mergeCells>
  <conditionalFormatting sqref="H4:H53">
    <cfRule type="expression" priority="1" dxfId="1">
      <formula>H4="SHORTAGE"</formula>
    </cfRule>
    <cfRule type="expression" priority="2" dxfId="3">
      <formula>H4="READY"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3.80000019073486"/>
  <cols>
    <col width="21.59765625" customWidth="1" style="88" min="6" max="6"/>
    <col width="21.19921875" customWidth="1" style="88" min="8" max="8"/>
    <col width="14" customWidth="1" style="88" min="9" max="9"/>
    <col width="19.796875" customWidth="1" style="88" min="10" max="10"/>
    <col width="12.5" customWidth="1" style="88" min="12" max="12"/>
  </cols>
  <sheetData>
    <row r="1" ht="21" customHeight="1" s="88">
      <c r="A1" s="180" t="inlineStr">
        <is>
          <t>Production Traveller · order/BOM/job traceability and operation sign-off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3">
      <c r="A3" s="62" t="inlineStr">
        <is>
          <t>Traveller ID</t>
        </is>
      </c>
      <c r="B3" s="62" t="inlineStr">
        <is>
          <t>Job Card</t>
        </is>
      </c>
      <c r="C3" s="62" t="inlineStr">
        <is>
          <t>Order ID</t>
        </is>
      </c>
      <c r="D3" s="62" t="inlineStr">
        <is>
          <t>Model</t>
        </is>
      </c>
      <c r="E3" s="62" t="inlineStr">
        <is>
          <t>Qty</t>
        </is>
      </c>
      <c r="F3" s="62" t="inlineStr">
        <is>
          <t>Operation</t>
        </is>
      </c>
      <c r="G3" s="62" t="inlineStr">
        <is>
          <t>Sequence</t>
        </is>
      </c>
      <c r="H3" s="62" t="inlineStr">
        <is>
          <t>Work Centre</t>
        </is>
      </c>
      <c r="I3" s="62" t="inlineStr">
        <is>
          <t>Status</t>
        </is>
      </c>
      <c r="J3" s="62" t="inlineStr">
        <is>
          <t>Inspector / Operator</t>
        </is>
      </c>
      <c r="K3" s="62" t="inlineStr">
        <is>
          <t>Date</t>
        </is>
      </c>
      <c r="L3" s="62" t="inlineStr">
        <is>
          <t>Quality Gate</t>
        </is>
      </c>
      <c r="M3" s="62" t="inlineStr">
        <is>
          <t>Evidence</t>
        </is>
      </c>
      <c r="N3" s="62" t="inlineStr">
        <is>
          <t>Remarks</t>
        </is>
      </c>
    </row>
    <row r="4">
      <c r="A4">
        <f>IF('Job Cards'!A4="","",'Job Cards'!K4)</f>
        <v/>
      </c>
      <c r="B4">
        <f>IF(A4="","",'Job Cards'!A4)</f>
        <v/>
      </c>
      <c r="C4">
        <f>IF(A4="","",'Job Cards'!B4)</f>
        <v/>
      </c>
      <c r="D4">
        <f>IF(A4="","",'Job Cards'!D4)</f>
        <v/>
      </c>
      <c r="E4">
        <f>IF(A4="","",'Job Cards'!E4)</f>
        <v/>
      </c>
      <c r="F4" t="inlineStr">
        <is>
          <t>Kitting</t>
        </is>
      </c>
      <c r="G4" t="n">
        <v>10</v>
      </c>
      <c r="H4" t="inlineStr">
        <is>
          <t>Kitting</t>
        </is>
      </c>
      <c r="I4" t="inlineStr">
        <is>
          <t>Not Started</t>
        </is>
      </c>
      <c r="K4" s="234" t="n"/>
      <c r="L4" t="inlineStr">
        <is>
          <t>Open</t>
        </is>
      </c>
    </row>
    <row r="5">
      <c r="A5">
        <f>IF('Job Cards'!A4="","",'Job Cards'!K4)</f>
        <v/>
      </c>
      <c r="B5">
        <f>IF(A5="","",'Job Cards'!A4)</f>
        <v/>
      </c>
      <c r="C5">
        <f>IF(A5="","",'Job Cards'!B4)</f>
        <v/>
      </c>
      <c r="D5">
        <f>IF(A5="","",'Job Cards'!D4)</f>
        <v/>
      </c>
      <c r="E5">
        <f>IF(A5="","",'Job Cards'!E4)</f>
        <v/>
      </c>
      <c r="F5" t="inlineStr">
        <is>
          <t>Frame / frameset receipt</t>
        </is>
      </c>
      <c r="G5" t="n">
        <v>20</v>
      </c>
      <c r="H5" t="inlineStr">
        <is>
          <t>Frame / frameset receipt</t>
        </is>
      </c>
      <c r="I5" t="inlineStr">
        <is>
          <t>Not Started</t>
        </is>
      </c>
      <c r="K5" s="234" t="n"/>
      <c r="L5" t="inlineStr">
        <is>
          <t>Open</t>
        </is>
      </c>
    </row>
    <row r="6">
      <c r="A6">
        <f>IF('Job Cards'!A4="","",'Job Cards'!K4)</f>
        <v/>
      </c>
      <c r="B6">
        <f>IF(A6="","",'Job Cards'!A4)</f>
        <v/>
      </c>
      <c r="C6">
        <f>IF(A6="","",'Job Cards'!B4)</f>
        <v/>
      </c>
      <c r="D6">
        <f>IF(A6="","",'Job Cards'!D4)</f>
        <v/>
      </c>
      <c r="E6">
        <f>IF(A6="","",'Job Cards'!E4)</f>
        <v/>
      </c>
      <c r="F6" t="inlineStr">
        <is>
          <t>Drivetrain assembly</t>
        </is>
      </c>
      <c r="G6" t="n">
        <v>30</v>
      </c>
      <c r="H6" t="inlineStr">
        <is>
          <t>Drivetrain assembly</t>
        </is>
      </c>
      <c r="I6" t="inlineStr">
        <is>
          <t>Not Started</t>
        </is>
      </c>
      <c r="K6" s="234" t="n"/>
      <c r="L6" t="inlineStr">
        <is>
          <t>Open</t>
        </is>
      </c>
    </row>
    <row r="7">
      <c r="A7">
        <f>IF('Job Cards'!A4="","",'Job Cards'!K4)</f>
        <v/>
      </c>
      <c r="B7">
        <f>IF(A7="","",'Job Cards'!A4)</f>
        <v/>
      </c>
      <c r="C7">
        <f>IF(A7="","",'Job Cards'!B4)</f>
        <v/>
      </c>
      <c r="D7">
        <f>IF(A7="","",'Job Cards'!D4)</f>
        <v/>
      </c>
      <c r="E7">
        <f>IF(A7="","",'Job Cards'!E4)</f>
        <v/>
      </c>
      <c r="F7" t="inlineStr">
        <is>
          <t>Cockpit &amp; controls</t>
        </is>
      </c>
      <c r="G7" t="n">
        <v>40</v>
      </c>
      <c r="H7" t="inlineStr">
        <is>
          <t>Cockpit &amp; controls</t>
        </is>
      </c>
      <c r="I7" t="inlineStr">
        <is>
          <t>Not Started</t>
        </is>
      </c>
      <c r="K7" s="234" t="n"/>
      <c r="L7" t="inlineStr">
        <is>
          <t>Open</t>
        </is>
      </c>
    </row>
    <row r="8">
      <c r="A8">
        <f>IF('Job Cards'!A4="","",'Job Cards'!K4)</f>
        <v/>
      </c>
      <c r="B8">
        <f>IF(A8="","",'Job Cards'!A4)</f>
        <v/>
      </c>
      <c r="C8">
        <f>IF(A8="","",'Job Cards'!B4)</f>
        <v/>
      </c>
      <c r="D8">
        <f>IF(A8="","",'Job Cards'!D4)</f>
        <v/>
      </c>
      <c r="E8">
        <f>IF(A8="","",'Job Cards'!E4)</f>
        <v/>
      </c>
      <c r="F8" t="inlineStr">
        <is>
          <t>Wheel / tyre fitment</t>
        </is>
      </c>
      <c r="G8" t="n">
        <v>50</v>
      </c>
      <c r="H8" t="inlineStr">
        <is>
          <t>Wheel / tyre fitment</t>
        </is>
      </c>
      <c r="I8" t="inlineStr">
        <is>
          <t>Not Started</t>
        </is>
      </c>
      <c r="K8" s="234" t="n"/>
      <c r="L8" t="inlineStr">
        <is>
          <t>Open</t>
        </is>
      </c>
    </row>
    <row r="9">
      <c r="A9">
        <f>IF('Job Cards'!A4="","",'Job Cards'!K4)</f>
        <v/>
      </c>
      <c r="B9">
        <f>IF(A9="","",'Job Cards'!A4)</f>
        <v/>
      </c>
      <c r="C9">
        <f>IF(A9="","",'Job Cards'!B4)</f>
        <v/>
      </c>
      <c r="D9">
        <f>IF(A9="","",'Job Cards'!D4)</f>
        <v/>
      </c>
      <c r="E9">
        <f>IF(A9="","",'Job Cards'!E4)</f>
        <v/>
      </c>
      <c r="F9" t="inlineStr">
        <is>
          <t>Torque &amp; fit inspection</t>
        </is>
      </c>
      <c r="G9" t="n">
        <v>60</v>
      </c>
      <c r="H9" t="inlineStr">
        <is>
          <t>Torque &amp; fit inspection</t>
        </is>
      </c>
      <c r="I9" t="inlineStr">
        <is>
          <t>Not Started</t>
        </is>
      </c>
      <c r="K9" s="234" t="n"/>
      <c r="L9" t="inlineStr">
        <is>
          <t>Open</t>
        </is>
      </c>
    </row>
    <row r="10">
      <c r="A10">
        <f>IF('Job Cards'!A4="","",'Job Cards'!K4)</f>
        <v/>
      </c>
      <c r="B10">
        <f>IF(A10="","",'Job Cards'!A4)</f>
        <v/>
      </c>
      <c r="C10">
        <f>IF(A10="","",'Job Cards'!B4)</f>
        <v/>
      </c>
      <c r="D10">
        <f>IF(A10="","",'Job Cards'!D4)</f>
        <v/>
      </c>
      <c r="E10">
        <f>IF(A10="","",'Job Cards'!E4)</f>
        <v/>
      </c>
      <c r="F10" t="inlineStr">
        <is>
          <t>Final quality</t>
        </is>
      </c>
      <c r="G10" t="n">
        <v>70</v>
      </c>
      <c r="H10" t="inlineStr">
        <is>
          <t>Final quality</t>
        </is>
      </c>
      <c r="I10" t="inlineStr">
        <is>
          <t>Not Started</t>
        </is>
      </c>
      <c r="K10" s="234" t="n"/>
      <c r="L10" t="inlineStr">
        <is>
          <t>Open</t>
        </is>
      </c>
    </row>
    <row r="11">
      <c r="A11">
        <f>IF('Job Cards'!A4="","",'Job Cards'!K4)</f>
        <v/>
      </c>
      <c r="B11">
        <f>IF(A11="","",'Job Cards'!A4)</f>
        <v/>
      </c>
      <c r="C11">
        <f>IF(A11="","",'Job Cards'!B4)</f>
        <v/>
      </c>
      <c r="D11">
        <f>IF(A11="","",'Job Cards'!D4)</f>
        <v/>
      </c>
      <c r="E11">
        <f>IF(A11="","",'Job Cards'!E4)</f>
        <v/>
      </c>
      <c r="F11" t="inlineStr">
        <is>
          <t>Pack &amp; release</t>
        </is>
      </c>
      <c r="G11" t="n">
        <v>80</v>
      </c>
      <c r="H11" t="inlineStr">
        <is>
          <t>Pack &amp; release</t>
        </is>
      </c>
      <c r="I11" t="inlineStr">
        <is>
          <t>Not Started</t>
        </is>
      </c>
      <c r="K11" s="234" t="n"/>
      <c r="L11" t="inlineStr">
        <is>
          <t>Open</t>
        </is>
      </c>
    </row>
    <row r="12">
      <c r="A12">
        <f>IF('Job Cards'!A5="","",'Job Cards'!K5)</f>
        <v/>
      </c>
      <c r="B12">
        <f>IF(A12="","",'Job Cards'!A5)</f>
        <v/>
      </c>
      <c r="C12">
        <f>IF(A12="","",'Job Cards'!B5)</f>
        <v/>
      </c>
      <c r="D12">
        <f>IF(A12="","",'Job Cards'!D5)</f>
        <v/>
      </c>
      <c r="E12">
        <f>IF(A12="","",'Job Cards'!E5)</f>
        <v/>
      </c>
      <c r="F12" t="inlineStr">
        <is>
          <t>Kitting</t>
        </is>
      </c>
      <c r="G12" t="n">
        <v>10</v>
      </c>
      <c r="H12" t="inlineStr">
        <is>
          <t>Kitting</t>
        </is>
      </c>
      <c r="I12" t="inlineStr">
        <is>
          <t>Not Started</t>
        </is>
      </c>
      <c r="K12" s="234" t="n"/>
      <c r="L12" t="inlineStr">
        <is>
          <t>Open</t>
        </is>
      </c>
    </row>
    <row r="13">
      <c r="A13">
        <f>IF('Job Cards'!A5="","",'Job Cards'!K5)</f>
        <v/>
      </c>
      <c r="B13">
        <f>IF(A13="","",'Job Cards'!A5)</f>
        <v/>
      </c>
      <c r="C13">
        <f>IF(A13="","",'Job Cards'!B5)</f>
        <v/>
      </c>
      <c r="D13">
        <f>IF(A13="","",'Job Cards'!D5)</f>
        <v/>
      </c>
      <c r="E13">
        <f>IF(A13="","",'Job Cards'!E5)</f>
        <v/>
      </c>
      <c r="F13" t="inlineStr">
        <is>
          <t>Frame / frameset receipt</t>
        </is>
      </c>
      <c r="G13" t="n">
        <v>20</v>
      </c>
      <c r="H13" t="inlineStr">
        <is>
          <t>Frame / frameset receipt</t>
        </is>
      </c>
      <c r="I13" t="inlineStr">
        <is>
          <t>Not Started</t>
        </is>
      </c>
      <c r="K13" s="234" t="n"/>
      <c r="L13" t="inlineStr">
        <is>
          <t>Open</t>
        </is>
      </c>
    </row>
    <row r="14">
      <c r="A14">
        <f>IF('Job Cards'!A5="","",'Job Cards'!K5)</f>
        <v/>
      </c>
      <c r="B14">
        <f>IF(A14="","",'Job Cards'!A5)</f>
        <v/>
      </c>
      <c r="C14">
        <f>IF(A14="","",'Job Cards'!B5)</f>
        <v/>
      </c>
      <c r="D14">
        <f>IF(A14="","",'Job Cards'!D5)</f>
        <v/>
      </c>
      <c r="E14">
        <f>IF(A14="","",'Job Cards'!E5)</f>
        <v/>
      </c>
      <c r="F14" t="inlineStr">
        <is>
          <t>Drivetrain assembly</t>
        </is>
      </c>
      <c r="G14" t="n">
        <v>30</v>
      </c>
      <c r="H14" t="inlineStr">
        <is>
          <t>Drivetrain assembly</t>
        </is>
      </c>
      <c r="I14" t="inlineStr">
        <is>
          <t>Not Started</t>
        </is>
      </c>
      <c r="K14" s="234" t="n"/>
      <c r="L14" t="inlineStr">
        <is>
          <t>Open</t>
        </is>
      </c>
    </row>
    <row r="15">
      <c r="A15">
        <f>IF('Job Cards'!A5="","",'Job Cards'!K5)</f>
        <v/>
      </c>
      <c r="B15">
        <f>IF(A15="","",'Job Cards'!A5)</f>
        <v/>
      </c>
      <c r="C15">
        <f>IF(A15="","",'Job Cards'!B5)</f>
        <v/>
      </c>
      <c r="D15">
        <f>IF(A15="","",'Job Cards'!D5)</f>
        <v/>
      </c>
      <c r="E15">
        <f>IF(A15="","",'Job Cards'!E5)</f>
        <v/>
      </c>
      <c r="F15" t="inlineStr">
        <is>
          <t>Cockpit &amp; controls</t>
        </is>
      </c>
      <c r="G15" t="n">
        <v>40</v>
      </c>
      <c r="H15" t="inlineStr">
        <is>
          <t>Cockpit &amp; controls</t>
        </is>
      </c>
      <c r="I15" t="inlineStr">
        <is>
          <t>Not Started</t>
        </is>
      </c>
      <c r="K15" s="234" t="n"/>
      <c r="L15" t="inlineStr">
        <is>
          <t>Open</t>
        </is>
      </c>
    </row>
    <row r="16">
      <c r="A16">
        <f>IF('Job Cards'!A5="","",'Job Cards'!K5)</f>
        <v/>
      </c>
      <c r="B16">
        <f>IF(A16="","",'Job Cards'!A5)</f>
        <v/>
      </c>
      <c r="C16">
        <f>IF(A16="","",'Job Cards'!B5)</f>
        <v/>
      </c>
      <c r="D16">
        <f>IF(A16="","",'Job Cards'!D5)</f>
        <v/>
      </c>
      <c r="E16">
        <f>IF(A16="","",'Job Cards'!E5)</f>
        <v/>
      </c>
      <c r="F16" t="inlineStr">
        <is>
          <t>Wheel / tyre fitment</t>
        </is>
      </c>
      <c r="G16" t="n">
        <v>50</v>
      </c>
      <c r="H16" t="inlineStr">
        <is>
          <t>Wheel / tyre fitment</t>
        </is>
      </c>
      <c r="I16" t="inlineStr">
        <is>
          <t>Not Started</t>
        </is>
      </c>
      <c r="K16" s="234" t="n"/>
      <c r="L16" t="inlineStr">
        <is>
          <t>Open</t>
        </is>
      </c>
    </row>
    <row r="17">
      <c r="A17">
        <f>IF('Job Cards'!A5="","",'Job Cards'!K5)</f>
        <v/>
      </c>
      <c r="B17">
        <f>IF(A17="","",'Job Cards'!A5)</f>
        <v/>
      </c>
      <c r="C17">
        <f>IF(A17="","",'Job Cards'!B5)</f>
        <v/>
      </c>
      <c r="D17">
        <f>IF(A17="","",'Job Cards'!D5)</f>
        <v/>
      </c>
      <c r="E17">
        <f>IF(A17="","",'Job Cards'!E5)</f>
        <v/>
      </c>
      <c r="F17" t="inlineStr">
        <is>
          <t>Torque &amp; fit inspection</t>
        </is>
      </c>
      <c r="G17" t="n">
        <v>60</v>
      </c>
      <c r="H17" t="inlineStr">
        <is>
          <t>Torque &amp; fit inspection</t>
        </is>
      </c>
      <c r="I17" t="inlineStr">
        <is>
          <t>Not Started</t>
        </is>
      </c>
      <c r="K17" s="234" t="n"/>
      <c r="L17" t="inlineStr">
        <is>
          <t>Open</t>
        </is>
      </c>
    </row>
    <row r="18">
      <c r="A18">
        <f>IF('Job Cards'!A5="","",'Job Cards'!K5)</f>
        <v/>
      </c>
      <c r="B18">
        <f>IF(A18="","",'Job Cards'!A5)</f>
        <v/>
      </c>
      <c r="C18">
        <f>IF(A18="","",'Job Cards'!B5)</f>
        <v/>
      </c>
      <c r="D18">
        <f>IF(A18="","",'Job Cards'!D5)</f>
        <v/>
      </c>
      <c r="E18">
        <f>IF(A18="","",'Job Cards'!E5)</f>
        <v/>
      </c>
      <c r="F18" t="inlineStr">
        <is>
          <t>Final quality</t>
        </is>
      </c>
      <c r="G18" t="n">
        <v>70</v>
      </c>
      <c r="H18" t="inlineStr">
        <is>
          <t>Final quality</t>
        </is>
      </c>
      <c r="I18" t="inlineStr">
        <is>
          <t>Not Started</t>
        </is>
      </c>
      <c r="K18" s="234" t="n"/>
      <c r="L18" t="inlineStr">
        <is>
          <t>Open</t>
        </is>
      </c>
    </row>
    <row r="19">
      <c r="A19">
        <f>IF('Job Cards'!A5="","",'Job Cards'!K5)</f>
        <v/>
      </c>
      <c r="B19">
        <f>IF(A19="","",'Job Cards'!A5)</f>
        <v/>
      </c>
      <c r="C19">
        <f>IF(A19="","",'Job Cards'!B5)</f>
        <v/>
      </c>
      <c r="D19">
        <f>IF(A19="","",'Job Cards'!D5)</f>
        <v/>
      </c>
      <c r="E19">
        <f>IF(A19="","",'Job Cards'!E5)</f>
        <v/>
      </c>
      <c r="F19" t="inlineStr">
        <is>
          <t>Pack &amp; release</t>
        </is>
      </c>
      <c r="G19" t="n">
        <v>80</v>
      </c>
      <c r="H19" t="inlineStr">
        <is>
          <t>Pack &amp; release</t>
        </is>
      </c>
      <c r="I19" t="inlineStr">
        <is>
          <t>Not Started</t>
        </is>
      </c>
      <c r="K19" s="234" t="n"/>
      <c r="L19" t="inlineStr">
        <is>
          <t>Open</t>
        </is>
      </c>
    </row>
    <row r="20">
      <c r="A20">
        <f>IF('Job Cards'!A6="","",'Job Cards'!K6)</f>
        <v/>
      </c>
      <c r="B20">
        <f>IF(A20="","",'Job Cards'!A6)</f>
        <v/>
      </c>
      <c r="C20">
        <f>IF(A20="","",'Job Cards'!B6)</f>
        <v/>
      </c>
      <c r="D20">
        <f>IF(A20="","",'Job Cards'!D6)</f>
        <v/>
      </c>
      <c r="E20">
        <f>IF(A20="","",'Job Cards'!E6)</f>
        <v/>
      </c>
      <c r="F20" t="inlineStr">
        <is>
          <t>Kitting</t>
        </is>
      </c>
      <c r="G20" t="n">
        <v>10</v>
      </c>
      <c r="H20" t="inlineStr">
        <is>
          <t>Kitting</t>
        </is>
      </c>
      <c r="I20" t="inlineStr">
        <is>
          <t>Not Started</t>
        </is>
      </c>
      <c r="K20" s="234" t="n"/>
      <c r="L20" t="inlineStr">
        <is>
          <t>Open</t>
        </is>
      </c>
    </row>
    <row r="21">
      <c r="A21">
        <f>IF('Job Cards'!A6="","",'Job Cards'!K6)</f>
        <v/>
      </c>
      <c r="B21">
        <f>IF(A21="","",'Job Cards'!A6)</f>
        <v/>
      </c>
      <c r="C21">
        <f>IF(A21="","",'Job Cards'!B6)</f>
        <v/>
      </c>
      <c r="D21">
        <f>IF(A21="","",'Job Cards'!D6)</f>
        <v/>
      </c>
      <c r="E21">
        <f>IF(A21="","",'Job Cards'!E6)</f>
        <v/>
      </c>
      <c r="F21" t="inlineStr">
        <is>
          <t>Frame / frameset receipt</t>
        </is>
      </c>
      <c r="G21" t="n">
        <v>20</v>
      </c>
      <c r="H21" t="inlineStr">
        <is>
          <t>Frame / frameset receipt</t>
        </is>
      </c>
      <c r="I21" t="inlineStr">
        <is>
          <t>Not Started</t>
        </is>
      </c>
      <c r="K21" s="234" t="n"/>
      <c r="L21" t="inlineStr">
        <is>
          <t>Open</t>
        </is>
      </c>
    </row>
    <row r="22">
      <c r="A22">
        <f>IF('Job Cards'!A6="","",'Job Cards'!K6)</f>
        <v/>
      </c>
      <c r="B22">
        <f>IF(A22="","",'Job Cards'!A6)</f>
        <v/>
      </c>
      <c r="C22">
        <f>IF(A22="","",'Job Cards'!B6)</f>
        <v/>
      </c>
      <c r="D22">
        <f>IF(A22="","",'Job Cards'!D6)</f>
        <v/>
      </c>
      <c r="E22">
        <f>IF(A22="","",'Job Cards'!E6)</f>
        <v/>
      </c>
      <c r="F22" t="inlineStr">
        <is>
          <t>Drivetrain assembly</t>
        </is>
      </c>
      <c r="G22" t="n">
        <v>30</v>
      </c>
      <c r="H22" t="inlineStr">
        <is>
          <t>Drivetrain assembly</t>
        </is>
      </c>
      <c r="I22" t="inlineStr">
        <is>
          <t>Not Started</t>
        </is>
      </c>
      <c r="K22" s="234" t="n"/>
      <c r="L22" t="inlineStr">
        <is>
          <t>Open</t>
        </is>
      </c>
    </row>
    <row r="23">
      <c r="A23">
        <f>IF('Job Cards'!A6="","",'Job Cards'!K6)</f>
        <v/>
      </c>
      <c r="B23">
        <f>IF(A23="","",'Job Cards'!A6)</f>
        <v/>
      </c>
      <c r="C23">
        <f>IF(A23="","",'Job Cards'!B6)</f>
        <v/>
      </c>
      <c r="D23">
        <f>IF(A23="","",'Job Cards'!D6)</f>
        <v/>
      </c>
      <c r="E23">
        <f>IF(A23="","",'Job Cards'!E6)</f>
        <v/>
      </c>
      <c r="F23" t="inlineStr">
        <is>
          <t>Cockpit &amp; controls</t>
        </is>
      </c>
      <c r="G23" t="n">
        <v>40</v>
      </c>
      <c r="H23" t="inlineStr">
        <is>
          <t>Cockpit &amp; controls</t>
        </is>
      </c>
      <c r="I23" t="inlineStr">
        <is>
          <t>Not Started</t>
        </is>
      </c>
      <c r="K23" s="234" t="n"/>
      <c r="L23" t="inlineStr">
        <is>
          <t>Open</t>
        </is>
      </c>
    </row>
    <row r="24">
      <c r="A24">
        <f>IF('Job Cards'!A6="","",'Job Cards'!K6)</f>
        <v/>
      </c>
      <c r="B24">
        <f>IF(A24="","",'Job Cards'!A6)</f>
        <v/>
      </c>
      <c r="C24">
        <f>IF(A24="","",'Job Cards'!B6)</f>
        <v/>
      </c>
      <c r="D24">
        <f>IF(A24="","",'Job Cards'!D6)</f>
        <v/>
      </c>
      <c r="E24">
        <f>IF(A24="","",'Job Cards'!E6)</f>
        <v/>
      </c>
      <c r="F24" t="inlineStr">
        <is>
          <t>Wheel / tyre fitment</t>
        </is>
      </c>
      <c r="G24" t="n">
        <v>50</v>
      </c>
      <c r="H24" t="inlineStr">
        <is>
          <t>Wheel / tyre fitment</t>
        </is>
      </c>
      <c r="I24" t="inlineStr">
        <is>
          <t>Not Started</t>
        </is>
      </c>
      <c r="K24" s="234" t="n"/>
      <c r="L24" t="inlineStr">
        <is>
          <t>Open</t>
        </is>
      </c>
    </row>
    <row r="25">
      <c r="A25">
        <f>IF('Job Cards'!A6="","",'Job Cards'!K6)</f>
        <v/>
      </c>
      <c r="B25">
        <f>IF(A25="","",'Job Cards'!A6)</f>
        <v/>
      </c>
      <c r="C25">
        <f>IF(A25="","",'Job Cards'!B6)</f>
        <v/>
      </c>
      <c r="D25">
        <f>IF(A25="","",'Job Cards'!D6)</f>
        <v/>
      </c>
      <c r="E25">
        <f>IF(A25="","",'Job Cards'!E6)</f>
        <v/>
      </c>
      <c r="F25" t="inlineStr">
        <is>
          <t>Torque &amp; fit inspection</t>
        </is>
      </c>
      <c r="G25" t="n">
        <v>60</v>
      </c>
      <c r="H25" t="inlineStr">
        <is>
          <t>Torque &amp; fit inspection</t>
        </is>
      </c>
      <c r="I25" t="inlineStr">
        <is>
          <t>Not Started</t>
        </is>
      </c>
      <c r="K25" s="234" t="n"/>
      <c r="L25" t="inlineStr">
        <is>
          <t>Open</t>
        </is>
      </c>
    </row>
    <row r="26">
      <c r="A26">
        <f>IF('Job Cards'!A6="","",'Job Cards'!K6)</f>
        <v/>
      </c>
      <c r="B26">
        <f>IF(A26="","",'Job Cards'!A6)</f>
        <v/>
      </c>
      <c r="C26">
        <f>IF(A26="","",'Job Cards'!B6)</f>
        <v/>
      </c>
      <c r="D26">
        <f>IF(A26="","",'Job Cards'!D6)</f>
        <v/>
      </c>
      <c r="E26">
        <f>IF(A26="","",'Job Cards'!E6)</f>
        <v/>
      </c>
      <c r="F26" t="inlineStr">
        <is>
          <t>Final quality</t>
        </is>
      </c>
      <c r="G26" t="n">
        <v>70</v>
      </c>
      <c r="H26" t="inlineStr">
        <is>
          <t>Final quality</t>
        </is>
      </c>
      <c r="I26" t="inlineStr">
        <is>
          <t>Not Started</t>
        </is>
      </c>
      <c r="K26" s="234" t="n"/>
      <c r="L26" t="inlineStr">
        <is>
          <t>Open</t>
        </is>
      </c>
    </row>
    <row r="27">
      <c r="A27">
        <f>IF('Job Cards'!A6="","",'Job Cards'!K6)</f>
        <v/>
      </c>
      <c r="B27">
        <f>IF(A27="","",'Job Cards'!A6)</f>
        <v/>
      </c>
      <c r="C27">
        <f>IF(A27="","",'Job Cards'!B6)</f>
        <v/>
      </c>
      <c r="D27">
        <f>IF(A27="","",'Job Cards'!D6)</f>
        <v/>
      </c>
      <c r="E27">
        <f>IF(A27="","",'Job Cards'!E6)</f>
        <v/>
      </c>
      <c r="F27" t="inlineStr">
        <is>
          <t>Pack &amp; release</t>
        </is>
      </c>
      <c r="G27" t="n">
        <v>80</v>
      </c>
      <c r="H27" t="inlineStr">
        <is>
          <t>Pack &amp; release</t>
        </is>
      </c>
      <c r="I27" t="inlineStr">
        <is>
          <t>Not Started</t>
        </is>
      </c>
      <c r="K27" s="234" t="n"/>
      <c r="L27" t="inlineStr">
        <is>
          <t>Open</t>
        </is>
      </c>
    </row>
    <row r="28">
      <c r="A28">
        <f>IF('Job Cards'!A7="","",'Job Cards'!K7)</f>
        <v/>
      </c>
      <c r="B28">
        <f>IF(A28="","",'Job Cards'!A7)</f>
        <v/>
      </c>
      <c r="C28">
        <f>IF(A28="","",'Job Cards'!B7)</f>
        <v/>
      </c>
      <c r="D28">
        <f>IF(A28="","",'Job Cards'!D7)</f>
        <v/>
      </c>
      <c r="E28">
        <f>IF(A28="","",'Job Cards'!E7)</f>
        <v/>
      </c>
      <c r="F28" t="inlineStr">
        <is>
          <t>Kitting</t>
        </is>
      </c>
      <c r="G28" t="n">
        <v>10</v>
      </c>
      <c r="H28" t="inlineStr">
        <is>
          <t>Kitting</t>
        </is>
      </c>
      <c r="I28" t="inlineStr">
        <is>
          <t>Not Started</t>
        </is>
      </c>
      <c r="K28" s="234" t="n"/>
      <c r="L28" t="inlineStr">
        <is>
          <t>Open</t>
        </is>
      </c>
    </row>
    <row r="29">
      <c r="A29">
        <f>IF('Job Cards'!A7="","",'Job Cards'!K7)</f>
        <v/>
      </c>
      <c r="B29">
        <f>IF(A29="","",'Job Cards'!A7)</f>
        <v/>
      </c>
      <c r="C29">
        <f>IF(A29="","",'Job Cards'!B7)</f>
        <v/>
      </c>
      <c r="D29">
        <f>IF(A29="","",'Job Cards'!D7)</f>
        <v/>
      </c>
      <c r="E29">
        <f>IF(A29="","",'Job Cards'!E7)</f>
        <v/>
      </c>
      <c r="F29" t="inlineStr">
        <is>
          <t>Frame / frameset receipt</t>
        </is>
      </c>
      <c r="G29" t="n">
        <v>20</v>
      </c>
      <c r="H29" t="inlineStr">
        <is>
          <t>Frame / frameset receipt</t>
        </is>
      </c>
      <c r="I29" t="inlineStr">
        <is>
          <t>Not Started</t>
        </is>
      </c>
      <c r="K29" s="234" t="n"/>
      <c r="L29" t="inlineStr">
        <is>
          <t>Open</t>
        </is>
      </c>
    </row>
    <row r="30">
      <c r="A30">
        <f>IF('Job Cards'!A7="","",'Job Cards'!K7)</f>
        <v/>
      </c>
      <c r="B30">
        <f>IF(A30="","",'Job Cards'!A7)</f>
        <v/>
      </c>
      <c r="C30">
        <f>IF(A30="","",'Job Cards'!B7)</f>
        <v/>
      </c>
      <c r="D30">
        <f>IF(A30="","",'Job Cards'!D7)</f>
        <v/>
      </c>
      <c r="E30">
        <f>IF(A30="","",'Job Cards'!E7)</f>
        <v/>
      </c>
      <c r="F30" t="inlineStr">
        <is>
          <t>Drivetrain assembly</t>
        </is>
      </c>
      <c r="G30" t="n">
        <v>30</v>
      </c>
      <c r="H30" t="inlineStr">
        <is>
          <t>Drivetrain assembly</t>
        </is>
      </c>
      <c r="I30" t="inlineStr">
        <is>
          <t>Not Started</t>
        </is>
      </c>
      <c r="K30" s="234" t="n"/>
      <c r="L30" t="inlineStr">
        <is>
          <t>Open</t>
        </is>
      </c>
    </row>
    <row r="31">
      <c r="A31">
        <f>IF('Job Cards'!A7="","",'Job Cards'!K7)</f>
        <v/>
      </c>
      <c r="B31">
        <f>IF(A31="","",'Job Cards'!A7)</f>
        <v/>
      </c>
      <c r="C31">
        <f>IF(A31="","",'Job Cards'!B7)</f>
        <v/>
      </c>
      <c r="D31">
        <f>IF(A31="","",'Job Cards'!D7)</f>
        <v/>
      </c>
      <c r="E31">
        <f>IF(A31="","",'Job Cards'!E7)</f>
        <v/>
      </c>
      <c r="F31" t="inlineStr">
        <is>
          <t>Cockpit &amp; controls</t>
        </is>
      </c>
      <c r="G31" t="n">
        <v>40</v>
      </c>
      <c r="H31" t="inlineStr">
        <is>
          <t>Cockpit &amp; controls</t>
        </is>
      </c>
      <c r="I31" t="inlineStr">
        <is>
          <t>Not Started</t>
        </is>
      </c>
      <c r="K31" s="234" t="n"/>
      <c r="L31" t="inlineStr">
        <is>
          <t>Open</t>
        </is>
      </c>
    </row>
    <row r="32">
      <c r="A32">
        <f>IF('Job Cards'!A7="","",'Job Cards'!K7)</f>
        <v/>
      </c>
      <c r="B32">
        <f>IF(A32="","",'Job Cards'!A7)</f>
        <v/>
      </c>
      <c r="C32">
        <f>IF(A32="","",'Job Cards'!B7)</f>
        <v/>
      </c>
      <c r="D32">
        <f>IF(A32="","",'Job Cards'!D7)</f>
        <v/>
      </c>
      <c r="E32">
        <f>IF(A32="","",'Job Cards'!E7)</f>
        <v/>
      </c>
      <c r="F32" t="inlineStr">
        <is>
          <t>Wheel / tyre fitment</t>
        </is>
      </c>
      <c r="G32" t="n">
        <v>50</v>
      </c>
      <c r="H32" t="inlineStr">
        <is>
          <t>Wheel / tyre fitment</t>
        </is>
      </c>
      <c r="I32" t="inlineStr">
        <is>
          <t>Not Started</t>
        </is>
      </c>
      <c r="K32" s="234" t="n"/>
      <c r="L32" t="inlineStr">
        <is>
          <t>Open</t>
        </is>
      </c>
    </row>
    <row r="33">
      <c r="A33">
        <f>IF('Job Cards'!A7="","",'Job Cards'!K7)</f>
        <v/>
      </c>
      <c r="B33">
        <f>IF(A33="","",'Job Cards'!A7)</f>
        <v/>
      </c>
      <c r="C33">
        <f>IF(A33="","",'Job Cards'!B7)</f>
        <v/>
      </c>
      <c r="D33">
        <f>IF(A33="","",'Job Cards'!D7)</f>
        <v/>
      </c>
      <c r="E33">
        <f>IF(A33="","",'Job Cards'!E7)</f>
        <v/>
      </c>
      <c r="F33" t="inlineStr">
        <is>
          <t>Torque &amp; fit inspection</t>
        </is>
      </c>
      <c r="G33" t="n">
        <v>60</v>
      </c>
      <c r="H33" t="inlineStr">
        <is>
          <t>Torque &amp; fit inspection</t>
        </is>
      </c>
      <c r="I33" t="inlineStr">
        <is>
          <t>Not Started</t>
        </is>
      </c>
      <c r="K33" s="234" t="n"/>
      <c r="L33" t="inlineStr">
        <is>
          <t>Open</t>
        </is>
      </c>
    </row>
    <row r="34">
      <c r="A34">
        <f>IF('Job Cards'!A7="","",'Job Cards'!K7)</f>
        <v/>
      </c>
      <c r="B34">
        <f>IF(A34="","",'Job Cards'!A7)</f>
        <v/>
      </c>
      <c r="C34">
        <f>IF(A34="","",'Job Cards'!B7)</f>
        <v/>
      </c>
      <c r="D34">
        <f>IF(A34="","",'Job Cards'!D7)</f>
        <v/>
      </c>
      <c r="E34">
        <f>IF(A34="","",'Job Cards'!E7)</f>
        <v/>
      </c>
      <c r="F34" t="inlineStr">
        <is>
          <t>Final quality</t>
        </is>
      </c>
      <c r="G34" t="n">
        <v>70</v>
      </c>
      <c r="H34" t="inlineStr">
        <is>
          <t>Final quality</t>
        </is>
      </c>
      <c r="I34" t="inlineStr">
        <is>
          <t>Not Started</t>
        </is>
      </c>
      <c r="K34" s="234" t="n"/>
      <c r="L34" t="inlineStr">
        <is>
          <t>Open</t>
        </is>
      </c>
    </row>
    <row r="35">
      <c r="A35">
        <f>IF('Job Cards'!A7="","",'Job Cards'!K7)</f>
        <v/>
      </c>
      <c r="B35">
        <f>IF(A35="","",'Job Cards'!A7)</f>
        <v/>
      </c>
      <c r="C35">
        <f>IF(A35="","",'Job Cards'!B7)</f>
        <v/>
      </c>
      <c r="D35">
        <f>IF(A35="","",'Job Cards'!D7)</f>
        <v/>
      </c>
      <c r="E35">
        <f>IF(A35="","",'Job Cards'!E7)</f>
        <v/>
      </c>
      <c r="F35" t="inlineStr">
        <is>
          <t>Pack &amp; release</t>
        </is>
      </c>
      <c r="G35" t="n">
        <v>80</v>
      </c>
      <c r="H35" t="inlineStr">
        <is>
          <t>Pack &amp; release</t>
        </is>
      </c>
      <c r="I35" t="inlineStr">
        <is>
          <t>Not Started</t>
        </is>
      </c>
      <c r="K35" s="234" t="n"/>
      <c r="L35" t="inlineStr">
        <is>
          <t>Open</t>
        </is>
      </c>
    </row>
    <row r="36">
      <c r="A36">
        <f>IF('Job Cards'!A8="","",'Job Cards'!K8)</f>
        <v/>
      </c>
      <c r="B36">
        <f>IF(A36="","",'Job Cards'!A8)</f>
        <v/>
      </c>
      <c r="C36">
        <f>IF(A36="","",'Job Cards'!B8)</f>
        <v/>
      </c>
      <c r="D36">
        <f>IF(A36="","",'Job Cards'!D8)</f>
        <v/>
      </c>
      <c r="E36">
        <f>IF(A36="","",'Job Cards'!E8)</f>
        <v/>
      </c>
      <c r="F36" t="inlineStr">
        <is>
          <t>Kitting</t>
        </is>
      </c>
      <c r="G36" t="n">
        <v>10</v>
      </c>
      <c r="H36" t="inlineStr">
        <is>
          <t>Kitting</t>
        </is>
      </c>
      <c r="I36" t="inlineStr">
        <is>
          <t>Not Started</t>
        </is>
      </c>
      <c r="K36" s="234" t="n"/>
      <c r="L36" t="inlineStr">
        <is>
          <t>Open</t>
        </is>
      </c>
    </row>
    <row r="37">
      <c r="A37">
        <f>IF('Job Cards'!A8="","",'Job Cards'!K8)</f>
        <v/>
      </c>
      <c r="B37">
        <f>IF(A37="","",'Job Cards'!A8)</f>
        <v/>
      </c>
      <c r="C37">
        <f>IF(A37="","",'Job Cards'!B8)</f>
        <v/>
      </c>
      <c r="D37">
        <f>IF(A37="","",'Job Cards'!D8)</f>
        <v/>
      </c>
      <c r="E37">
        <f>IF(A37="","",'Job Cards'!E8)</f>
        <v/>
      </c>
      <c r="F37" t="inlineStr">
        <is>
          <t>Frame / frameset receipt</t>
        </is>
      </c>
      <c r="G37" t="n">
        <v>20</v>
      </c>
      <c r="H37" t="inlineStr">
        <is>
          <t>Frame / frameset receipt</t>
        </is>
      </c>
      <c r="I37" t="inlineStr">
        <is>
          <t>Not Started</t>
        </is>
      </c>
      <c r="K37" s="234" t="n"/>
      <c r="L37" t="inlineStr">
        <is>
          <t>Open</t>
        </is>
      </c>
    </row>
    <row r="38">
      <c r="A38">
        <f>IF('Job Cards'!A8="","",'Job Cards'!K8)</f>
        <v/>
      </c>
      <c r="B38">
        <f>IF(A38="","",'Job Cards'!A8)</f>
        <v/>
      </c>
      <c r="C38">
        <f>IF(A38="","",'Job Cards'!B8)</f>
        <v/>
      </c>
      <c r="D38">
        <f>IF(A38="","",'Job Cards'!D8)</f>
        <v/>
      </c>
      <c r="E38">
        <f>IF(A38="","",'Job Cards'!E8)</f>
        <v/>
      </c>
      <c r="F38" t="inlineStr">
        <is>
          <t>Drivetrain assembly</t>
        </is>
      </c>
      <c r="G38" t="n">
        <v>30</v>
      </c>
      <c r="H38" t="inlineStr">
        <is>
          <t>Drivetrain assembly</t>
        </is>
      </c>
      <c r="I38" t="inlineStr">
        <is>
          <t>Not Started</t>
        </is>
      </c>
      <c r="K38" s="234" t="n"/>
      <c r="L38" t="inlineStr">
        <is>
          <t>Open</t>
        </is>
      </c>
    </row>
    <row r="39">
      <c r="A39">
        <f>IF('Job Cards'!A8="","",'Job Cards'!K8)</f>
        <v/>
      </c>
      <c r="B39">
        <f>IF(A39="","",'Job Cards'!A8)</f>
        <v/>
      </c>
      <c r="C39">
        <f>IF(A39="","",'Job Cards'!B8)</f>
        <v/>
      </c>
      <c r="D39">
        <f>IF(A39="","",'Job Cards'!D8)</f>
        <v/>
      </c>
      <c r="E39">
        <f>IF(A39="","",'Job Cards'!E8)</f>
        <v/>
      </c>
      <c r="F39" t="inlineStr">
        <is>
          <t>Cockpit &amp; controls</t>
        </is>
      </c>
      <c r="G39" t="n">
        <v>40</v>
      </c>
      <c r="H39" t="inlineStr">
        <is>
          <t>Cockpit &amp; controls</t>
        </is>
      </c>
      <c r="I39" t="inlineStr">
        <is>
          <t>Not Started</t>
        </is>
      </c>
      <c r="K39" s="234" t="n"/>
      <c r="L39" t="inlineStr">
        <is>
          <t>Open</t>
        </is>
      </c>
    </row>
    <row r="40">
      <c r="A40">
        <f>IF('Job Cards'!A8="","",'Job Cards'!K8)</f>
        <v/>
      </c>
      <c r="B40">
        <f>IF(A40="","",'Job Cards'!A8)</f>
        <v/>
      </c>
      <c r="C40">
        <f>IF(A40="","",'Job Cards'!B8)</f>
        <v/>
      </c>
      <c r="D40">
        <f>IF(A40="","",'Job Cards'!D8)</f>
        <v/>
      </c>
      <c r="E40">
        <f>IF(A40="","",'Job Cards'!E8)</f>
        <v/>
      </c>
      <c r="F40" t="inlineStr">
        <is>
          <t>Wheel / tyre fitment</t>
        </is>
      </c>
      <c r="G40" t="n">
        <v>50</v>
      </c>
      <c r="H40" t="inlineStr">
        <is>
          <t>Wheel / tyre fitment</t>
        </is>
      </c>
      <c r="I40" t="inlineStr">
        <is>
          <t>Not Started</t>
        </is>
      </c>
      <c r="K40" s="234" t="n"/>
      <c r="L40" t="inlineStr">
        <is>
          <t>Open</t>
        </is>
      </c>
    </row>
    <row r="41">
      <c r="A41">
        <f>IF('Job Cards'!A8="","",'Job Cards'!K8)</f>
        <v/>
      </c>
      <c r="B41">
        <f>IF(A41="","",'Job Cards'!A8)</f>
        <v/>
      </c>
      <c r="C41">
        <f>IF(A41="","",'Job Cards'!B8)</f>
        <v/>
      </c>
      <c r="D41">
        <f>IF(A41="","",'Job Cards'!D8)</f>
        <v/>
      </c>
      <c r="E41">
        <f>IF(A41="","",'Job Cards'!E8)</f>
        <v/>
      </c>
      <c r="F41" t="inlineStr">
        <is>
          <t>Torque &amp; fit inspection</t>
        </is>
      </c>
      <c r="G41" t="n">
        <v>60</v>
      </c>
      <c r="H41" t="inlineStr">
        <is>
          <t>Torque &amp; fit inspection</t>
        </is>
      </c>
      <c r="I41" t="inlineStr">
        <is>
          <t>Not Started</t>
        </is>
      </c>
      <c r="K41" s="234" t="n"/>
      <c r="L41" t="inlineStr">
        <is>
          <t>Open</t>
        </is>
      </c>
    </row>
    <row r="42">
      <c r="A42">
        <f>IF('Job Cards'!A8="","",'Job Cards'!K8)</f>
        <v/>
      </c>
      <c r="B42">
        <f>IF(A42="","",'Job Cards'!A8)</f>
        <v/>
      </c>
      <c r="C42">
        <f>IF(A42="","",'Job Cards'!B8)</f>
        <v/>
      </c>
      <c r="D42">
        <f>IF(A42="","",'Job Cards'!D8)</f>
        <v/>
      </c>
      <c r="E42">
        <f>IF(A42="","",'Job Cards'!E8)</f>
        <v/>
      </c>
      <c r="F42" t="inlineStr">
        <is>
          <t>Final quality</t>
        </is>
      </c>
      <c r="G42" t="n">
        <v>70</v>
      </c>
      <c r="H42" t="inlineStr">
        <is>
          <t>Final quality</t>
        </is>
      </c>
      <c r="I42" t="inlineStr">
        <is>
          <t>Not Started</t>
        </is>
      </c>
      <c r="K42" s="234" t="n"/>
      <c r="L42" t="inlineStr">
        <is>
          <t>Open</t>
        </is>
      </c>
    </row>
    <row r="43">
      <c r="A43">
        <f>IF('Job Cards'!A8="","",'Job Cards'!K8)</f>
        <v/>
      </c>
      <c r="B43">
        <f>IF(A43="","",'Job Cards'!A8)</f>
        <v/>
      </c>
      <c r="C43">
        <f>IF(A43="","",'Job Cards'!B8)</f>
        <v/>
      </c>
      <c r="D43">
        <f>IF(A43="","",'Job Cards'!D8)</f>
        <v/>
      </c>
      <c r="E43">
        <f>IF(A43="","",'Job Cards'!E8)</f>
        <v/>
      </c>
      <c r="F43" t="inlineStr">
        <is>
          <t>Pack &amp; release</t>
        </is>
      </c>
      <c r="G43" t="n">
        <v>80</v>
      </c>
      <c r="H43" t="inlineStr">
        <is>
          <t>Pack &amp; release</t>
        </is>
      </c>
      <c r="I43" t="inlineStr">
        <is>
          <t>Not Started</t>
        </is>
      </c>
      <c r="K43" s="234" t="n"/>
      <c r="L43" t="inlineStr">
        <is>
          <t>Open</t>
        </is>
      </c>
    </row>
    <row r="44">
      <c r="A44">
        <f>IF('Job Cards'!A9="","",'Job Cards'!K9)</f>
        <v/>
      </c>
      <c r="B44">
        <f>IF(A44="","",'Job Cards'!A9)</f>
        <v/>
      </c>
      <c r="C44">
        <f>IF(A44="","",'Job Cards'!B9)</f>
        <v/>
      </c>
      <c r="D44">
        <f>IF(A44="","",'Job Cards'!D9)</f>
        <v/>
      </c>
      <c r="E44">
        <f>IF(A44="","",'Job Cards'!E9)</f>
        <v/>
      </c>
      <c r="F44" t="inlineStr">
        <is>
          <t>Kitting</t>
        </is>
      </c>
      <c r="G44" t="n">
        <v>10</v>
      </c>
      <c r="H44" t="inlineStr">
        <is>
          <t>Kitting</t>
        </is>
      </c>
      <c r="I44" t="inlineStr">
        <is>
          <t>Not Started</t>
        </is>
      </c>
      <c r="K44" s="234" t="n"/>
      <c r="L44" t="inlineStr">
        <is>
          <t>Open</t>
        </is>
      </c>
    </row>
    <row r="45">
      <c r="A45">
        <f>IF('Job Cards'!A9="","",'Job Cards'!K9)</f>
        <v/>
      </c>
      <c r="B45">
        <f>IF(A45="","",'Job Cards'!A9)</f>
        <v/>
      </c>
      <c r="C45">
        <f>IF(A45="","",'Job Cards'!B9)</f>
        <v/>
      </c>
      <c r="D45">
        <f>IF(A45="","",'Job Cards'!D9)</f>
        <v/>
      </c>
      <c r="E45">
        <f>IF(A45="","",'Job Cards'!E9)</f>
        <v/>
      </c>
      <c r="F45" t="inlineStr">
        <is>
          <t>Frame / frameset receipt</t>
        </is>
      </c>
      <c r="G45" t="n">
        <v>20</v>
      </c>
      <c r="H45" t="inlineStr">
        <is>
          <t>Frame / frameset receipt</t>
        </is>
      </c>
      <c r="I45" t="inlineStr">
        <is>
          <t>Not Started</t>
        </is>
      </c>
      <c r="K45" s="234" t="n"/>
      <c r="L45" t="inlineStr">
        <is>
          <t>Open</t>
        </is>
      </c>
    </row>
    <row r="46">
      <c r="A46">
        <f>IF('Job Cards'!A9="","",'Job Cards'!K9)</f>
        <v/>
      </c>
      <c r="B46">
        <f>IF(A46="","",'Job Cards'!A9)</f>
        <v/>
      </c>
      <c r="C46">
        <f>IF(A46="","",'Job Cards'!B9)</f>
        <v/>
      </c>
      <c r="D46">
        <f>IF(A46="","",'Job Cards'!D9)</f>
        <v/>
      </c>
      <c r="E46">
        <f>IF(A46="","",'Job Cards'!E9)</f>
        <v/>
      </c>
      <c r="F46" t="inlineStr">
        <is>
          <t>Drivetrain assembly</t>
        </is>
      </c>
      <c r="G46" t="n">
        <v>30</v>
      </c>
      <c r="H46" t="inlineStr">
        <is>
          <t>Drivetrain assembly</t>
        </is>
      </c>
      <c r="I46" t="inlineStr">
        <is>
          <t>Not Started</t>
        </is>
      </c>
      <c r="K46" s="234" t="n"/>
      <c r="L46" t="inlineStr">
        <is>
          <t>Open</t>
        </is>
      </c>
    </row>
    <row r="47">
      <c r="A47">
        <f>IF('Job Cards'!A9="","",'Job Cards'!K9)</f>
        <v/>
      </c>
      <c r="B47">
        <f>IF(A47="","",'Job Cards'!A9)</f>
        <v/>
      </c>
      <c r="C47">
        <f>IF(A47="","",'Job Cards'!B9)</f>
        <v/>
      </c>
      <c r="D47">
        <f>IF(A47="","",'Job Cards'!D9)</f>
        <v/>
      </c>
      <c r="E47">
        <f>IF(A47="","",'Job Cards'!E9)</f>
        <v/>
      </c>
      <c r="F47" t="inlineStr">
        <is>
          <t>Cockpit &amp; controls</t>
        </is>
      </c>
      <c r="G47" t="n">
        <v>40</v>
      </c>
      <c r="H47" t="inlineStr">
        <is>
          <t>Cockpit &amp; controls</t>
        </is>
      </c>
      <c r="I47" t="inlineStr">
        <is>
          <t>Not Started</t>
        </is>
      </c>
      <c r="K47" s="234" t="n"/>
      <c r="L47" t="inlineStr">
        <is>
          <t>Open</t>
        </is>
      </c>
    </row>
    <row r="48">
      <c r="A48">
        <f>IF('Job Cards'!A9="","",'Job Cards'!K9)</f>
        <v/>
      </c>
      <c r="B48">
        <f>IF(A48="","",'Job Cards'!A9)</f>
        <v/>
      </c>
      <c r="C48">
        <f>IF(A48="","",'Job Cards'!B9)</f>
        <v/>
      </c>
      <c r="D48">
        <f>IF(A48="","",'Job Cards'!D9)</f>
        <v/>
      </c>
      <c r="E48">
        <f>IF(A48="","",'Job Cards'!E9)</f>
        <v/>
      </c>
      <c r="F48" t="inlineStr">
        <is>
          <t>Wheel / tyre fitment</t>
        </is>
      </c>
      <c r="G48" t="n">
        <v>50</v>
      </c>
      <c r="H48" t="inlineStr">
        <is>
          <t>Wheel / tyre fitment</t>
        </is>
      </c>
      <c r="I48" t="inlineStr">
        <is>
          <t>Not Started</t>
        </is>
      </c>
      <c r="K48" s="234" t="n"/>
      <c r="L48" t="inlineStr">
        <is>
          <t>Open</t>
        </is>
      </c>
    </row>
    <row r="49">
      <c r="A49">
        <f>IF('Job Cards'!A9="","",'Job Cards'!K9)</f>
        <v/>
      </c>
      <c r="B49">
        <f>IF(A49="","",'Job Cards'!A9)</f>
        <v/>
      </c>
      <c r="C49">
        <f>IF(A49="","",'Job Cards'!B9)</f>
        <v/>
      </c>
      <c r="D49">
        <f>IF(A49="","",'Job Cards'!D9)</f>
        <v/>
      </c>
      <c r="E49">
        <f>IF(A49="","",'Job Cards'!E9)</f>
        <v/>
      </c>
      <c r="F49" t="inlineStr">
        <is>
          <t>Torque &amp; fit inspection</t>
        </is>
      </c>
      <c r="G49" t="n">
        <v>60</v>
      </c>
      <c r="H49" t="inlineStr">
        <is>
          <t>Torque &amp; fit inspection</t>
        </is>
      </c>
      <c r="I49" t="inlineStr">
        <is>
          <t>Not Started</t>
        </is>
      </c>
      <c r="K49" s="234" t="n"/>
      <c r="L49" t="inlineStr">
        <is>
          <t>Open</t>
        </is>
      </c>
    </row>
    <row r="50">
      <c r="A50">
        <f>IF('Job Cards'!A9="","",'Job Cards'!K9)</f>
        <v/>
      </c>
      <c r="B50">
        <f>IF(A50="","",'Job Cards'!A9)</f>
        <v/>
      </c>
      <c r="C50">
        <f>IF(A50="","",'Job Cards'!B9)</f>
        <v/>
      </c>
      <c r="D50">
        <f>IF(A50="","",'Job Cards'!D9)</f>
        <v/>
      </c>
      <c r="E50">
        <f>IF(A50="","",'Job Cards'!E9)</f>
        <v/>
      </c>
      <c r="F50" t="inlineStr">
        <is>
          <t>Final quality</t>
        </is>
      </c>
      <c r="G50" t="n">
        <v>70</v>
      </c>
      <c r="H50" t="inlineStr">
        <is>
          <t>Final quality</t>
        </is>
      </c>
      <c r="I50" t="inlineStr">
        <is>
          <t>Not Started</t>
        </is>
      </c>
      <c r="K50" s="234" t="n"/>
      <c r="L50" t="inlineStr">
        <is>
          <t>Open</t>
        </is>
      </c>
    </row>
    <row r="51">
      <c r="A51">
        <f>IF('Job Cards'!A9="","",'Job Cards'!K9)</f>
        <v/>
      </c>
      <c r="B51">
        <f>IF(A51="","",'Job Cards'!A9)</f>
        <v/>
      </c>
      <c r="C51">
        <f>IF(A51="","",'Job Cards'!B9)</f>
        <v/>
      </c>
      <c r="D51">
        <f>IF(A51="","",'Job Cards'!D9)</f>
        <v/>
      </c>
      <c r="E51">
        <f>IF(A51="","",'Job Cards'!E9)</f>
        <v/>
      </c>
      <c r="F51" t="inlineStr">
        <is>
          <t>Pack &amp; release</t>
        </is>
      </c>
      <c r="G51" t="n">
        <v>80</v>
      </c>
      <c r="H51" t="inlineStr">
        <is>
          <t>Pack &amp; release</t>
        </is>
      </c>
      <c r="I51" t="inlineStr">
        <is>
          <t>Not Started</t>
        </is>
      </c>
      <c r="K51" s="234" t="n"/>
      <c r="L51" t="inlineStr">
        <is>
          <t>Open</t>
        </is>
      </c>
    </row>
    <row r="52">
      <c r="A52">
        <f>IF('Job Cards'!A10="","",'Job Cards'!K10)</f>
        <v/>
      </c>
      <c r="B52">
        <f>IF(A52="","",'Job Cards'!A10)</f>
        <v/>
      </c>
      <c r="C52">
        <f>IF(A52="","",'Job Cards'!B10)</f>
        <v/>
      </c>
      <c r="D52">
        <f>IF(A52="","",'Job Cards'!D10)</f>
        <v/>
      </c>
      <c r="E52">
        <f>IF(A52="","",'Job Cards'!E10)</f>
        <v/>
      </c>
      <c r="F52" t="inlineStr">
        <is>
          <t>Kitting</t>
        </is>
      </c>
      <c r="G52" t="n">
        <v>10</v>
      </c>
      <c r="H52" t="inlineStr">
        <is>
          <t>Kitting</t>
        </is>
      </c>
      <c r="I52" t="inlineStr">
        <is>
          <t>Not Started</t>
        </is>
      </c>
      <c r="K52" s="234" t="n"/>
      <c r="L52" t="inlineStr">
        <is>
          <t>Open</t>
        </is>
      </c>
    </row>
    <row r="53">
      <c r="A53">
        <f>IF('Job Cards'!A10="","",'Job Cards'!K10)</f>
        <v/>
      </c>
      <c r="B53">
        <f>IF(A53="","",'Job Cards'!A10)</f>
        <v/>
      </c>
      <c r="C53">
        <f>IF(A53="","",'Job Cards'!B10)</f>
        <v/>
      </c>
      <c r="D53">
        <f>IF(A53="","",'Job Cards'!D10)</f>
        <v/>
      </c>
      <c r="E53">
        <f>IF(A53="","",'Job Cards'!E10)</f>
        <v/>
      </c>
      <c r="F53" t="inlineStr">
        <is>
          <t>Frame / frameset receipt</t>
        </is>
      </c>
      <c r="G53" t="n">
        <v>20</v>
      </c>
      <c r="H53" t="inlineStr">
        <is>
          <t>Frame / frameset receipt</t>
        </is>
      </c>
      <c r="I53" t="inlineStr">
        <is>
          <t>Not Started</t>
        </is>
      </c>
      <c r="K53" s="234" t="n"/>
      <c r="L53" t="inlineStr">
        <is>
          <t>Open</t>
        </is>
      </c>
    </row>
    <row r="54">
      <c r="A54">
        <f>IF('Job Cards'!A10="","",'Job Cards'!K10)</f>
        <v/>
      </c>
      <c r="B54">
        <f>IF(A54="","",'Job Cards'!A10)</f>
        <v/>
      </c>
      <c r="C54">
        <f>IF(A54="","",'Job Cards'!B10)</f>
        <v/>
      </c>
      <c r="D54">
        <f>IF(A54="","",'Job Cards'!D10)</f>
        <v/>
      </c>
      <c r="E54">
        <f>IF(A54="","",'Job Cards'!E10)</f>
        <v/>
      </c>
      <c r="F54" t="inlineStr">
        <is>
          <t>Drivetrain assembly</t>
        </is>
      </c>
      <c r="G54" t="n">
        <v>30</v>
      </c>
      <c r="H54" t="inlineStr">
        <is>
          <t>Drivetrain assembly</t>
        </is>
      </c>
      <c r="I54" t="inlineStr">
        <is>
          <t>Not Started</t>
        </is>
      </c>
      <c r="K54" s="234" t="n"/>
      <c r="L54" t="inlineStr">
        <is>
          <t>Open</t>
        </is>
      </c>
    </row>
    <row r="55">
      <c r="A55">
        <f>IF('Job Cards'!A10="","",'Job Cards'!K10)</f>
        <v/>
      </c>
      <c r="B55">
        <f>IF(A55="","",'Job Cards'!A10)</f>
        <v/>
      </c>
      <c r="C55">
        <f>IF(A55="","",'Job Cards'!B10)</f>
        <v/>
      </c>
      <c r="D55">
        <f>IF(A55="","",'Job Cards'!D10)</f>
        <v/>
      </c>
      <c r="E55">
        <f>IF(A55="","",'Job Cards'!E10)</f>
        <v/>
      </c>
      <c r="F55" t="inlineStr">
        <is>
          <t>Cockpit &amp; controls</t>
        </is>
      </c>
      <c r="G55" t="n">
        <v>40</v>
      </c>
      <c r="H55" t="inlineStr">
        <is>
          <t>Cockpit &amp; controls</t>
        </is>
      </c>
      <c r="I55" t="inlineStr">
        <is>
          <t>Not Started</t>
        </is>
      </c>
      <c r="K55" s="234" t="n"/>
      <c r="L55" t="inlineStr">
        <is>
          <t>Open</t>
        </is>
      </c>
    </row>
    <row r="56">
      <c r="A56">
        <f>IF('Job Cards'!A10="","",'Job Cards'!K10)</f>
        <v/>
      </c>
      <c r="B56">
        <f>IF(A56="","",'Job Cards'!A10)</f>
        <v/>
      </c>
      <c r="C56">
        <f>IF(A56="","",'Job Cards'!B10)</f>
        <v/>
      </c>
      <c r="D56">
        <f>IF(A56="","",'Job Cards'!D10)</f>
        <v/>
      </c>
      <c r="E56">
        <f>IF(A56="","",'Job Cards'!E10)</f>
        <v/>
      </c>
      <c r="F56" t="inlineStr">
        <is>
          <t>Wheel / tyre fitment</t>
        </is>
      </c>
      <c r="G56" t="n">
        <v>50</v>
      </c>
      <c r="H56" t="inlineStr">
        <is>
          <t>Wheel / tyre fitment</t>
        </is>
      </c>
      <c r="I56" t="inlineStr">
        <is>
          <t>Not Started</t>
        </is>
      </c>
      <c r="K56" s="234" t="n"/>
      <c r="L56" t="inlineStr">
        <is>
          <t>Open</t>
        </is>
      </c>
    </row>
    <row r="57">
      <c r="A57">
        <f>IF('Job Cards'!A10="","",'Job Cards'!K10)</f>
        <v/>
      </c>
      <c r="B57">
        <f>IF(A57="","",'Job Cards'!A10)</f>
        <v/>
      </c>
      <c r="C57">
        <f>IF(A57="","",'Job Cards'!B10)</f>
        <v/>
      </c>
      <c r="D57">
        <f>IF(A57="","",'Job Cards'!D10)</f>
        <v/>
      </c>
      <c r="E57">
        <f>IF(A57="","",'Job Cards'!E10)</f>
        <v/>
      </c>
      <c r="F57" t="inlineStr">
        <is>
          <t>Torque &amp; fit inspection</t>
        </is>
      </c>
      <c r="G57" t="n">
        <v>60</v>
      </c>
      <c r="H57" t="inlineStr">
        <is>
          <t>Torque &amp; fit inspection</t>
        </is>
      </c>
      <c r="I57" t="inlineStr">
        <is>
          <t>Not Started</t>
        </is>
      </c>
      <c r="K57" s="234" t="n"/>
      <c r="L57" t="inlineStr">
        <is>
          <t>Open</t>
        </is>
      </c>
    </row>
    <row r="58">
      <c r="A58">
        <f>IF('Job Cards'!A10="","",'Job Cards'!K10)</f>
        <v/>
      </c>
      <c r="B58">
        <f>IF(A58="","",'Job Cards'!A10)</f>
        <v/>
      </c>
      <c r="C58">
        <f>IF(A58="","",'Job Cards'!B10)</f>
        <v/>
      </c>
      <c r="D58">
        <f>IF(A58="","",'Job Cards'!D10)</f>
        <v/>
      </c>
      <c r="E58">
        <f>IF(A58="","",'Job Cards'!E10)</f>
        <v/>
      </c>
      <c r="F58" t="inlineStr">
        <is>
          <t>Final quality</t>
        </is>
      </c>
      <c r="G58" t="n">
        <v>70</v>
      </c>
      <c r="H58" t="inlineStr">
        <is>
          <t>Final quality</t>
        </is>
      </c>
      <c r="I58" t="inlineStr">
        <is>
          <t>Not Started</t>
        </is>
      </c>
      <c r="K58" s="234" t="n"/>
      <c r="L58" t="inlineStr">
        <is>
          <t>Open</t>
        </is>
      </c>
    </row>
    <row r="59">
      <c r="A59">
        <f>IF('Job Cards'!A10="","",'Job Cards'!K10)</f>
        <v/>
      </c>
      <c r="B59">
        <f>IF(A59="","",'Job Cards'!A10)</f>
        <v/>
      </c>
      <c r="C59">
        <f>IF(A59="","",'Job Cards'!B10)</f>
        <v/>
      </c>
      <c r="D59">
        <f>IF(A59="","",'Job Cards'!D10)</f>
        <v/>
      </c>
      <c r="E59">
        <f>IF(A59="","",'Job Cards'!E10)</f>
        <v/>
      </c>
      <c r="F59" t="inlineStr">
        <is>
          <t>Pack &amp; release</t>
        </is>
      </c>
      <c r="G59" t="n">
        <v>80</v>
      </c>
      <c r="H59" t="inlineStr">
        <is>
          <t>Pack &amp; release</t>
        </is>
      </c>
      <c r="I59" t="inlineStr">
        <is>
          <t>Not Started</t>
        </is>
      </c>
      <c r="K59" s="234" t="n"/>
      <c r="L59" t="inlineStr">
        <is>
          <t>Open</t>
        </is>
      </c>
    </row>
    <row r="60">
      <c r="A60">
        <f>IF('Job Cards'!A11="","",'Job Cards'!K11)</f>
        <v/>
      </c>
      <c r="B60">
        <f>IF(A60="","",'Job Cards'!A11)</f>
        <v/>
      </c>
      <c r="C60">
        <f>IF(A60="","",'Job Cards'!B11)</f>
        <v/>
      </c>
      <c r="D60">
        <f>IF(A60="","",'Job Cards'!D11)</f>
        <v/>
      </c>
      <c r="E60">
        <f>IF(A60="","",'Job Cards'!E11)</f>
        <v/>
      </c>
      <c r="F60" t="inlineStr">
        <is>
          <t>Kitting</t>
        </is>
      </c>
      <c r="G60" t="n">
        <v>10</v>
      </c>
      <c r="H60" t="inlineStr">
        <is>
          <t>Kitting</t>
        </is>
      </c>
      <c r="I60" t="inlineStr">
        <is>
          <t>Not Started</t>
        </is>
      </c>
      <c r="K60" s="234" t="n"/>
      <c r="L60" t="inlineStr">
        <is>
          <t>Open</t>
        </is>
      </c>
    </row>
    <row r="61">
      <c r="A61">
        <f>IF('Job Cards'!A11="","",'Job Cards'!K11)</f>
        <v/>
      </c>
      <c r="B61">
        <f>IF(A61="","",'Job Cards'!A11)</f>
        <v/>
      </c>
      <c r="C61">
        <f>IF(A61="","",'Job Cards'!B11)</f>
        <v/>
      </c>
      <c r="D61">
        <f>IF(A61="","",'Job Cards'!D11)</f>
        <v/>
      </c>
      <c r="E61">
        <f>IF(A61="","",'Job Cards'!E11)</f>
        <v/>
      </c>
      <c r="F61" t="inlineStr">
        <is>
          <t>Frame / frameset receipt</t>
        </is>
      </c>
      <c r="G61" t="n">
        <v>20</v>
      </c>
      <c r="H61" t="inlineStr">
        <is>
          <t>Frame / frameset receipt</t>
        </is>
      </c>
      <c r="I61" t="inlineStr">
        <is>
          <t>Not Started</t>
        </is>
      </c>
      <c r="K61" s="234" t="n"/>
      <c r="L61" t="inlineStr">
        <is>
          <t>Open</t>
        </is>
      </c>
    </row>
    <row r="62">
      <c r="A62">
        <f>IF('Job Cards'!A11="","",'Job Cards'!K11)</f>
        <v/>
      </c>
      <c r="B62">
        <f>IF(A62="","",'Job Cards'!A11)</f>
        <v/>
      </c>
      <c r="C62">
        <f>IF(A62="","",'Job Cards'!B11)</f>
        <v/>
      </c>
      <c r="D62">
        <f>IF(A62="","",'Job Cards'!D11)</f>
        <v/>
      </c>
      <c r="E62">
        <f>IF(A62="","",'Job Cards'!E11)</f>
        <v/>
      </c>
      <c r="F62" t="inlineStr">
        <is>
          <t>Drivetrain assembly</t>
        </is>
      </c>
      <c r="G62" t="n">
        <v>30</v>
      </c>
      <c r="H62" t="inlineStr">
        <is>
          <t>Drivetrain assembly</t>
        </is>
      </c>
      <c r="I62" t="inlineStr">
        <is>
          <t>Not Started</t>
        </is>
      </c>
      <c r="K62" s="234" t="n"/>
      <c r="L62" t="inlineStr">
        <is>
          <t>Open</t>
        </is>
      </c>
    </row>
    <row r="63">
      <c r="A63">
        <f>IF('Job Cards'!A11="","",'Job Cards'!K11)</f>
        <v/>
      </c>
      <c r="B63">
        <f>IF(A63="","",'Job Cards'!A11)</f>
        <v/>
      </c>
      <c r="C63">
        <f>IF(A63="","",'Job Cards'!B11)</f>
        <v/>
      </c>
      <c r="D63">
        <f>IF(A63="","",'Job Cards'!D11)</f>
        <v/>
      </c>
      <c r="E63">
        <f>IF(A63="","",'Job Cards'!E11)</f>
        <v/>
      </c>
      <c r="F63" t="inlineStr">
        <is>
          <t>Cockpit &amp; controls</t>
        </is>
      </c>
      <c r="G63" t="n">
        <v>40</v>
      </c>
      <c r="H63" t="inlineStr">
        <is>
          <t>Cockpit &amp; controls</t>
        </is>
      </c>
      <c r="I63" t="inlineStr">
        <is>
          <t>Not Started</t>
        </is>
      </c>
      <c r="K63" s="234" t="n"/>
      <c r="L63" t="inlineStr">
        <is>
          <t>Open</t>
        </is>
      </c>
    </row>
    <row r="64">
      <c r="A64">
        <f>IF('Job Cards'!A11="","",'Job Cards'!K11)</f>
        <v/>
      </c>
      <c r="B64">
        <f>IF(A64="","",'Job Cards'!A11)</f>
        <v/>
      </c>
      <c r="C64">
        <f>IF(A64="","",'Job Cards'!B11)</f>
        <v/>
      </c>
      <c r="D64">
        <f>IF(A64="","",'Job Cards'!D11)</f>
        <v/>
      </c>
      <c r="E64">
        <f>IF(A64="","",'Job Cards'!E11)</f>
        <v/>
      </c>
      <c r="F64" t="inlineStr">
        <is>
          <t>Wheel / tyre fitment</t>
        </is>
      </c>
      <c r="G64" t="n">
        <v>50</v>
      </c>
      <c r="H64" t="inlineStr">
        <is>
          <t>Wheel / tyre fitment</t>
        </is>
      </c>
      <c r="I64" t="inlineStr">
        <is>
          <t>Not Started</t>
        </is>
      </c>
      <c r="K64" s="234" t="n"/>
      <c r="L64" t="inlineStr">
        <is>
          <t>Open</t>
        </is>
      </c>
    </row>
    <row r="65">
      <c r="A65">
        <f>IF('Job Cards'!A11="","",'Job Cards'!K11)</f>
        <v/>
      </c>
      <c r="B65">
        <f>IF(A65="","",'Job Cards'!A11)</f>
        <v/>
      </c>
      <c r="C65">
        <f>IF(A65="","",'Job Cards'!B11)</f>
        <v/>
      </c>
      <c r="D65">
        <f>IF(A65="","",'Job Cards'!D11)</f>
        <v/>
      </c>
      <c r="E65">
        <f>IF(A65="","",'Job Cards'!E11)</f>
        <v/>
      </c>
      <c r="F65" t="inlineStr">
        <is>
          <t>Torque &amp; fit inspection</t>
        </is>
      </c>
      <c r="G65" t="n">
        <v>60</v>
      </c>
      <c r="H65" t="inlineStr">
        <is>
          <t>Torque &amp; fit inspection</t>
        </is>
      </c>
      <c r="I65" t="inlineStr">
        <is>
          <t>Not Started</t>
        </is>
      </c>
      <c r="K65" s="234" t="n"/>
      <c r="L65" t="inlineStr">
        <is>
          <t>Open</t>
        </is>
      </c>
    </row>
    <row r="66">
      <c r="A66">
        <f>IF('Job Cards'!A11="","",'Job Cards'!K11)</f>
        <v/>
      </c>
      <c r="B66">
        <f>IF(A66="","",'Job Cards'!A11)</f>
        <v/>
      </c>
      <c r="C66">
        <f>IF(A66="","",'Job Cards'!B11)</f>
        <v/>
      </c>
      <c r="D66">
        <f>IF(A66="","",'Job Cards'!D11)</f>
        <v/>
      </c>
      <c r="E66">
        <f>IF(A66="","",'Job Cards'!E11)</f>
        <v/>
      </c>
      <c r="F66" t="inlineStr">
        <is>
          <t>Final quality</t>
        </is>
      </c>
      <c r="G66" t="n">
        <v>70</v>
      </c>
      <c r="H66" t="inlineStr">
        <is>
          <t>Final quality</t>
        </is>
      </c>
      <c r="I66" t="inlineStr">
        <is>
          <t>Not Started</t>
        </is>
      </c>
      <c r="K66" s="234" t="n"/>
      <c r="L66" t="inlineStr">
        <is>
          <t>Open</t>
        </is>
      </c>
    </row>
    <row r="67">
      <c r="A67">
        <f>IF('Job Cards'!A11="","",'Job Cards'!K11)</f>
        <v/>
      </c>
      <c r="B67">
        <f>IF(A67="","",'Job Cards'!A11)</f>
        <v/>
      </c>
      <c r="C67">
        <f>IF(A67="","",'Job Cards'!B11)</f>
        <v/>
      </c>
      <c r="D67">
        <f>IF(A67="","",'Job Cards'!D11)</f>
        <v/>
      </c>
      <c r="E67">
        <f>IF(A67="","",'Job Cards'!E11)</f>
        <v/>
      </c>
      <c r="F67" t="inlineStr">
        <is>
          <t>Pack &amp; release</t>
        </is>
      </c>
      <c r="G67" t="n">
        <v>80</v>
      </c>
      <c r="H67" t="inlineStr">
        <is>
          <t>Pack &amp; release</t>
        </is>
      </c>
      <c r="I67" t="inlineStr">
        <is>
          <t>Not Started</t>
        </is>
      </c>
      <c r="K67" s="234" t="n"/>
      <c r="L67" t="inlineStr">
        <is>
          <t>Open</t>
        </is>
      </c>
    </row>
    <row r="68">
      <c r="A68">
        <f>IF('Job Cards'!A12="","",'Job Cards'!K12)</f>
        <v/>
      </c>
      <c r="B68">
        <f>IF(A68="","",'Job Cards'!A12)</f>
        <v/>
      </c>
      <c r="C68">
        <f>IF(A68="","",'Job Cards'!B12)</f>
        <v/>
      </c>
      <c r="D68">
        <f>IF(A68="","",'Job Cards'!D12)</f>
        <v/>
      </c>
      <c r="E68">
        <f>IF(A68="","",'Job Cards'!E12)</f>
        <v/>
      </c>
      <c r="F68" t="inlineStr">
        <is>
          <t>Kitting</t>
        </is>
      </c>
      <c r="G68" t="n">
        <v>10</v>
      </c>
      <c r="H68" t="inlineStr">
        <is>
          <t>Kitting</t>
        </is>
      </c>
      <c r="I68" t="inlineStr">
        <is>
          <t>Not Started</t>
        </is>
      </c>
      <c r="K68" s="234" t="n"/>
      <c r="L68" t="inlineStr">
        <is>
          <t>Open</t>
        </is>
      </c>
    </row>
    <row r="69">
      <c r="A69">
        <f>IF('Job Cards'!A12="","",'Job Cards'!K12)</f>
        <v/>
      </c>
      <c r="B69">
        <f>IF(A69="","",'Job Cards'!A12)</f>
        <v/>
      </c>
      <c r="C69">
        <f>IF(A69="","",'Job Cards'!B12)</f>
        <v/>
      </c>
      <c r="D69">
        <f>IF(A69="","",'Job Cards'!D12)</f>
        <v/>
      </c>
      <c r="E69">
        <f>IF(A69="","",'Job Cards'!E12)</f>
        <v/>
      </c>
      <c r="F69" t="inlineStr">
        <is>
          <t>Frame / frameset receipt</t>
        </is>
      </c>
      <c r="G69" t="n">
        <v>20</v>
      </c>
      <c r="H69" t="inlineStr">
        <is>
          <t>Frame / frameset receipt</t>
        </is>
      </c>
      <c r="I69" t="inlineStr">
        <is>
          <t>Not Started</t>
        </is>
      </c>
      <c r="K69" s="234" t="n"/>
      <c r="L69" t="inlineStr">
        <is>
          <t>Open</t>
        </is>
      </c>
    </row>
    <row r="70">
      <c r="A70">
        <f>IF('Job Cards'!A12="","",'Job Cards'!K12)</f>
        <v/>
      </c>
      <c r="B70">
        <f>IF(A70="","",'Job Cards'!A12)</f>
        <v/>
      </c>
      <c r="C70">
        <f>IF(A70="","",'Job Cards'!B12)</f>
        <v/>
      </c>
      <c r="D70">
        <f>IF(A70="","",'Job Cards'!D12)</f>
        <v/>
      </c>
      <c r="E70">
        <f>IF(A70="","",'Job Cards'!E12)</f>
        <v/>
      </c>
      <c r="F70" t="inlineStr">
        <is>
          <t>Drivetrain assembly</t>
        </is>
      </c>
      <c r="G70" t="n">
        <v>30</v>
      </c>
      <c r="H70" t="inlineStr">
        <is>
          <t>Drivetrain assembly</t>
        </is>
      </c>
      <c r="I70" t="inlineStr">
        <is>
          <t>Not Started</t>
        </is>
      </c>
      <c r="K70" s="234" t="n"/>
      <c r="L70" t="inlineStr">
        <is>
          <t>Open</t>
        </is>
      </c>
    </row>
    <row r="71">
      <c r="A71">
        <f>IF('Job Cards'!A12="","",'Job Cards'!K12)</f>
        <v/>
      </c>
      <c r="B71">
        <f>IF(A71="","",'Job Cards'!A12)</f>
        <v/>
      </c>
      <c r="C71">
        <f>IF(A71="","",'Job Cards'!B12)</f>
        <v/>
      </c>
      <c r="D71">
        <f>IF(A71="","",'Job Cards'!D12)</f>
        <v/>
      </c>
      <c r="E71">
        <f>IF(A71="","",'Job Cards'!E12)</f>
        <v/>
      </c>
      <c r="F71" t="inlineStr">
        <is>
          <t>Cockpit &amp; controls</t>
        </is>
      </c>
      <c r="G71" t="n">
        <v>40</v>
      </c>
      <c r="H71" t="inlineStr">
        <is>
          <t>Cockpit &amp; controls</t>
        </is>
      </c>
      <c r="I71" t="inlineStr">
        <is>
          <t>Not Started</t>
        </is>
      </c>
      <c r="K71" s="234" t="n"/>
      <c r="L71" t="inlineStr">
        <is>
          <t>Open</t>
        </is>
      </c>
    </row>
    <row r="72">
      <c r="A72">
        <f>IF('Job Cards'!A12="","",'Job Cards'!K12)</f>
        <v/>
      </c>
      <c r="B72">
        <f>IF(A72="","",'Job Cards'!A12)</f>
        <v/>
      </c>
      <c r="C72">
        <f>IF(A72="","",'Job Cards'!B12)</f>
        <v/>
      </c>
      <c r="D72">
        <f>IF(A72="","",'Job Cards'!D12)</f>
        <v/>
      </c>
      <c r="E72">
        <f>IF(A72="","",'Job Cards'!E12)</f>
        <v/>
      </c>
      <c r="F72" t="inlineStr">
        <is>
          <t>Wheel / tyre fitment</t>
        </is>
      </c>
      <c r="G72" t="n">
        <v>50</v>
      </c>
      <c r="H72" t="inlineStr">
        <is>
          <t>Wheel / tyre fitment</t>
        </is>
      </c>
      <c r="I72" t="inlineStr">
        <is>
          <t>Not Started</t>
        </is>
      </c>
      <c r="K72" s="234" t="n"/>
      <c r="L72" t="inlineStr">
        <is>
          <t>Open</t>
        </is>
      </c>
    </row>
    <row r="73">
      <c r="A73">
        <f>IF('Job Cards'!A12="","",'Job Cards'!K12)</f>
        <v/>
      </c>
      <c r="B73">
        <f>IF(A73="","",'Job Cards'!A12)</f>
        <v/>
      </c>
      <c r="C73">
        <f>IF(A73="","",'Job Cards'!B12)</f>
        <v/>
      </c>
      <c r="D73">
        <f>IF(A73="","",'Job Cards'!D12)</f>
        <v/>
      </c>
      <c r="E73">
        <f>IF(A73="","",'Job Cards'!E12)</f>
        <v/>
      </c>
      <c r="F73" t="inlineStr">
        <is>
          <t>Torque &amp; fit inspection</t>
        </is>
      </c>
      <c r="G73" t="n">
        <v>60</v>
      </c>
      <c r="H73" t="inlineStr">
        <is>
          <t>Torque &amp; fit inspection</t>
        </is>
      </c>
      <c r="I73" t="inlineStr">
        <is>
          <t>Not Started</t>
        </is>
      </c>
      <c r="K73" s="234" t="n"/>
      <c r="L73" t="inlineStr">
        <is>
          <t>Open</t>
        </is>
      </c>
    </row>
    <row r="74">
      <c r="A74">
        <f>IF('Job Cards'!A12="","",'Job Cards'!K12)</f>
        <v/>
      </c>
      <c r="B74">
        <f>IF(A74="","",'Job Cards'!A12)</f>
        <v/>
      </c>
      <c r="C74">
        <f>IF(A74="","",'Job Cards'!B12)</f>
        <v/>
      </c>
      <c r="D74">
        <f>IF(A74="","",'Job Cards'!D12)</f>
        <v/>
      </c>
      <c r="E74">
        <f>IF(A74="","",'Job Cards'!E12)</f>
        <v/>
      </c>
      <c r="F74" t="inlineStr">
        <is>
          <t>Final quality</t>
        </is>
      </c>
      <c r="G74" t="n">
        <v>70</v>
      </c>
      <c r="H74" t="inlineStr">
        <is>
          <t>Final quality</t>
        </is>
      </c>
      <c r="I74" t="inlineStr">
        <is>
          <t>Not Started</t>
        </is>
      </c>
      <c r="K74" s="234" t="n"/>
      <c r="L74" t="inlineStr">
        <is>
          <t>Open</t>
        </is>
      </c>
    </row>
    <row r="75">
      <c r="A75">
        <f>IF('Job Cards'!A12="","",'Job Cards'!K12)</f>
        <v/>
      </c>
      <c r="B75">
        <f>IF(A75="","",'Job Cards'!A12)</f>
        <v/>
      </c>
      <c r="C75">
        <f>IF(A75="","",'Job Cards'!B12)</f>
        <v/>
      </c>
      <c r="D75">
        <f>IF(A75="","",'Job Cards'!D12)</f>
        <v/>
      </c>
      <c r="E75">
        <f>IF(A75="","",'Job Cards'!E12)</f>
        <v/>
      </c>
      <c r="F75" t="inlineStr">
        <is>
          <t>Pack &amp; release</t>
        </is>
      </c>
      <c r="G75" t="n">
        <v>80</v>
      </c>
      <c r="H75" t="inlineStr">
        <is>
          <t>Pack &amp; release</t>
        </is>
      </c>
      <c r="I75" t="inlineStr">
        <is>
          <t>Not Started</t>
        </is>
      </c>
      <c r="K75" s="234" t="n"/>
      <c r="L75" t="inlineStr">
        <is>
          <t>Open</t>
        </is>
      </c>
    </row>
    <row r="76">
      <c r="A76">
        <f>IF('Job Cards'!A13="","",'Job Cards'!K13)</f>
        <v/>
      </c>
      <c r="B76">
        <f>IF(A76="","",'Job Cards'!A13)</f>
        <v/>
      </c>
      <c r="C76">
        <f>IF(A76="","",'Job Cards'!B13)</f>
        <v/>
      </c>
      <c r="D76">
        <f>IF(A76="","",'Job Cards'!D13)</f>
        <v/>
      </c>
      <c r="E76">
        <f>IF(A76="","",'Job Cards'!E13)</f>
        <v/>
      </c>
      <c r="F76" t="inlineStr">
        <is>
          <t>Kitting</t>
        </is>
      </c>
      <c r="G76" t="n">
        <v>10</v>
      </c>
      <c r="H76" t="inlineStr">
        <is>
          <t>Kitting</t>
        </is>
      </c>
      <c r="I76" t="inlineStr">
        <is>
          <t>Not Started</t>
        </is>
      </c>
      <c r="K76" s="234" t="n"/>
      <c r="L76" t="inlineStr">
        <is>
          <t>Open</t>
        </is>
      </c>
    </row>
    <row r="77">
      <c r="A77">
        <f>IF('Job Cards'!A13="","",'Job Cards'!K13)</f>
        <v/>
      </c>
      <c r="B77">
        <f>IF(A77="","",'Job Cards'!A13)</f>
        <v/>
      </c>
      <c r="C77">
        <f>IF(A77="","",'Job Cards'!B13)</f>
        <v/>
      </c>
      <c r="D77">
        <f>IF(A77="","",'Job Cards'!D13)</f>
        <v/>
      </c>
      <c r="E77">
        <f>IF(A77="","",'Job Cards'!E13)</f>
        <v/>
      </c>
      <c r="F77" t="inlineStr">
        <is>
          <t>Frame / frameset receipt</t>
        </is>
      </c>
      <c r="G77" t="n">
        <v>20</v>
      </c>
      <c r="H77" t="inlineStr">
        <is>
          <t>Frame / frameset receipt</t>
        </is>
      </c>
      <c r="I77" t="inlineStr">
        <is>
          <t>Not Started</t>
        </is>
      </c>
      <c r="K77" s="234" t="n"/>
      <c r="L77" t="inlineStr">
        <is>
          <t>Open</t>
        </is>
      </c>
    </row>
    <row r="78">
      <c r="A78">
        <f>IF('Job Cards'!A13="","",'Job Cards'!K13)</f>
        <v/>
      </c>
      <c r="B78">
        <f>IF(A78="","",'Job Cards'!A13)</f>
        <v/>
      </c>
      <c r="C78">
        <f>IF(A78="","",'Job Cards'!B13)</f>
        <v/>
      </c>
      <c r="D78">
        <f>IF(A78="","",'Job Cards'!D13)</f>
        <v/>
      </c>
      <c r="E78">
        <f>IF(A78="","",'Job Cards'!E13)</f>
        <v/>
      </c>
      <c r="F78" t="inlineStr">
        <is>
          <t>Drivetrain assembly</t>
        </is>
      </c>
      <c r="G78" t="n">
        <v>30</v>
      </c>
      <c r="H78" t="inlineStr">
        <is>
          <t>Drivetrain assembly</t>
        </is>
      </c>
      <c r="I78" t="inlineStr">
        <is>
          <t>Not Started</t>
        </is>
      </c>
      <c r="K78" s="234" t="n"/>
      <c r="L78" t="inlineStr">
        <is>
          <t>Open</t>
        </is>
      </c>
    </row>
    <row r="79">
      <c r="A79">
        <f>IF('Job Cards'!A13="","",'Job Cards'!K13)</f>
        <v/>
      </c>
      <c r="B79">
        <f>IF(A79="","",'Job Cards'!A13)</f>
        <v/>
      </c>
      <c r="C79">
        <f>IF(A79="","",'Job Cards'!B13)</f>
        <v/>
      </c>
      <c r="D79">
        <f>IF(A79="","",'Job Cards'!D13)</f>
        <v/>
      </c>
      <c r="E79">
        <f>IF(A79="","",'Job Cards'!E13)</f>
        <v/>
      </c>
      <c r="F79" t="inlineStr">
        <is>
          <t>Cockpit &amp; controls</t>
        </is>
      </c>
      <c r="G79" t="n">
        <v>40</v>
      </c>
      <c r="H79" t="inlineStr">
        <is>
          <t>Cockpit &amp; controls</t>
        </is>
      </c>
      <c r="I79" t="inlineStr">
        <is>
          <t>Not Started</t>
        </is>
      </c>
      <c r="K79" s="234" t="n"/>
      <c r="L79" t="inlineStr">
        <is>
          <t>Open</t>
        </is>
      </c>
    </row>
    <row r="80">
      <c r="A80">
        <f>IF('Job Cards'!A13="","",'Job Cards'!K13)</f>
        <v/>
      </c>
      <c r="B80">
        <f>IF(A80="","",'Job Cards'!A13)</f>
        <v/>
      </c>
      <c r="C80">
        <f>IF(A80="","",'Job Cards'!B13)</f>
        <v/>
      </c>
      <c r="D80">
        <f>IF(A80="","",'Job Cards'!D13)</f>
        <v/>
      </c>
      <c r="E80">
        <f>IF(A80="","",'Job Cards'!E13)</f>
        <v/>
      </c>
      <c r="F80" t="inlineStr">
        <is>
          <t>Wheel / tyre fitment</t>
        </is>
      </c>
      <c r="G80" t="n">
        <v>50</v>
      </c>
      <c r="H80" t="inlineStr">
        <is>
          <t>Wheel / tyre fitment</t>
        </is>
      </c>
      <c r="I80" t="inlineStr">
        <is>
          <t>Not Started</t>
        </is>
      </c>
      <c r="K80" s="234" t="n"/>
      <c r="L80" t="inlineStr">
        <is>
          <t>Open</t>
        </is>
      </c>
    </row>
    <row r="81">
      <c r="A81">
        <f>IF('Job Cards'!A13="","",'Job Cards'!K13)</f>
        <v/>
      </c>
      <c r="B81">
        <f>IF(A81="","",'Job Cards'!A13)</f>
        <v/>
      </c>
      <c r="C81">
        <f>IF(A81="","",'Job Cards'!B13)</f>
        <v/>
      </c>
      <c r="D81">
        <f>IF(A81="","",'Job Cards'!D13)</f>
        <v/>
      </c>
      <c r="E81">
        <f>IF(A81="","",'Job Cards'!E13)</f>
        <v/>
      </c>
      <c r="F81" t="inlineStr">
        <is>
          <t>Torque &amp; fit inspection</t>
        </is>
      </c>
      <c r="G81" t="n">
        <v>60</v>
      </c>
      <c r="H81" t="inlineStr">
        <is>
          <t>Torque &amp; fit inspection</t>
        </is>
      </c>
      <c r="I81" t="inlineStr">
        <is>
          <t>Not Started</t>
        </is>
      </c>
      <c r="K81" s="234" t="n"/>
      <c r="L81" t="inlineStr">
        <is>
          <t>Open</t>
        </is>
      </c>
    </row>
    <row r="82">
      <c r="A82">
        <f>IF('Job Cards'!A13="","",'Job Cards'!K13)</f>
        <v/>
      </c>
      <c r="B82">
        <f>IF(A82="","",'Job Cards'!A13)</f>
        <v/>
      </c>
      <c r="C82">
        <f>IF(A82="","",'Job Cards'!B13)</f>
        <v/>
      </c>
      <c r="D82">
        <f>IF(A82="","",'Job Cards'!D13)</f>
        <v/>
      </c>
      <c r="E82">
        <f>IF(A82="","",'Job Cards'!E13)</f>
        <v/>
      </c>
      <c r="F82" t="inlineStr">
        <is>
          <t>Final quality</t>
        </is>
      </c>
      <c r="G82" t="n">
        <v>70</v>
      </c>
      <c r="H82" t="inlineStr">
        <is>
          <t>Final quality</t>
        </is>
      </c>
      <c r="I82" t="inlineStr">
        <is>
          <t>Not Started</t>
        </is>
      </c>
      <c r="K82" s="234" t="n"/>
      <c r="L82" t="inlineStr">
        <is>
          <t>Open</t>
        </is>
      </c>
    </row>
    <row r="83">
      <c r="A83">
        <f>IF('Job Cards'!A13="","",'Job Cards'!K13)</f>
        <v/>
      </c>
      <c r="B83">
        <f>IF(A83="","",'Job Cards'!A13)</f>
        <v/>
      </c>
      <c r="C83">
        <f>IF(A83="","",'Job Cards'!B13)</f>
        <v/>
      </c>
      <c r="D83">
        <f>IF(A83="","",'Job Cards'!D13)</f>
        <v/>
      </c>
      <c r="E83">
        <f>IF(A83="","",'Job Cards'!E13)</f>
        <v/>
      </c>
      <c r="F83" t="inlineStr">
        <is>
          <t>Pack &amp; release</t>
        </is>
      </c>
      <c r="G83" t="n">
        <v>80</v>
      </c>
      <c r="H83" t="inlineStr">
        <is>
          <t>Pack &amp; release</t>
        </is>
      </c>
      <c r="I83" t="inlineStr">
        <is>
          <t>Not Started</t>
        </is>
      </c>
      <c r="K83" s="234" t="n"/>
      <c r="L83" t="inlineStr">
        <is>
          <t>Open</t>
        </is>
      </c>
    </row>
    <row r="84">
      <c r="A84">
        <f>IF('Job Cards'!A14="","",'Job Cards'!K14)</f>
        <v/>
      </c>
      <c r="B84">
        <f>IF(A84="","",'Job Cards'!A14)</f>
        <v/>
      </c>
      <c r="C84">
        <f>IF(A84="","",'Job Cards'!B14)</f>
        <v/>
      </c>
      <c r="D84">
        <f>IF(A84="","",'Job Cards'!D14)</f>
        <v/>
      </c>
      <c r="E84">
        <f>IF(A84="","",'Job Cards'!E14)</f>
        <v/>
      </c>
      <c r="F84" t="inlineStr">
        <is>
          <t>Kitting</t>
        </is>
      </c>
      <c r="G84" t="n">
        <v>10</v>
      </c>
      <c r="H84" t="inlineStr">
        <is>
          <t>Kitting</t>
        </is>
      </c>
      <c r="I84" t="inlineStr">
        <is>
          <t>Not Started</t>
        </is>
      </c>
      <c r="K84" s="234" t="n"/>
      <c r="L84" t="inlineStr">
        <is>
          <t>Open</t>
        </is>
      </c>
    </row>
    <row r="85">
      <c r="A85">
        <f>IF('Job Cards'!A14="","",'Job Cards'!K14)</f>
        <v/>
      </c>
      <c r="B85">
        <f>IF(A85="","",'Job Cards'!A14)</f>
        <v/>
      </c>
      <c r="C85">
        <f>IF(A85="","",'Job Cards'!B14)</f>
        <v/>
      </c>
      <c r="D85">
        <f>IF(A85="","",'Job Cards'!D14)</f>
        <v/>
      </c>
      <c r="E85">
        <f>IF(A85="","",'Job Cards'!E14)</f>
        <v/>
      </c>
      <c r="F85" t="inlineStr">
        <is>
          <t>Frame / frameset receipt</t>
        </is>
      </c>
      <c r="G85" t="n">
        <v>20</v>
      </c>
      <c r="H85" t="inlineStr">
        <is>
          <t>Frame / frameset receipt</t>
        </is>
      </c>
      <c r="I85" t="inlineStr">
        <is>
          <t>Not Started</t>
        </is>
      </c>
      <c r="K85" s="234" t="n"/>
      <c r="L85" t="inlineStr">
        <is>
          <t>Open</t>
        </is>
      </c>
    </row>
    <row r="86">
      <c r="A86">
        <f>IF('Job Cards'!A14="","",'Job Cards'!K14)</f>
        <v/>
      </c>
      <c r="B86">
        <f>IF(A86="","",'Job Cards'!A14)</f>
        <v/>
      </c>
      <c r="C86">
        <f>IF(A86="","",'Job Cards'!B14)</f>
        <v/>
      </c>
      <c r="D86">
        <f>IF(A86="","",'Job Cards'!D14)</f>
        <v/>
      </c>
      <c r="E86">
        <f>IF(A86="","",'Job Cards'!E14)</f>
        <v/>
      </c>
      <c r="F86" t="inlineStr">
        <is>
          <t>Drivetrain assembly</t>
        </is>
      </c>
      <c r="G86" t="n">
        <v>30</v>
      </c>
      <c r="H86" t="inlineStr">
        <is>
          <t>Drivetrain assembly</t>
        </is>
      </c>
      <c r="I86" t="inlineStr">
        <is>
          <t>Not Started</t>
        </is>
      </c>
      <c r="K86" s="234" t="n"/>
      <c r="L86" t="inlineStr">
        <is>
          <t>Open</t>
        </is>
      </c>
    </row>
    <row r="87">
      <c r="A87">
        <f>IF('Job Cards'!A14="","",'Job Cards'!K14)</f>
        <v/>
      </c>
      <c r="B87">
        <f>IF(A87="","",'Job Cards'!A14)</f>
        <v/>
      </c>
      <c r="C87">
        <f>IF(A87="","",'Job Cards'!B14)</f>
        <v/>
      </c>
      <c r="D87">
        <f>IF(A87="","",'Job Cards'!D14)</f>
        <v/>
      </c>
      <c r="E87">
        <f>IF(A87="","",'Job Cards'!E14)</f>
        <v/>
      </c>
      <c r="F87" t="inlineStr">
        <is>
          <t>Cockpit &amp; controls</t>
        </is>
      </c>
      <c r="G87" t="n">
        <v>40</v>
      </c>
      <c r="H87" t="inlineStr">
        <is>
          <t>Cockpit &amp; controls</t>
        </is>
      </c>
      <c r="I87" t="inlineStr">
        <is>
          <t>Not Started</t>
        </is>
      </c>
      <c r="K87" s="234" t="n"/>
      <c r="L87" t="inlineStr">
        <is>
          <t>Open</t>
        </is>
      </c>
    </row>
    <row r="88">
      <c r="A88">
        <f>IF('Job Cards'!A14="","",'Job Cards'!K14)</f>
        <v/>
      </c>
      <c r="B88">
        <f>IF(A88="","",'Job Cards'!A14)</f>
        <v/>
      </c>
      <c r="C88">
        <f>IF(A88="","",'Job Cards'!B14)</f>
        <v/>
      </c>
      <c r="D88">
        <f>IF(A88="","",'Job Cards'!D14)</f>
        <v/>
      </c>
      <c r="E88">
        <f>IF(A88="","",'Job Cards'!E14)</f>
        <v/>
      </c>
      <c r="F88" t="inlineStr">
        <is>
          <t>Wheel / tyre fitment</t>
        </is>
      </c>
      <c r="G88" t="n">
        <v>50</v>
      </c>
      <c r="H88" t="inlineStr">
        <is>
          <t>Wheel / tyre fitment</t>
        </is>
      </c>
      <c r="I88" t="inlineStr">
        <is>
          <t>Not Started</t>
        </is>
      </c>
      <c r="K88" s="234" t="n"/>
      <c r="L88" t="inlineStr">
        <is>
          <t>Open</t>
        </is>
      </c>
    </row>
    <row r="89">
      <c r="A89">
        <f>IF('Job Cards'!A14="","",'Job Cards'!K14)</f>
        <v/>
      </c>
      <c r="B89">
        <f>IF(A89="","",'Job Cards'!A14)</f>
        <v/>
      </c>
      <c r="C89">
        <f>IF(A89="","",'Job Cards'!B14)</f>
        <v/>
      </c>
      <c r="D89">
        <f>IF(A89="","",'Job Cards'!D14)</f>
        <v/>
      </c>
      <c r="E89">
        <f>IF(A89="","",'Job Cards'!E14)</f>
        <v/>
      </c>
      <c r="F89" t="inlineStr">
        <is>
          <t>Torque &amp; fit inspection</t>
        </is>
      </c>
      <c r="G89" t="n">
        <v>60</v>
      </c>
      <c r="H89" t="inlineStr">
        <is>
          <t>Torque &amp; fit inspection</t>
        </is>
      </c>
      <c r="I89" t="inlineStr">
        <is>
          <t>Not Started</t>
        </is>
      </c>
      <c r="K89" s="234" t="n"/>
      <c r="L89" t="inlineStr">
        <is>
          <t>Open</t>
        </is>
      </c>
    </row>
    <row r="90">
      <c r="A90">
        <f>IF('Job Cards'!A14="","",'Job Cards'!K14)</f>
        <v/>
      </c>
      <c r="B90">
        <f>IF(A90="","",'Job Cards'!A14)</f>
        <v/>
      </c>
      <c r="C90">
        <f>IF(A90="","",'Job Cards'!B14)</f>
        <v/>
      </c>
      <c r="D90">
        <f>IF(A90="","",'Job Cards'!D14)</f>
        <v/>
      </c>
      <c r="E90">
        <f>IF(A90="","",'Job Cards'!E14)</f>
        <v/>
      </c>
      <c r="F90" t="inlineStr">
        <is>
          <t>Final quality</t>
        </is>
      </c>
      <c r="G90" t="n">
        <v>70</v>
      </c>
      <c r="H90" t="inlineStr">
        <is>
          <t>Final quality</t>
        </is>
      </c>
      <c r="I90" t="inlineStr">
        <is>
          <t>Not Started</t>
        </is>
      </c>
      <c r="K90" s="234" t="n"/>
      <c r="L90" t="inlineStr">
        <is>
          <t>Open</t>
        </is>
      </c>
    </row>
    <row r="91">
      <c r="A91">
        <f>IF('Job Cards'!A14="","",'Job Cards'!K14)</f>
        <v/>
      </c>
      <c r="B91">
        <f>IF(A91="","",'Job Cards'!A14)</f>
        <v/>
      </c>
      <c r="C91">
        <f>IF(A91="","",'Job Cards'!B14)</f>
        <v/>
      </c>
      <c r="D91">
        <f>IF(A91="","",'Job Cards'!D14)</f>
        <v/>
      </c>
      <c r="E91">
        <f>IF(A91="","",'Job Cards'!E14)</f>
        <v/>
      </c>
      <c r="F91" t="inlineStr">
        <is>
          <t>Pack &amp; release</t>
        </is>
      </c>
      <c r="G91" t="n">
        <v>80</v>
      </c>
      <c r="H91" t="inlineStr">
        <is>
          <t>Pack &amp; release</t>
        </is>
      </c>
      <c r="I91" t="inlineStr">
        <is>
          <t>Not Started</t>
        </is>
      </c>
      <c r="K91" s="234" t="n"/>
      <c r="L91" t="inlineStr">
        <is>
          <t>Open</t>
        </is>
      </c>
    </row>
    <row r="92">
      <c r="A92">
        <f>IF('Job Cards'!A15="","",'Job Cards'!K15)</f>
        <v/>
      </c>
      <c r="B92">
        <f>IF(A92="","",'Job Cards'!A15)</f>
        <v/>
      </c>
      <c r="C92">
        <f>IF(A92="","",'Job Cards'!B15)</f>
        <v/>
      </c>
      <c r="D92">
        <f>IF(A92="","",'Job Cards'!D15)</f>
        <v/>
      </c>
      <c r="E92">
        <f>IF(A92="","",'Job Cards'!E15)</f>
        <v/>
      </c>
      <c r="F92" t="inlineStr">
        <is>
          <t>Kitting</t>
        </is>
      </c>
      <c r="G92" t="n">
        <v>10</v>
      </c>
      <c r="H92" t="inlineStr">
        <is>
          <t>Kitting</t>
        </is>
      </c>
      <c r="I92" t="inlineStr">
        <is>
          <t>Not Started</t>
        </is>
      </c>
      <c r="K92" s="234" t="n"/>
      <c r="L92" t="inlineStr">
        <is>
          <t>Open</t>
        </is>
      </c>
    </row>
    <row r="93">
      <c r="A93">
        <f>IF('Job Cards'!A15="","",'Job Cards'!K15)</f>
        <v/>
      </c>
      <c r="B93">
        <f>IF(A93="","",'Job Cards'!A15)</f>
        <v/>
      </c>
      <c r="C93">
        <f>IF(A93="","",'Job Cards'!B15)</f>
        <v/>
      </c>
      <c r="D93">
        <f>IF(A93="","",'Job Cards'!D15)</f>
        <v/>
      </c>
      <c r="E93">
        <f>IF(A93="","",'Job Cards'!E15)</f>
        <v/>
      </c>
      <c r="F93" t="inlineStr">
        <is>
          <t>Frame / frameset receipt</t>
        </is>
      </c>
      <c r="G93" t="n">
        <v>20</v>
      </c>
      <c r="H93" t="inlineStr">
        <is>
          <t>Frame / frameset receipt</t>
        </is>
      </c>
      <c r="I93" t="inlineStr">
        <is>
          <t>Not Started</t>
        </is>
      </c>
      <c r="K93" s="234" t="n"/>
      <c r="L93" t="inlineStr">
        <is>
          <t>Open</t>
        </is>
      </c>
    </row>
    <row r="94">
      <c r="A94">
        <f>IF('Job Cards'!A15="","",'Job Cards'!K15)</f>
        <v/>
      </c>
      <c r="B94">
        <f>IF(A94="","",'Job Cards'!A15)</f>
        <v/>
      </c>
      <c r="C94">
        <f>IF(A94="","",'Job Cards'!B15)</f>
        <v/>
      </c>
      <c r="D94">
        <f>IF(A94="","",'Job Cards'!D15)</f>
        <v/>
      </c>
      <c r="E94">
        <f>IF(A94="","",'Job Cards'!E15)</f>
        <v/>
      </c>
      <c r="F94" t="inlineStr">
        <is>
          <t>Drivetrain assembly</t>
        </is>
      </c>
      <c r="G94" t="n">
        <v>30</v>
      </c>
      <c r="H94" t="inlineStr">
        <is>
          <t>Drivetrain assembly</t>
        </is>
      </c>
      <c r="I94" t="inlineStr">
        <is>
          <t>Not Started</t>
        </is>
      </c>
      <c r="K94" s="234" t="n"/>
      <c r="L94" t="inlineStr">
        <is>
          <t>Open</t>
        </is>
      </c>
    </row>
    <row r="95">
      <c r="A95">
        <f>IF('Job Cards'!A15="","",'Job Cards'!K15)</f>
        <v/>
      </c>
      <c r="B95">
        <f>IF(A95="","",'Job Cards'!A15)</f>
        <v/>
      </c>
      <c r="C95">
        <f>IF(A95="","",'Job Cards'!B15)</f>
        <v/>
      </c>
      <c r="D95">
        <f>IF(A95="","",'Job Cards'!D15)</f>
        <v/>
      </c>
      <c r="E95">
        <f>IF(A95="","",'Job Cards'!E15)</f>
        <v/>
      </c>
      <c r="F95" t="inlineStr">
        <is>
          <t>Cockpit &amp; controls</t>
        </is>
      </c>
      <c r="G95" t="n">
        <v>40</v>
      </c>
      <c r="H95" t="inlineStr">
        <is>
          <t>Cockpit &amp; controls</t>
        </is>
      </c>
      <c r="I95" t="inlineStr">
        <is>
          <t>Not Started</t>
        </is>
      </c>
      <c r="K95" s="234" t="n"/>
      <c r="L95" t="inlineStr">
        <is>
          <t>Open</t>
        </is>
      </c>
    </row>
    <row r="96">
      <c r="A96">
        <f>IF('Job Cards'!A15="","",'Job Cards'!K15)</f>
        <v/>
      </c>
      <c r="B96">
        <f>IF(A96="","",'Job Cards'!A15)</f>
        <v/>
      </c>
      <c r="C96">
        <f>IF(A96="","",'Job Cards'!B15)</f>
        <v/>
      </c>
      <c r="D96">
        <f>IF(A96="","",'Job Cards'!D15)</f>
        <v/>
      </c>
      <c r="E96">
        <f>IF(A96="","",'Job Cards'!E15)</f>
        <v/>
      </c>
      <c r="F96" t="inlineStr">
        <is>
          <t>Wheel / tyre fitment</t>
        </is>
      </c>
      <c r="G96" t="n">
        <v>50</v>
      </c>
      <c r="H96" t="inlineStr">
        <is>
          <t>Wheel / tyre fitment</t>
        </is>
      </c>
      <c r="I96" t="inlineStr">
        <is>
          <t>Not Started</t>
        </is>
      </c>
      <c r="K96" s="234" t="n"/>
      <c r="L96" t="inlineStr">
        <is>
          <t>Open</t>
        </is>
      </c>
    </row>
    <row r="97">
      <c r="A97">
        <f>IF('Job Cards'!A15="","",'Job Cards'!K15)</f>
        <v/>
      </c>
      <c r="B97">
        <f>IF(A97="","",'Job Cards'!A15)</f>
        <v/>
      </c>
      <c r="C97">
        <f>IF(A97="","",'Job Cards'!B15)</f>
        <v/>
      </c>
      <c r="D97">
        <f>IF(A97="","",'Job Cards'!D15)</f>
        <v/>
      </c>
      <c r="E97">
        <f>IF(A97="","",'Job Cards'!E15)</f>
        <v/>
      </c>
      <c r="F97" t="inlineStr">
        <is>
          <t>Torque &amp; fit inspection</t>
        </is>
      </c>
      <c r="G97" t="n">
        <v>60</v>
      </c>
      <c r="H97" t="inlineStr">
        <is>
          <t>Torque &amp; fit inspection</t>
        </is>
      </c>
      <c r="I97" t="inlineStr">
        <is>
          <t>Not Started</t>
        </is>
      </c>
      <c r="K97" s="234" t="n"/>
      <c r="L97" t="inlineStr">
        <is>
          <t>Open</t>
        </is>
      </c>
    </row>
    <row r="98">
      <c r="A98">
        <f>IF('Job Cards'!A15="","",'Job Cards'!K15)</f>
        <v/>
      </c>
      <c r="B98">
        <f>IF(A98="","",'Job Cards'!A15)</f>
        <v/>
      </c>
      <c r="C98">
        <f>IF(A98="","",'Job Cards'!B15)</f>
        <v/>
      </c>
      <c r="D98">
        <f>IF(A98="","",'Job Cards'!D15)</f>
        <v/>
      </c>
      <c r="E98">
        <f>IF(A98="","",'Job Cards'!E15)</f>
        <v/>
      </c>
      <c r="F98" t="inlineStr">
        <is>
          <t>Final quality</t>
        </is>
      </c>
      <c r="G98" t="n">
        <v>70</v>
      </c>
      <c r="H98" t="inlineStr">
        <is>
          <t>Final quality</t>
        </is>
      </c>
      <c r="I98" t="inlineStr">
        <is>
          <t>Not Started</t>
        </is>
      </c>
      <c r="K98" s="234" t="n"/>
      <c r="L98" t="inlineStr">
        <is>
          <t>Open</t>
        </is>
      </c>
    </row>
    <row r="99">
      <c r="A99">
        <f>IF('Job Cards'!A15="","",'Job Cards'!K15)</f>
        <v/>
      </c>
      <c r="B99">
        <f>IF(A99="","",'Job Cards'!A15)</f>
        <v/>
      </c>
      <c r="C99">
        <f>IF(A99="","",'Job Cards'!B15)</f>
        <v/>
      </c>
      <c r="D99">
        <f>IF(A99="","",'Job Cards'!D15)</f>
        <v/>
      </c>
      <c r="E99">
        <f>IF(A99="","",'Job Cards'!E15)</f>
        <v/>
      </c>
      <c r="F99" t="inlineStr">
        <is>
          <t>Pack &amp; release</t>
        </is>
      </c>
      <c r="G99" t="n">
        <v>80</v>
      </c>
      <c r="H99" t="inlineStr">
        <is>
          <t>Pack &amp; release</t>
        </is>
      </c>
      <c r="I99" t="inlineStr">
        <is>
          <t>Not Started</t>
        </is>
      </c>
      <c r="K99" s="234" t="n"/>
      <c r="L99" t="inlineStr">
        <is>
          <t>Open</t>
        </is>
      </c>
    </row>
    <row r="100">
      <c r="A100">
        <f>IF('Job Cards'!A16="","",'Job Cards'!K16)</f>
        <v/>
      </c>
      <c r="B100">
        <f>IF(A100="","",'Job Cards'!A16)</f>
        <v/>
      </c>
      <c r="C100">
        <f>IF(A100="","",'Job Cards'!B16)</f>
        <v/>
      </c>
      <c r="D100">
        <f>IF(A100="","",'Job Cards'!D16)</f>
        <v/>
      </c>
      <c r="E100">
        <f>IF(A100="","",'Job Cards'!E16)</f>
        <v/>
      </c>
      <c r="F100" t="inlineStr">
        <is>
          <t>Kitting</t>
        </is>
      </c>
      <c r="G100" t="n">
        <v>10</v>
      </c>
      <c r="H100" t="inlineStr">
        <is>
          <t>Kitting</t>
        </is>
      </c>
      <c r="I100" t="inlineStr">
        <is>
          <t>Not Started</t>
        </is>
      </c>
      <c r="K100" s="234" t="n"/>
      <c r="L100" t="inlineStr">
        <is>
          <t>Open</t>
        </is>
      </c>
    </row>
    <row r="101">
      <c r="A101">
        <f>IF('Job Cards'!A16="","",'Job Cards'!K16)</f>
        <v/>
      </c>
      <c r="B101">
        <f>IF(A101="","",'Job Cards'!A16)</f>
        <v/>
      </c>
      <c r="C101">
        <f>IF(A101="","",'Job Cards'!B16)</f>
        <v/>
      </c>
      <c r="D101">
        <f>IF(A101="","",'Job Cards'!D16)</f>
        <v/>
      </c>
      <c r="E101">
        <f>IF(A101="","",'Job Cards'!E16)</f>
        <v/>
      </c>
      <c r="F101" t="inlineStr">
        <is>
          <t>Frame / frameset receipt</t>
        </is>
      </c>
      <c r="G101" t="n">
        <v>20</v>
      </c>
      <c r="H101" t="inlineStr">
        <is>
          <t>Frame / frameset receipt</t>
        </is>
      </c>
      <c r="I101" t="inlineStr">
        <is>
          <t>Not Started</t>
        </is>
      </c>
      <c r="K101" s="234" t="n"/>
      <c r="L101" t="inlineStr">
        <is>
          <t>Open</t>
        </is>
      </c>
    </row>
    <row r="102">
      <c r="A102">
        <f>IF('Job Cards'!A16="","",'Job Cards'!K16)</f>
        <v/>
      </c>
      <c r="B102">
        <f>IF(A102="","",'Job Cards'!A16)</f>
        <v/>
      </c>
      <c r="C102">
        <f>IF(A102="","",'Job Cards'!B16)</f>
        <v/>
      </c>
      <c r="D102">
        <f>IF(A102="","",'Job Cards'!D16)</f>
        <v/>
      </c>
      <c r="E102">
        <f>IF(A102="","",'Job Cards'!E16)</f>
        <v/>
      </c>
      <c r="F102" t="inlineStr">
        <is>
          <t>Drivetrain assembly</t>
        </is>
      </c>
      <c r="G102" t="n">
        <v>30</v>
      </c>
      <c r="H102" t="inlineStr">
        <is>
          <t>Drivetrain assembly</t>
        </is>
      </c>
      <c r="I102" t="inlineStr">
        <is>
          <t>Not Started</t>
        </is>
      </c>
      <c r="K102" s="234" t="n"/>
      <c r="L102" t="inlineStr">
        <is>
          <t>Open</t>
        </is>
      </c>
    </row>
    <row r="103">
      <c r="A103">
        <f>IF('Job Cards'!A16="","",'Job Cards'!K16)</f>
        <v/>
      </c>
      <c r="B103">
        <f>IF(A103="","",'Job Cards'!A16)</f>
        <v/>
      </c>
      <c r="C103">
        <f>IF(A103="","",'Job Cards'!B16)</f>
        <v/>
      </c>
      <c r="D103">
        <f>IF(A103="","",'Job Cards'!D16)</f>
        <v/>
      </c>
      <c r="E103">
        <f>IF(A103="","",'Job Cards'!E16)</f>
        <v/>
      </c>
      <c r="F103" t="inlineStr">
        <is>
          <t>Cockpit &amp; controls</t>
        </is>
      </c>
      <c r="G103" t="n">
        <v>40</v>
      </c>
      <c r="H103" t="inlineStr">
        <is>
          <t>Cockpit &amp; controls</t>
        </is>
      </c>
      <c r="I103" t="inlineStr">
        <is>
          <t>Not Started</t>
        </is>
      </c>
      <c r="K103" s="234" t="n"/>
      <c r="L103" t="inlineStr">
        <is>
          <t>Open</t>
        </is>
      </c>
    </row>
    <row r="104">
      <c r="A104">
        <f>IF('Job Cards'!A16="","",'Job Cards'!K16)</f>
        <v/>
      </c>
      <c r="B104">
        <f>IF(A104="","",'Job Cards'!A16)</f>
        <v/>
      </c>
      <c r="C104">
        <f>IF(A104="","",'Job Cards'!B16)</f>
        <v/>
      </c>
      <c r="D104">
        <f>IF(A104="","",'Job Cards'!D16)</f>
        <v/>
      </c>
      <c r="E104">
        <f>IF(A104="","",'Job Cards'!E16)</f>
        <v/>
      </c>
      <c r="F104" t="inlineStr">
        <is>
          <t>Wheel / tyre fitment</t>
        </is>
      </c>
      <c r="G104" t="n">
        <v>50</v>
      </c>
      <c r="H104" t="inlineStr">
        <is>
          <t>Wheel / tyre fitment</t>
        </is>
      </c>
      <c r="I104" t="inlineStr">
        <is>
          <t>Not Started</t>
        </is>
      </c>
      <c r="K104" s="234" t="n"/>
      <c r="L104" t="inlineStr">
        <is>
          <t>Open</t>
        </is>
      </c>
    </row>
    <row r="105">
      <c r="A105">
        <f>IF('Job Cards'!A16="","",'Job Cards'!K16)</f>
        <v/>
      </c>
      <c r="B105">
        <f>IF(A105="","",'Job Cards'!A16)</f>
        <v/>
      </c>
      <c r="C105">
        <f>IF(A105="","",'Job Cards'!B16)</f>
        <v/>
      </c>
      <c r="D105">
        <f>IF(A105="","",'Job Cards'!D16)</f>
        <v/>
      </c>
      <c r="E105">
        <f>IF(A105="","",'Job Cards'!E16)</f>
        <v/>
      </c>
      <c r="F105" t="inlineStr">
        <is>
          <t>Torque &amp; fit inspection</t>
        </is>
      </c>
      <c r="G105" t="n">
        <v>60</v>
      </c>
      <c r="H105" t="inlineStr">
        <is>
          <t>Torque &amp; fit inspection</t>
        </is>
      </c>
      <c r="I105" t="inlineStr">
        <is>
          <t>Not Started</t>
        </is>
      </c>
      <c r="K105" s="234" t="n"/>
      <c r="L105" t="inlineStr">
        <is>
          <t>Open</t>
        </is>
      </c>
    </row>
    <row r="106">
      <c r="A106">
        <f>IF('Job Cards'!A16="","",'Job Cards'!K16)</f>
        <v/>
      </c>
      <c r="B106">
        <f>IF(A106="","",'Job Cards'!A16)</f>
        <v/>
      </c>
      <c r="C106">
        <f>IF(A106="","",'Job Cards'!B16)</f>
        <v/>
      </c>
      <c r="D106">
        <f>IF(A106="","",'Job Cards'!D16)</f>
        <v/>
      </c>
      <c r="E106">
        <f>IF(A106="","",'Job Cards'!E16)</f>
        <v/>
      </c>
      <c r="F106" t="inlineStr">
        <is>
          <t>Final quality</t>
        </is>
      </c>
      <c r="G106" t="n">
        <v>70</v>
      </c>
      <c r="H106" t="inlineStr">
        <is>
          <t>Final quality</t>
        </is>
      </c>
      <c r="I106" t="inlineStr">
        <is>
          <t>Not Started</t>
        </is>
      </c>
      <c r="K106" s="234" t="n"/>
      <c r="L106" t="inlineStr">
        <is>
          <t>Open</t>
        </is>
      </c>
    </row>
    <row r="107">
      <c r="A107">
        <f>IF('Job Cards'!A16="","",'Job Cards'!K16)</f>
        <v/>
      </c>
      <c r="B107">
        <f>IF(A107="","",'Job Cards'!A16)</f>
        <v/>
      </c>
      <c r="C107">
        <f>IF(A107="","",'Job Cards'!B16)</f>
        <v/>
      </c>
      <c r="D107">
        <f>IF(A107="","",'Job Cards'!D16)</f>
        <v/>
      </c>
      <c r="E107">
        <f>IF(A107="","",'Job Cards'!E16)</f>
        <v/>
      </c>
      <c r="F107" t="inlineStr">
        <is>
          <t>Pack &amp; release</t>
        </is>
      </c>
      <c r="G107" t="n">
        <v>80</v>
      </c>
      <c r="H107" t="inlineStr">
        <is>
          <t>Pack &amp; release</t>
        </is>
      </c>
      <c r="I107" t="inlineStr">
        <is>
          <t>Not Started</t>
        </is>
      </c>
      <c r="K107" s="234" t="n"/>
      <c r="L107" t="inlineStr">
        <is>
          <t>Open</t>
        </is>
      </c>
    </row>
    <row r="108">
      <c r="A108">
        <f>IF('Job Cards'!A17="","",'Job Cards'!K17)</f>
        <v/>
      </c>
      <c r="B108">
        <f>IF(A108="","",'Job Cards'!A17)</f>
        <v/>
      </c>
      <c r="C108">
        <f>IF(A108="","",'Job Cards'!B17)</f>
        <v/>
      </c>
      <c r="D108">
        <f>IF(A108="","",'Job Cards'!D17)</f>
        <v/>
      </c>
      <c r="E108">
        <f>IF(A108="","",'Job Cards'!E17)</f>
        <v/>
      </c>
      <c r="F108" t="inlineStr">
        <is>
          <t>Kitting</t>
        </is>
      </c>
      <c r="G108" t="n">
        <v>10</v>
      </c>
      <c r="H108" t="inlineStr">
        <is>
          <t>Kitting</t>
        </is>
      </c>
      <c r="I108" t="inlineStr">
        <is>
          <t>Not Started</t>
        </is>
      </c>
      <c r="K108" s="234" t="n"/>
      <c r="L108" t="inlineStr">
        <is>
          <t>Open</t>
        </is>
      </c>
    </row>
    <row r="109">
      <c r="A109">
        <f>IF('Job Cards'!A17="","",'Job Cards'!K17)</f>
        <v/>
      </c>
      <c r="B109">
        <f>IF(A109="","",'Job Cards'!A17)</f>
        <v/>
      </c>
      <c r="C109">
        <f>IF(A109="","",'Job Cards'!B17)</f>
        <v/>
      </c>
      <c r="D109">
        <f>IF(A109="","",'Job Cards'!D17)</f>
        <v/>
      </c>
      <c r="E109">
        <f>IF(A109="","",'Job Cards'!E17)</f>
        <v/>
      </c>
      <c r="F109" t="inlineStr">
        <is>
          <t>Frame / frameset receipt</t>
        </is>
      </c>
      <c r="G109" t="n">
        <v>20</v>
      </c>
      <c r="H109" t="inlineStr">
        <is>
          <t>Frame / frameset receipt</t>
        </is>
      </c>
      <c r="I109" t="inlineStr">
        <is>
          <t>Not Started</t>
        </is>
      </c>
      <c r="K109" s="234" t="n"/>
      <c r="L109" t="inlineStr">
        <is>
          <t>Open</t>
        </is>
      </c>
    </row>
    <row r="110">
      <c r="A110">
        <f>IF('Job Cards'!A17="","",'Job Cards'!K17)</f>
        <v/>
      </c>
      <c r="B110">
        <f>IF(A110="","",'Job Cards'!A17)</f>
        <v/>
      </c>
      <c r="C110">
        <f>IF(A110="","",'Job Cards'!B17)</f>
        <v/>
      </c>
      <c r="D110">
        <f>IF(A110="","",'Job Cards'!D17)</f>
        <v/>
      </c>
      <c r="E110">
        <f>IF(A110="","",'Job Cards'!E17)</f>
        <v/>
      </c>
      <c r="F110" t="inlineStr">
        <is>
          <t>Drivetrain assembly</t>
        </is>
      </c>
      <c r="G110" t="n">
        <v>30</v>
      </c>
      <c r="H110" t="inlineStr">
        <is>
          <t>Drivetrain assembly</t>
        </is>
      </c>
      <c r="I110" t="inlineStr">
        <is>
          <t>Not Started</t>
        </is>
      </c>
      <c r="K110" s="234" t="n"/>
      <c r="L110" t="inlineStr">
        <is>
          <t>Open</t>
        </is>
      </c>
    </row>
    <row r="111">
      <c r="A111">
        <f>IF('Job Cards'!A17="","",'Job Cards'!K17)</f>
        <v/>
      </c>
      <c r="B111">
        <f>IF(A111="","",'Job Cards'!A17)</f>
        <v/>
      </c>
      <c r="C111">
        <f>IF(A111="","",'Job Cards'!B17)</f>
        <v/>
      </c>
      <c r="D111">
        <f>IF(A111="","",'Job Cards'!D17)</f>
        <v/>
      </c>
      <c r="E111">
        <f>IF(A111="","",'Job Cards'!E17)</f>
        <v/>
      </c>
      <c r="F111" t="inlineStr">
        <is>
          <t>Cockpit &amp; controls</t>
        </is>
      </c>
      <c r="G111" t="n">
        <v>40</v>
      </c>
      <c r="H111" t="inlineStr">
        <is>
          <t>Cockpit &amp; controls</t>
        </is>
      </c>
      <c r="I111" t="inlineStr">
        <is>
          <t>Not Started</t>
        </is>
      </c>
      <c r="K111" s="234" t="n"/>
      <c r="L111" t="inlineStr">
        <is>
          <t>Open</t>
        </is>
      </c>
    </row>
    <row r="112">
      <c r="A112">
        <f>IF('Job Cards'!A17="","",'Job Cards'!K17)</f>
        <v/>
      </c>
      <c r="B112">
        <f>IF(A112="","",'Job Cards'!A17)</f>
        <v/>
      </c>
      <c r="C112">
        <f>IF(A112="","",'Job Cards'!B17)</f>
        <v/>
      </c>
      <c r="D112">
        <f>IF(A112="","",'Job Cards'!D17)</f>
        <v/>
      </c>
      <c r="E112">
        <f>IF(A112="","",'Job Cards'!E17)</f>
        <v/>
      </c>
      <c r="F112" t="inlineStr">
        <is>
          <t>Wheel / tyre fitment</t>
        </is>
      </c>
      <c r="G112" t="n">
        <v>50</v>
      </c>
      <c r="H112" t="inlineStr">
        <is>
          <t>Wheel / tyre fitment</t>
        </is>
      </c>
      <c r="I112" t="inlineStr">
        <is>
          <t>Not Started</t>
        </is>
      </c>
      <c r="K112" s="234" t="n"/>
      <c r="L112" t="inlineStr">
        <is>
          <t>Open</t>
        </is>
      </c>
    </row>
    <row r="113">
      <c r="A113">
        <f>IF('Job Cards'!A17="","",'Job Cards'!K17)</f>
        <v/>
      </c>
      <c r="B113">
        <f>IF(A113="","",'Job Cards'!A17)</f>
        <v/>
      </c>
      <c r="C113">
        <f>IF(A113="","",'Job Cards'!B17)</f>
        <v/>
      </c>
      <c r="D113">
        <f>IF(A113="","",'Job Cards'!D17)</f>
        <v/>
      </c>
      <c r="E113">
        <f>IF(A113="","",'Job Cards'!E17)</f>
        <v/>
      </c>
      <c r="F113" t="inlineStr">
        <is>
          <t>Torque &amp; fit inspection</t>
        </is>
      </c>
      <c r="G113" t="n">
        <v>60</v>
      </c>
      <c r="H113" t="inlineStr">
        <is>
          <t>Torque &amp; fit inspection</t>
        </is>
      </c>
      <c r="I113" t="inlineStr">
        <is>
          <t>Not Started</t>
        </is>
      </c>
      <c r="K113" s="234" t="n"/>
      <c r="L113" t="inlineStr">
        <is>
          <t>Open</t>
        </is>
      </c>
    </row>
    <row r="114">
      <c r="A114">
        <f>IF('Job Cards'!A17="","",'Job Cards'!K17)</f>
        <v/>
      </c>
      <c r="B114">
        <f>IF(A114="","",'Job Cards'!A17)</f>
        <v/>
      </c>
      <c r="C114">
        <f>IF(A114="","",'Job Cards'!B17)</f>
        <v/>
      </c>
      <c r="D114">
        <f>IF(A114="","",'Job Cards'!D17)</f>
        <v/>
      </c>
      <c r="E114">
        <f>IF(A114="","",'Job Cards'!E17)</f>
        <v/>
      </c>
      <c r="F114" t="inlineStr">
        <is>
          <t>Final quality</t>
        </is>
      </c>
      <c r="G114" t="n">
        <v>70</v>
      </c>
      <c r="H114" t="inlineStr">
        <is>
          <t>Final quality</t>
        </is>
      </c>
      <c r="I114" t="inlineStr">
        <is>
          <t>Not Started</t>
        </is>
      </c>
      <c r="K114" s="234" t="n"/>
      <c r="L114" t="inlineStr">
        <is>
          <t>Open</t>
        </is>
      </c>
    </row>
    <row r="115">
      <c r="A115">
        <f>IF('Job Cards'!A17="","",'Job Cards'!K17)</f>
        <v/>
      </c>
      <c r="B115">
        <f>IF(A115="","",'Job Cards'!A17)</f>
        <v/>
      </c>
      <c r="C115">
        <f>IF(A115="","",'Job Cards'!B17)</f>
        <v/>
      </c>
      <c r="D115">
        <f>IF(A115="","",'Job Cards'!D17)</f>
        <v/>
      </c>
      <c r="E115">
        <f>IF(A115="","",'Job Cards'!E17)</f>
        <v/>
      </c>
      <c r="F115" t="inlineStr">
        <is>
          <t>Pack &amp; release</t>
        </is>
      </c>
      <c r="G115" t="n">
        <v>80</v>
      </c>
      <c r="H115" t="inlineStr">
        <is>
          <t>Pack &amp; release</t>
        </is>
      </c>
      <c r="I115" t="inlineStr">
        <is>
          <t>Not Started</t>
        </is>
      </c>
      <c r="K115" s="234" t="n"/>
      <c r="L115" t="inlineStr">
        <is>
          <t>Open</t>
        </is>
      </c>
    </row>
    <row r="116">
      <c r="A116">
        <f>IF('Job Cards'!A18="","",'Job Cards'!K18)</f>
        <v/>
      </c>
      <c r="B116">
        <f>IF(A116="","",'Job Cards'!A18)</f>
        <v/>
      </c>
      <c r="C116">
        <f>IF(A116="","",'Job Cards'!B18)</f>
        <v/>
      </c>
      <c r="D116">
        <f>IF(A116="","",'Job Cards'!D18)</f>
        <v/>
      </c>
      <c r="E116">
        <f>IF(A116="","",'Job Cards'!E18)</f>
        <v/>
      </c>
      <c r="F116" t="inlineStr">
        <is>
          <t>Kitting</t>
        </is>
      </c>
      <c r="G116" t="n">
        <v>10</v>
      </c>
      <c r="H116" t="inlineStr">
        <is>
          <t>Kitting</t>
        </is>
      </c>
      <c r="I116" t="inlineStr">
        <is>
          <t>Not Started</t>
        </is>
      </c>
      <c r="K116" s="234" t="n"/>
      <c r="L116" t="inlineStr">
        <is>
          <t>Open</t>
        </is>
      </c>
    </row>
    <row r="117">
      <c r="A117">
        <f>IF('Job Cards'!A18="","",'Job Cards'!K18)</f>
        <v/>
      </c>
      <c r="B117">
        <f>IF(A117="","",'Job Cards'!A18)</f>
        <v/>
      </c>
      <c r="C117">
        <f>IF(A117="","",'Job Cards'!B18)</f>
        <v/>
      </c>
      <c r="D117">
        <f>IF(A117="","",'Job Cards'!D18)</f>
        <v/>
      </c>
      <c r="E117">
        <f>IF(A117="","",'Job Cards'!E18)</f>
        <v/>
      </c>
      <c r="F117" t="inlineStr">
        <is>
          <t>Frame / frameset receipt</t>
        </is>
      </c>
      <c r="G117" t="n">
        <v>20</v>
      </c>
      <c r="H117" t="inlineStr">
        <is>
          <t>Frame / frameset receipt</t>
        </is>
      </c>
      <c r="I117" t="inlineStr">
        <is>
          <t>Not Started</t>
        </is>
      </c>
      <c r="K117" s="234" t="n"/>
      <c r="L117" t="inlineStr">
        <is>
          <t>Open</t>
        </is>
      </c>
    </row>
    <row r="118">
      <c r="A118">
        <f>IF('Job Cards'!A18="","",'Job Cards'!K18)</f>
        <v/>
      </c>
      <c r="B118">
        <f>IF(A118="","",'Job Cards'!A18)</f>
        <v/>
      </c>
      <c r="C118">
        <f>IF(A118="","",'Job Cards'!B18)</f>
        <v/>
      </c>
      <c r="D118">
        <f>IF(A118="","",'Job Cards'!D18)</f>
        <v/>
      </c>
      <c r="E118">
        <f>IF(A118="","",'Job Cards'!E18)</f>
        <v/>
      </c>
      <c r="F118" t="inlineStr">
        <is>
          <t>Drivetrain assembly</t>
        </is>
      </c>
      <c r="G118" t="n">
        <v>30</v>
      </c>
      <c r="H118" t="inlineStr">
        <is>
          <t>Drivetrain assembly</t>
        </is>
      </c>
      <c r="I118" t="inlineStr">
        <is>
          <t>Not Started</t>
        </is>
      </c>
      <c r="K118" s="234" t="n"/>
      <c r="L118" t="inlineStr">
        <is>
          <t>Open</t>
        </is>
      </c>
    </row>
    <row r="119">
      <c r="A119">
        <f>IF('Job Cards'!A18="","",'Job Cards'!K18)</f>
        <v/>
      </c>
      <c r="B119">
        <f>IF(A119="","",'Job Cards'!A18)</f>
        <v/>
      </c>
      <c r="C119">
        <f>IF(A119="","",'Job Cards'!B18)</f>
        <v/>
      </c>
      <c r="D119">
        <f>IF(A119="","",'Job Cards'!D18)</f>
        <v/>
      </c>
      <c r="E119">
        <f>IF(A119="","",'Job Cards'!E18)</f>
        <v/>
      </c>
      <c r="F119" t="inlineStr">
        <is>
          <t>Cockpit &amp; controls</t>
        </is>
      </c>
      <c r="G119" t="n">
        <v>40</v>
      </c>
      <c r="H119" t="inlineStr">
        <is>
          <t>Cockpit &amp; controls</t>
        </is>
      </c>
      <c r="I119" t="inlineStr">
        <is>
          <t>Not Started</t>
        </is>
      </c>
      <c r="K119" s="234" t="n"/>
      <c r="L119" t="inlineStr">
        <is>
          <t>Open</t>
        </is>
      </c>
    </row>
    <row r="120">
      <c r="A120">
        <f>IF('Job Cards'!A18="","",'Job Cards'!K18)</f>
        <v/>
      </c>
      <c r="B120">
        <f>IF(A120="","",'Job Cards'!A18)</f>
        <v/>
      </c>
      <c r="C120">
        <f>IF(A120="","",'Job Cards'!B18)</f>
        <v/>
      </c>
      <c r="D120">
        <f>IF(A120="","",'Job Cards'!D18)</f>
        <v/>
      </c>
      <c r="E120">
        <f>IF(A120="","",'Job Cards'!E18)</f>
        <v/>
      </c>
      <c r="F120" t="inlineStr">
        <is>
          <t>Wheel / tyre fitment</t>
        </is>
      </c>
      <c r="G120" t="n">
        <v>50</v>
      </c>
      <c r="H120" t="inlineStr">
        <is>
          <t>Wheel / tyre fitment</t>
        </is>
      </c>
      <c r="I120" t="inlineStr">
        <is>
          <t>Not Started</t>
        </is>
      </c>
      <c r="K120" s="234" t="n"/>
      <c r="L120" t="inlineStr">
        <is>
          <t>Open</t>
        </is>
      </c>
    </row>
    <row r="121">
      <c r="A121">
        <f>IF('Job Cards'!A18="","",'Job Cards'!K18)</f>
        <v/>
      </c>
      <c r="B121">
        <f>IF(A121="","",'Job Cards'!A18)</f>
        <v/>
      </c>
      <c r="C121">
        <f>IF(A121="","",'Job Cards'!B18)</f>
        <v/>
      </c>
      <c r="D121">
        <f>IF(A121="","",'Job Cards'!D18)</f>
        <v/>
      </c>
      <c r="E121">
        <f>IF(A121="","",'Job Cards'!E18)</f>
        <v/>
      </c>
      <c r="F121" t="inlineStr">
        <is>
          <t>Torque &amp; fit inspection</t>
        </is>
      </c>
      <c r="G121" t="n">
        <v>60</v>
      </c>
      <c r="H121" t="inlineStr">
        <is>
          <t>Torque &amp; fit inspection</t>
        </is>
      </c>
      <c r="I121" t="inlineStr">
        <is>
          <t>Not Started</t>
        </is>
      </c>
      <c r="K121" s="234" t="n"/>
      <c r="L121" t="inlineStr">
        <is>
          <t>Open</t>
        </is>
      </c>
    </row>
    <row r="122">
      <c r="A122">
        <f>IF('Job Cards'!A18="","",'Job Cards'!K18)</f>
        <v/>
      </c>
      <c r="B122">
        <f>IF(A122="","",'Job Cards'!A18)</f>
        <v/>
      </c>
      <c r="C122">
        <f>IF(A122="","",'Job Cards'!B18)</f>
        <v/>
      </c>
      <c r="D122">
        <f>IF(A122="","",'Job Cards'!D18)</f>
        <v/>
      </c>
      <c r="E122">
        <f>IF(A122="","",'Job Cards'!E18)</f>
        <v/>
      </c>
      <c r="F122" t="inlineStr">
        <is>
          <t>Final quality</t>
        </is>
      </c>
      <c r="G122" t="n">
        <v>70</v>
      </c>
      <c r="H122" t="inlineStr">
        <is>
          <t>Final quality</t>
        </is>
      </c>
      <c r="I122" t="inlineStr">
        <is>
          <t>Not Started</t>
        </is>
      </c>
      <c r="K122" s="234" t="n"/>
      <c r="L122" t="inlineStr">
        <is>
          <t>Open</t>
        </is>
      </c>
    </row>
    <row r="123">
      <c r="A123">
        <f>IF('Job Cards'!A18="","",'Job Cards'!K18)</f>
        <v/>
      </c>
      <c r="B123">
        <f>IF(A123="","",'Job Cards'!A18)</f>
        <v/>
      </c>
      <c r="C123">
        <f>IF(A123="","",'Job Cards'!B18)</f>
        <v/>
      </c>
      <c r="D123">
        <f>IF(A123="","",'Job Cards'!D18)</f>
        <v/>
      </c>
      <c r="E123">
        <f>IF(A123="","",'Job Cards'!E18)</f>
        <v/>
      </c>
      <c r="F123" t="inlineStr">
        <is>
          <t>Pack &amp; release</t>
        </is>
      </c>
      <c r="G123" t="n">
        <v>80</v>
      </c>
      <c r="H123" t="inlineStr">
        <is>
          <t>Pack &amp; release</t>
        </is>
      </c>
      <c r="I123" t="inlineStr">
        <is>
          <t>Not Started</t>
        </is>
      </c>
      <c r="K123" s="234" t="n"/>
      <c r="L123" t="inlineStr">
        <is>
          <t>Open</t>
        </is>
      </c>
    </row>
    <row r="124">
      <c r="A124">
        <f>IF('Job Cards'!A19="","",'Job Cards'!K19)</f>
        <v/>
      </c>
      <c r="B124">
        <f>IF(A124="","",'Job Cards'!A19)</f>
        <v/>
      </c>
      <c r="C124">
        <f>IF(A124="","",'Job Cards'!B19)</f>
        <v/>
      </c>
      <c r="D124">
        <f>IF(A124="","",'Job Cards'!D19)</f>
        <v/>
      </c>
      <c r="E124">
        <f>IF(A124="","",'Job Cards'!E19)</f>
        <v/>
      </c>
      <c r="F124" t="inlineStr">
        <is>
          <t>Kitting</t>
        </is>
      </c>
      <c r="G124" t="n">
        <v>10</v>
      </c>
      <c r="H124" t="inlineStr">
        <is>
          <t>Kitting</t>
        </is>
      </c>
      <c r="I124" t="inlineStr">
        <is>
          <t>Not Started</t>
        </is>
      </c>
      <c r="K124" s="234" t="n"/>
      <c r="L124" t="inlineStr">
        <is>
          <t>Open</t>
        </is>
      </c>
    </row>
    <row r="125">
      <c r="A125">
        <f>IF('Job Cards'!A19="","",'Job Cards'!K19)</f>
        <v/>
      </c>
      <c r="B125">
        <f>IF(A125="","",'Job Cards'!A19)</f>
        <v/>
      </c>
      <c r="C125">
        <f>IF(A125="","",'Job Cards'!B19)</f>
        <v/>
      </c>
      <c r="D125">
        <f>IF(A125="","",'Job Cards'!D19)</f>
        <v/>
      </c>
      <c r="E125">
        <f>IF(A125="","",'Job Cards'!E19)</f>
        <v/>
      </c>
      <c r="F125" t="inlineStr">
        <is>
          <t>Frame / frameset receipt</t>
        </is>
      </c>
      <c r="G125" t="n">
        <v>20</v>
      </c>
      <c r="H125" t="inlineStr">
        <is>
          <t>Frame / frameset receipt</t>
        </is>
      </c>
      <c r="I125" t="inlineStr">
        <is>
          <t>Not Started</t>
        </is>
      </c>
      <c r="K125" s="234" t="n"/>
      <c r="L125" t="inlineStr">
        <is>
          <t>Open</t>
        </is>
      </c>
    </row>
    <row r="126">
      <c r="A126">
        <f>IF('Job Cards'!A19="","",'Job Cards'!K19)</f>
        <v/>
      </c>
      <c r="B126">
        <f>IF(A126="","",'Job Cards'!A19)</f>
        <v/>
      </c>
      <c r="C126">
        <f>IF(A126="","",'Job Cards'!B19)</f>
        <v/>
      </c>
      <c r="D126">
        <f>IF(A126="","",'Job Cards'!D19)</f>
        <v/>
      </c>
      <c r="E126">
        <f>IF(A126="","",'Job Cards'!E19)</f>
        <v/>
      </c>
      <c r="F126" t="inlineStr">
        <is>
          <t>Drivetrain assembly</t>
        </is>
      </c>
      <c r="G126" t="n">
        <v>30</v>
      </c>
      <c r="H126" t="inlineStr">
        <is>
          <t>Drivetrain assembly</t>
        </is>
      </c>
      <c r="I126" t="inlineStr">
        <is>
          <t>Not Started</t>
        </is>
      </c>
      <c r="K126" s="234" t="n"/>
      <c r="L126" t="inlineStr">
        <is>
          <t>Open</t>
        </is>
      </c>
    </row>
    <row r="127">
      <c r="A127">
        <f>IF('Job Cards'!A19="","",'Job Cards'!K19)</f>
        <v/>
      </c>
      <c r="B127">
        <f>IF(A127="","",'Job Cards'!A19)</f>
        <v/>
      </c>
      <c r="C127">
        <f>IF(A127="","",'Job Cards'!B19)</f>
        <v/>
      </c>
      <c r="D127">
        <f>IF(A127="","",'Job Cards'!D19)</f>
        <v/>
      </c>
      <c r="E127">
        <f>IF(A127="","",'Job Cards'!E19)</f>
        <v/>
      </c>
      <c r="F127" t="inlineStr">
        <is>
          <t>Cockpit &amp; controls</t>
        </is>
      </c>
      <c r="G127" t="n">
        <v>40</v>
      </c>
      <c r="H127" t="inlineStr">
        <is>
          <t>Cockpit &amp; controls</t>
        </is>
      </c>
      <c r="I127" t="inlineStr">
        <is>
          <t>Not Started</t>
        </is>
      </c>
      <c r="K127" s="234" t="n"/>
      <c r="L127" t="inlineStr">
        <is>
          <t>Open</t>
        </is>
      </c>
    </row>
    <row r="128">
      <c r="A128">
        <f>IF('Job Cards'!A19="","",'Job Cards'!K19)</f>
        <v/>
      </c>
      <c r="B128">
        <f>IF(A128="","",'Job Cards'!A19)</f>
        <v/>
      </c>
      <c r="C128">
        <f>IF(A128="","",'Job Cards'!B19)</f>
        <v/>
      </c>
      <c r="D128">
        <f>IF(A128="","",'Job Cards'!D19)</f>
        <v/>
      </c>
      <c r="E128">
        <f>IF(A128="","",'Job Cards'!E19)</f>
        <v/>
      </c>
      <c r="F128" t="inlineStr">
        <is>
          <t>Wheel / tyre fitment</t>
        </is>
      </c>
      <c r="G128" t="n">
        <v>50</v>
      </c>
      <c r="H128" t="inlineStr">
        <is>
          <t>Wheel / tyre fitment</t>
        </is>
      </c>
      <c r="I128" t="inlineStr">
        <is>
          <t>Not Started</t>
        </is>
      </c>
      <c r="K128" s="234" t="n"/>
      <c r="L128" t="inlineStr">
        <is>
          <t>Open</t>
        </is>
      </c>
    </row>
    <row r="129">
      <c r="A129">
        <f>IF('Job Cards'!A19="","",'Job Cards'!K19)</f>
        <v/>
      </c>
      <c r="B129">
        <f>IF(A129="","",'Job Cards'!A19)</f>
        <v/>
      </c>
      <c r="C129">
        <f>IF(A129="","",'Job Cards'!B19)</f>
        <v/>
      </c>
      <c r="D129">
        <f>IF(A129="","",'Job Cards'!D19)</f>
        <v/>
      </c>
      <c r="E129">
        <f>IF(A129="","",'Job Cards'!E19)</f>
        <v/>
      </c>
      <c r="F129" t="inlineStr">
        <is>
          <t>Torque &amp; fit inspection</t>
        </is>
      </c>
      <c r="G129" t="n">
        <v>60</v>
      </c>
      <c r="H129" t="inlineStr">
        <is>
          <t>Torque &amp; fit inspection</t>
        </is>
      </c>
      <c r="I129" t="inlineStr">
        <is>
          <t>Not Started</t>
        </is>
      </c>
      <c r="K129" s="234" t="n"/>
      <c r="L129" t="inlineStr">
        <is>
          <t>Open</t>
        </is>
      </c>
    </row>
    <row r="130">
      <c r="A130">
        <f>IF('Job Cards'!A19="","",'Job Cards'!K19)</f>
        <v/>
      </c>
      <c r="B130">
        <f>IF(A130="","",'Job Cards'!A19)</f>
        <v/>
      </c>
      <c r="C130">
        <f>IF(A130="","",'Job Cards'!B19)</f>
        <v/>
      </c>
      <c r="D130">
        <f>IF(A130="","",'Job Cards'!D19)</f>
        <v/>
      </c>
      <c r="E130">
        <f>IF(A130="","",'Job Cards'!E19)</f>
        <v/>
      </c>
      <c r="F130" t="inlineStr">
        <is>
          <t>Final quality</t>
        </is>
      </c>
      <c r="G130" t="n">
        <v>70</v>
      </c>
      <c r="H130" t="inlineStr">
        <is>
          <t>Final quality</t>
        </is>
      </c>
      <c r="I130" t="inlineStr">
        <is>
          <t>Not Started</t>
        </is>
      </c>
      <c r="K130" s="234" t="n"/>
      <c r="L130" t="inlineStr">
        <is>
          <t>Open</t>
        </is>
      </c>
    </row>
    <row r="131">
      <c r="A131">
        <f>IF('Job Cards'!A19="","",'Job Cards'!K19)</f>
        <v/>
      </c>
      <c r="B131">
        <f>IF(A131="","",'Job Cards'!A19)</f>
        <v/>
      </c>
      <c r="C131">
        <f>IF(A131="","",'Job Cards'!B19)</f>
        <v/>
      </c>
      <c r="D131">
        <f>IF(A131="","",'Job Cards'!D19)</f>
        <v/>
      </c>
      <c r="E131">
        <f>IF(A131="","",'Job Cards'!E19)</f>
        <v/>
      </c>
      <c r="F131" t="inlineStr">
        <is>
          <t>Pack &amp; release</t>
        </is>
      </c>
      <c r="G131" t="n">
        <v>80</v>
      </c>
      <c r="H131" t="inlineStr">
        <is>
          <t>Pack &amp; release</t>
        </is>
      </c>
      <c r="I131" t="inlineStr">
        <is>
          <t>Not Started</t>
        </is>
      </c>
      <c r="K131" s="234" t="n"/>
      <c r="L131" t="inlineStr">
        <is>
          <t>Open</t>
        </is>
      </c>
    </row>
    <row r="132">
      <c r="A132">
        <f>IF('Job Cards'!A20="","",'Job Cards'!K20)</f>
        <v/>
      </c>
      <c r="B132">
        <f>IF(A132="","",'Job Cards'!A20)</f>
        <v/>
      </c>
      <c r="C132">
        <f>IF(A132="","",'Job Cards'!B20)</f>
        <v/>
      </c>
      <c r="D132">
        <f>IF(A132="","",'Job Cards'!D20)</f>
        <v/>
      </c>
      <c r="E132">
        <f>IF(A132="","",'Job Cards'!E20)</f>
        <v/>
      </c>
      <c r="F132" t="inlineStr">
        <is>
          <t>Kitting</t>
        </is>
      </c>
      <c r="G132" t="n">
        <v>10</v>
      </c>
      <c r="H132" t="inlineStr">
        <is>
          <t>Kitting</t>
        </is>
      </c>
      <c r="I132" t="inlineStr">
        <is>
          <t>Not Started</t>
        </is>
      </c>
      <c r="K132" s="234" t="n"/>
      <c r="L132" t="inlineStr">
        <is>
          <t>Open</t>
        </is>
      </c>
    </row>
    <row r="133">
      <c r="A133">
        <f>IF('Job Cards'!A20="","",'Job Cards'!K20)</f>
        <v/>
      </c>
      <c r="B133">
        <f>IF(A133="","",'Job Cards'!A20)</f>
        <v/>
      </c>
      <c r="C133">
        <f>IF(A133="","",'Job Cards'!B20)</f>
        <v/>
      </c>
      <c r="D133">
        <f>IF(A133="","",'Job Cards'!D20)</f>
        <v/>
      </c>
      <c r="E133">
        <f>IF(A133="","",'Job Cards'!E20)</f>
        <v/>
      </c>
      <c r="F133" t="inlineStr">
        <is>
          <t>Frame / frameset receipt</t>
        </is>
      </c>
      <c r="G133" t="n">
        <v>20</v>
      </c>
      <c r="H133" t="inlineStr">
        <is>
          <t>Frame / frameset receipt</t>
        </is>
      </c>
      <c r="I133" t="inlineStr">
        <is>
          <t>Not Started</t>
        </is>
      </c>
      <c r="K133" s="234" t="n"/>
      <c r="L133" t="inlineStr">
        <is>
          <t>Open</t>
        </is>
      </c>
    </row>
    <row r="134">
      <c r="A134">
        <f>IF('Job Cards'!A20="","",'Job Cards'!K20)</f>
        <v/>
      </c>
      <c r="B134">
        <f>IF(A134="","",'Job Cards'!A20)</f>
        <v/>
      </c>
      <c r="C134">
        <f>IF(A134="","",'Job Cards'!B20)</f>
        <v/>
      </c>
      <c r="D134">
        <f>IF(A134="","",'Job Cards'!D20)</f>
        <v/>
      </c>
      <c r="E134">
        <f>IF(A134="","",'Job Cards'!E20)</f>
        <v/>
      </c>
      <c r="F134" t="inlineStr">
        <is>
          <t>Drivetrain assembly</t>
        </is>
      </c>
      <c r="G134" t="n">
        <v>30</v>
      </c>
      <c r="H134" t="inlineStr">
        <is>
          <t>Drivetrain assembly</t>
        </is>
      </c>
      <c r="I134" t="inlineStr">
        <is>
          <t>Not Started</t>
        </is>
      </c>
      <c r="K134" s="234" t="n"/>
      <c r="L134" t="inlineStr">
        <is>
          <t>Open</t>
        </is>
      </c>
    </row>
    <row r="135">
      <c r="A135">
        <f>IF('Job Cards'!A20="","",'Job Cards'!K20)</f>
        <v/>
      </c>
      <c r="B135">
        <f>IF(A135="","",'Job Cards'!A20)</f>
        <v/>
      </c>
      <c r="C135">
        <f>IF(A135="","",'Job Cards'!B20)</f>
        <v/>
      </c>
      <c r="D135">
        <f>IF(A135="","",'Job Cards'!D20)</f>
        <v/>
      </c>
      <c r="E135">
        <f>IF(A135="","",'Job Cards'!E20)</f>
        <v/>
      </c>
      <c r="F135" t="inlineStr">
        <is>
          <t>Cockpit &amp; controls</t>
        </is>
      </c>
      <c r="G135" t="n">
        <v>40</v>
      </c>
      <c r="H135" t="inlineStr">
        <is>
          <t>Cockpit &amp; controls</t>
        </is>
      </c>
      <c r="I135" t="inlineStr">
        <is>
          <t>Not Started</t>
        </is>
      </c>
      <c r="K135" s="234" t="n"/>
      <c r="L135" t="inlineStr">
        <is>
          <t>Open</t>
        </is>
      </c>
    </row>
    <row r="136">
      <c r="A136">
        <f>IF('Job Cards'!A20="","",'Job Cards'!K20)</f>
        <v/>
      </c>
      <c r="B136">
        <f>IF(A136="","",'Job Cards'!A20)</f>
        <v/>
      </c>
      <c r="C136">
        <f>IF(A136="","",'Job Cards'!B20)</f>
        <v/>
      </c>
      <c r="D136">
        <f>IF(A136="","",'Job Cards'!D20)</f>
        <v/>
      </c>
      <c r="E136">
        <f>IF(A136="","",'Job Cards'!E20)</f>
        <v/>
      </c>
      <c r="F136" t="inlineStr">
        <is>
          <t>Wheel / tyre fitment</t>
        </is>
      </c>
      <c r="G136" t="n">
        <v>50</v>
      </c>
      <c r="H136" t="inlineStr">
        <is>
          <t>Wheel / tyre fitment</t>
        </is>
      </c>
      <c r="I136" t="inlineStr">
        <is>
          <t>Not Started</t>
        </is>
      </c>
      <c r="K136" s="234" t="n"/>
      <c r="L136" t="inlineStr">
        <is>
          <t>Open</t>
        </is>
      </c>
    </row>
    <row r="137">
      <c r="A137">
        <f>IF('Job Cards'!A20="","",'Job Cards'!K20)</f>
        <v/>
      </c>
      <c r="B137">
        <f>IF(A137="","",'Job Cards'!A20)</f>
        <v/>
      </c>
      <c r="C137">
        <f>IF(A137="","",'Job Cards'!B20)</f>
        <v/>
      </c>
      <c r="D137">
        <f>IF(A137="","",'Job Cards'!D20)</f>
        <v/>
      </c>
      <c r="E137">
        <f>IF(A137="","",'Job Cards'!E20)</f>
        <v/>
      </c>
      <c r="F137" t="inlineStr">
        <is>
          <t>Torque &amp; fit inspection</t>
        </is>
      </c>
      <c r="G137" t="n">
        <v>60</v>
      </c>
      <c r="H137" t="inlineStr">
        <is>
          <t>Torque &amp; fit inspection</t>
        </is>
      </c>
      <c r="I137" t="inlineStr">
        <is>
          <t>Not Started</t>
        </is>
      </c>
      <c r="K137" s="234" t="n"/>
      <c r="L137" t="inlineStr">
        <is>
          <t>Open</t>
        </is>
      </c>
    </row>
    <row r="138">
      <c r="A138">
        <f>IF('Job Cards'!A20="","",'Job Cards'!K20)</f>
        <v/>
      </c>
      <c r="B138">
        <f>IF(A138="","",'Job Cards'!A20)</f>
        <v/>
      </c>
      <c r="C138">
        <f>IF(A138="","",'Job Cards'!B20)</f>
        <v/>
      </c>
      <c r="D138">
        <f>IF(A138="","",'Job Cards'!D20)</f>
        <v/>
      </c>
      <c r="E138">
        <f>IF(A138="","",'Job Cards'!E20)</f>
        <v/>
      </c>
      <c r="F138" t="inlineStr">
        <is>
          <t>Final quality</t>
        </is>
      </c>
      <c r="G138" t="n">
        <v>70</v>
      </c>
      <c r="H138" t="inlineStr">
        <is>
          <t>Final quality</t>
        </is>
      </c>
      <c r="I138" t="inlineStr">
        <is>
          <t>Not Started</t>
        </is>
      </c>
      <c r="K138" s="234" t="n"/>
      <c r="L138" t="inlineStr">
        <is>
          <t>Open</t>
        </is>
      </c>
    </row>
    <row r="139">
      <c r="A139">
        <f>IF('Job Cards'!A20="","",'Job Cards'!K20)</f>
        <v/>
      </c>
      <c r="B139">
        <f>IF(A139="","",'Job Cards'!A20)</f>
        <v/>
      </c>
      <c r="C139">
        <f>IF(A139="","",'Job Cards'!B20)</f>
        <v/>
      </c>
      <c r="D139">
        <f>IF(A139="","",'Job Cards'!D20)</f>
        <v/>
      </c>
      <c r="E139">
        <f>IF(A139="","",'Job Cards'!E20)</f>
        <v/>
      </c>
      <c r="F139" t="inlineStr">
        <is>
          <t>Pack &amp; release</t>
        </is>
      </c>
      <c r="G139" t="n">
        <v>80</v>
      </c>
      <c r="H139" t="inlineStr">
        <is>
          <t>Pack &amp; release</t>
        </is>
      </c>
      <c r="I139" t="inlineStr">
        <is>
          <t>Not Started</t>
        </is>
      </c>
      <c r="K139" s="234" t="n"/>
      <c r="L139" t="inlineStr">
        <is>
          <t>Open</t>
        </is>
      </c>
    </row>
    <row r="140">
      <c r="A140">
        <f>IF('Job Cards'!A21="","",'Job Cards'!K21)</f>
        <v/>
      </c>
      <c r="B140">
        <f>IF(A140="","",'Job Cards'!A21)</f>
        <v/>
      </c>
      <c r="C140">
        <f>IF(A140="","",'Job Cards'!B21)</f>
        <v/>
      </c>
      <c r="D140">
        <f>IF(A140="","",'Job Cards'!D21)</f>
        <v/>
      </c>
      <c r="E140">
        <f>IF(A140="","",'Job Cards'!E21)</f>
        <v/>
      </c>
      <c r="F140" t="inlineStr">
        <is>
          <t>Kitting</t>
        </is>
      </c>
      <c r="G140" t="n">
        <v>10</v>
      </c>
      <c r="H140" t="inlineStr">
        <is>
          <t>Kitting</t>
        </is>
      </c>
      <c r="I140" t="inlineStr">
        <is>
          <t>Not Started</t>
        </is>
      </c>
      <c r="K140" s="234" t="n"/>
      <c r="L140" t="inlineStr">
        <is>
          <t>Open</t>
        </is>
      </c>
    </row>
    <row r="141">
      <c r="A141">
        <f>IF('Job Cards'!A21="","",'Job Cards'!K21)</f>
        <v/>
      </c>
      <c r="B141">
        <f>IF(A141="","",'Job Cards'!A21)</f>
        <v/>
      </c>
      <c r="C141">
        <f>IF(A141="","",'Job Cards'!B21)</f>
        <v/>
      </c>
      <c r="D141">
        <f>IF(A141="","",'Job Cards'!D21)</f>
        <v/>
      </c>
      <c r="E141">
        <f>IF(A141="","",'Job Cards'!E21)</f>
        <v/>
      </c>
      <c r="F141" t="inlineStr">
        <is>
          <t>Frame / frameset receipt</t>
        </is>
      </c>
      <c r="G141" t="n">
        <v>20</v>
      </c>
      <c r="H141" t="inlineStr">
        <is>
          <t>Frame / frameset receipt</t>
        </is>
      </c>
      <c r="I141" t="inlineStr">
        <is>
          <t>Not Started</t>
        </is>
      </c>
      <c r="K141" s="234" t="n"/>
      <c r="L141" t="inlineStr">
        <is>
          <t>Open</t>
        </is>
      </c>
    </row>
    <row r="142">
      <c r="A142">
        <f>IF('Job Cards'!A21="","",'Job Cards'!K21)</f>
        <v/>
      </c>
      <c r="B142">
        <f>IF(A142="","",'Job Cards'!A21)</f>
        <v/>
      </c>
      <c r="C142">
        <f>IF(A142="","",'Job Cards'!B21)</f>
        <v/>
      </c>
      <c r="D142">
        <f>IF(A142="","",'Job Cards'!D21)</f>
        <v/>
      </c>
      <c r="E142">
        <f>IF(A142="","",'Job Cards'!E21)</f>
        <v/>
      </c>
      <c r="F142" t="inlineStr">
        <is>
          <t>Drivetrain assembly</t>
        </is>
      </c>
      <c r="G142" t="n">
        <v>30</v>
      </c>
      <c r="H142" t="inlineStr">
        <is>
          <t>Drivetrain assembly</t>
        </is>
      </c>
      <c r="I142" t="inlineStr">
        <is>
          <t>Not Started</t>
        </is>
      </c>
      <c r="K142" s="234" t="n"/>
      <c r="L142" t="inlineStr">
        <is>
          <t>Open</t>
        </is>
      </c>
    </row>
    <row r="143">
      <c r="A143">
        <f>IF('Job Cards'!A21="","",'Job Cards'!K21)</f>
        <v/>
      </c>
      <c r="B143">
        <f>IF(A143="","",'Job Cards'!A21)</f>
        <v/>
      </c>
      <c r="C143">
        <f>IF(A143="","",'Job Cards'!B21)</f>
        <v/>
      </c>
      <c r="D143">
        <f>IF(A143="","",'Job Cards'!D21)</f>
        <v/>
      </c>
      <c r="E143">
        <f>IF(A143="","",'Job Cards'!E21)</f>
        <v/>
      </c>
      <c r="F143" t="inlineStr">
        <is>
          <t>Cockpit &amp; controls</t>
        </is>
      </c>
      <c r="G143" t="n">
        <v>40</v>
      </c>
      <c r="H143" t="inlineStr">
        <is>
          <t>Cockpit &amp; controls</t>
        </is>
      </c>
      <c r="I143" t="inlineStr">
        <is>
          <t>Not Started</t>
        </is>
      </c>
      <c r="K143" s="234" t="n"/>
      <c r="L143" t="inlineStr">
        <is>
          <t>Open</t>
        </is>
      </c>
    </row>
    <row r="144">
      <c r="A144">
        <f>IF('Job Cards'!A21="","",'Job Cards'!K21)</f>
        <v/>
      </c>
      <c r="B144">
        <f>IF(A144="","",'Job Cards'!A21)</f>
        <v/>
      </c>
      <c r="C144">
        <f>IF(A144="","",'Job Cards'!B21)</f>
        <v/>
      </c>
      <c r="D144">
        <f>IF(A144="","",'Job Cards'!D21)</f>
        <v/>
      </c>
      <c r="E144">
        <f>IF(A144="","",'Job Cards'!E21)</f>
        <v/>
      </c>
      <c r="F144" t="inlineStr">
        <is>
          <t>Wheel / tyre fitment</t>
        </is>
      </c>
      <c r="G144" t="n">
        <v>50</v>
      </c>
      <c r="H144" t="inlineStr">
        <is>
          <t>Wheel / tyre fitment</t>
        </is>
      </c>
      <c r="I144" t="inlineStr">
        <is>
          <t>Not Started</t>
        </is>
      </c>
      <c r="K144" s="234" t="n"/>
      <c r="L144" t="inlineStr">
        <is>
          <t>Open</t>
        </is>
      </c>
    </row>
    <row r="145">
      <c r="A145">
        <f>IF('Job Cards'!A21="","",'Job Cards'!K21)</f>
        <v/>
      </c>
      <c r="B145">
        <f>IF(A145="","",'Job Cards'!A21)</f>
        <v/>
      </c>
      <c r="C145">
        <f>IF(A145="","",'Job Cards'!B21)</f>
        <v/>
      </c>
      <c r="D145">
        <f>IF(A145="","",'Job Cards'!D21)</f>
        <v/>
      </c>
      <c r="E145">
        <f>IF(A145="","",'Job Cards'!E21)</f>
        <v/>
      </c>
      <c r="F145" t="inlineStr">
        <is>
          <t>Torque &amp; fit inspection</t>
        </is>
      </c>
      <c r="G145" t="n">
        <v>60</v>
      </c>
      <c r="H145" t="inlineStr">
        <is>
          <t>Torque &amp; fit inspection</t>
        </is>
      </c>
      <c r="I145" t="inlineStr">
        <is>
          <t>Not Started</t>
        </is>
      </c>
      <c r="K145" s="234" t="n"/>
      <c r="L145" t="inlineStr">
        <is>
          <t>Open</t>
        </is>
      </c>
    </row>
    <row r="146">
      <c r="A146">
        <f>IF('Job Cards'!A21="","",'Job Cards'!K21)</f>
        <v/>
      </c>
      <c r="B146">
        <f>IF(A146="","",'Job Cards'!A21)</f>
        <v/>
      </c>
      <c r="C146">
        <f>IF(A146="","",'Job Cards'!B21)</f>
        <v/>
      </c>
      <c r="D146">
        <f>IF(A146="","",'Job Cards'!D21)</f>
        <v/>
      </c>
      <c r="E146">
        <f>IF(A146="","",'Job Cards'!E21)</f>
        <v/>
      </c>
      <c r="F146" t="inlineStr">
        <is>
          <t>Final quality</t>
        </is>
      </c>
      <c r="G146" t="n">
        <v>70</v>
      </c>
      <c r="H146" t="inlineStr">
        <is>
          <t>Final quality</t>
        </is>
      </c>
      <c r="I146" t="inlineStr">
        <is>
          <t>Not Started</t>
        </is>
      </c>
      <c r="K146" s="234" t="n"/>
      <c r="L146" t="inlineStr">
        <is>
          <t>Open</t>
        </is>
      </c>
    </row>
    <row r="147">
      <c r="A147">
        <f>IF('Job Cards'!A21="","",'Job Cards'!K21)</f>
        <v/>
      </c>
      <c r="B147">
        <f>IF(A147="","",'Job Cards'!A21)</f>
        <v/>
      </c>
      <c r="C147">
        <f>IF(A147="","",'Job Cards'!B21)</f>
        <v/>
      </c>
      <c r="D147">
        <f>IF(A147="","",'Job Cards'!D21)</f>
        <v/>
      </c>
      <c r="E147">
        <f>IF(A147="","",'Job Cards'!E21)</f>
        <v/>
      </c>
      <c r="F147" t="inlineStr">
        <is>
          <t>Pack &amp; release</t>
        </is>
      </c>
      <c r="G147" t="n">
        <v>80</v>
      </c>
      <c r="H147" t="inlineStr">
        <is>
          <t>Pack &amp; release</t>
        </is>
      </c>
      <c r="I147" t="inlineStr">
        <is>
          <t>Not Started</t>
        </is>
      </c>
      <c r="K147" s="234" t="n"/>
      <c r="L147" t="inlineStr">
        <is>
          <t>Open</t>
        </is>
      </c>
    </row>
    <row r="148">
      <c r="A148">
        <f>IF('Job Cards'!A22="","",'Job Cards'!K22)</f>
        <v/>
      </c>
      <c r="B148">
        <f>IF(A148="","",'Job Cards'!A22)</f>
        <v/>
      </c>
      <c r="C148">
        <f>IF(A148="","",'Job Cards'!B22)</f>
        <v/>
      </c>
      <c r="D148">
        <f>IF(A148="","",'Job Cards'!D22)</f>
        <v/>
      </c>
      <c r="E148">
        <f>IF(A148="","",'Job Cards'!E22)</f>
        <v/>
      </c>
      <c r="F148" t="inlineStr">
        <is>
          <t>Kitting</t>
        </is>
      </c>
      <c r="G148" t="n">
        <v>10</v>
      </c>
      <c r="H148" t="inlineStr">
        <is>
          <t>Kitting</t>
        </is>
      </c>
      <c r="I148" t="inlineStr">
        <is>
          <t>Not Started</t>
        </is>
      </c>
      <c r="K148" s="234" t="n"/>
      <c r="L148" t="inlineStr">
        <is>
          <t>Open</t>
        </is>
      </c>
    </row>
    <row r="149">
      <c r="A149">
        <f>IF('Job Cards'!A22="","",'Job Cards'!K22)</f>
        <v/>
      </c>
      <c r="B149">
        <f>IF(A149="","",'Job Cards'!A22)</f>
        <v/>
      </c>
      <c r="C149">
        <f>IF(A149="","",'Job Cards'!B22)</f>
        <v/>
      </c>
      <c r="D149">
        <f>IF(A149="","",'Job Cards'!D22)</f>
        <v/>
      </c>
      <c r="E149">
        <f>IF(A149="","",'Job Cards'!E22)</f>
        <v/>
      </c>
      <c r="F149" t="inlineStr">
        <is>
          <t>Frame / frameset receipt</t>
        </is>
      </c>
      <c r="G149" t="n">
        <v>20</v>
      </c>
      <c r="H149" t="inlineStr">
        <is>
          <t>Frame / frameset receipt</t>
        </is>
      </c>
      <c r="I149" t="inlineStr">
        <is>
          <t>Not Started</t>
        </is>
      </c>
      <c r="K149" s="234" t="n"/>
      <c r="L149" t="inlineStr">
        <is>
          <t>Open</t>
        </is>
      </c>
    </row>
    <row r="150">
      <c r="A150">
        <f>IF('Job Cards'!A22="","",'Job Cards'!K22)</f>
        <v/>
      </c>
      <c r="B150">
        <f>IF(A150="","",'Job Cards'!A22)</f>
        <v/>
      </c>
      <c r="C150">
        <f>IF(A150="","",'Job Cards'!B22)</f>
        <v/>
      </c>
      <c r="D150">
        <f>IF(A150="","",'Job Cards'!D22)</f>
        <v/>
      </c>
      <c r="E150">
        <f>IF(A150="","",'Job Cards'!E22)</f>
        <v/>
      </c>
      <c r="F150" t="inlineStr">
        <is>
          <t>Drivetrain assembly</t>
        </is>
      </c>
      <c r="G150" t="n">
        <v>30</v>
      </c>
      <c r="H150" t="inlineStr">
        <is>
          <t>Drivetrain assembly</t>
        </is>
      </c>
      <c r="I150" t="inlineStr">
        <is>
          <t>Not Started</t>
        </is>
      </c>
      <c r="K150" s="234" t="n"/>
      <c r="L150" t="inlineStr">
        <is>
          <t>Open</t>
        </is>
      </c>
    </row>
    <row r="151">
      <c r="A151">
        <f>IF('Job Cards'!A22="","",'Job Cards'!K22)</f>
        <v/>
      </c>
      <c r="B151">
        <f>IF(A151="","",'Job Cards'!A22)</f>
        <v/>
      </c>
      <c r="C151">
        <f>IF(A151="","",'Job Cards'!B22)</f>
        <v/>
      </c>
      <c r="D151">
        <f>IF(A151="","",'Job Cards'!D22)</f>
        <v/>
      </c>
      <c r="E151">
        <f>IF(A151="","",'Job Cards'!E22)</f>
        <v/>
      </c>
      <c r="F151" t="inlineStr">
        <is>
          <t>Cockpit &amp; controls</t>
        </is>
      </c>
      <c r="G151" t="n">
        <v>40</v>
      </c>
      <c r="H151" t="inlineStr">
        <is>
          <t>Cockpit &amp; controls</t>
        </is>
      </c>
      <c r="I151" t="inlineStr">
        <is>
          <t>Not Started</t>
        </is>
      </c>
      <c r="K151" s="234" t="n"/>
      <c r="L151" t="inlineStr">
        <is>
          <t>Open</t>
        </is>
      </c>
    </row>
    <row r="152">
      <c r="A152">
        <f>IF('Job Cards'!A22="","",'Job Cards'!K22)</f>
        <v/>
      </c>
      <c r="B152">
        <f>IF(A152="","",'Job Cards'!A22)</f>
        <v/>
      </c>
      <c r="C152">
        <f>IF(A152="","",'Job Cards'!B22)</f>
        <v/>
      </c>
      <c r="D152">
        <f>IF(A152="","",'Job Cards'!D22)</f>
        <v/>
      </c>
      <c r="E152">
        <f>IF(A152="","",'Job Cards'!E22)</f>
        <v/>
      </c>
      <c r="F152" t="inlineStr">
        <is>
          <t>Wheel / tyre fitment</t>
        </is>
      </c>
      <c r="G152" t="n">
        <v>50</v>
      </c>
      <c r="H152" t="inlineStr">
        <is>
          <t>Wheel / tyre fitment</t>
        </is>
      </c>
      <c r="I152" t="inlineStr">
        <is>
          <t>Not Started</t>
        </is>
      </c>
      <c r="K152" s="234" t="n"/>
      <c r="L152" t="inlineStr">
        <is>
          <t>Open</t>
        </is>
      </c>
    </row>
    <row r="153">
      <c r="A153">
        <f>IF('Job Cards'!A22="","",'Job Cards'!K22)</f>
        <v/>
      </c>
      <c r="B153">
        <f>IF(A153="","",'Job Cards'!A22)</f>
        <v/>
      </c>
      <c r="C153">
        <f>IF(A153="","",'Job Cards'!B22)</f>
        <v/>
      </c>
      <c r="D153">
        <f>IF(A153="","",'Job Cards'!D22)</f>
        <v/>
      </c>
      <c r="E153">
        <f>IF(A153="","",'Job Cards'!E22)</f>
        <v/>
      </c>
      <c r="F153" t="inlineStr">
        <is>
          <t>Torque &amp; fit inspection</t>
        </is>
      </c>
      <c r="G153" t="n">
        <v>60</v>
      </c>
      <c r="H153" t="inlineStr">
        <is>
          <t>Torque &amp; fit inspection</t>
        </is>
      </c>
      <c r="I153" t="inlineStr">
        <is>
          <t>Not Started</t>
        </is>
      </c>
      <c r="K153" s="234" t="n"/>
      <c r="L153" t="inlineStr">
        <is>
          <t>Open</t>
        </is>
      </c>
    </row>
    <row r="154">
      <c r="A154">
        <f>IF('Job Cards'!A22="","",'Job Cards'!K22)</f>
        <v/>
      </c>
      <c r="B154">
        <f>IF(A154="","",'Job Cards'!A22)</f>
        <v/>
      </c>
      <c r="C154">
        <f>IF(A154="","",'Job Cards'!B22)</f>
        <v/>
      </c>
      <c r="D154">
        <f>IF(A154="","",'Job Cards'!D22)</f>
        <v/>
      </c>
      <c r="E154">
        <f>IF(A154="","",'Job Cards'!E22)</f>
        <v/>
      </c>
      <c r="F154" t="inlineStr">
        <is>
          <t>Final quality</t>
        </is>
      </c>
      <c r="G154" t="n">
        <v>70</v>
      </c>
      <c r="H154" t="inlineStr">
        <is>
          <t>Final quality</t>
        </is>
      </c>
      <c r="I154" t="inlineStr">
        <is>
          <t>Not Started</t>
        </is>
      </c>
      <c r="K154" s="234" t="n"/>
      <c r="L154" t="inlineStr">
        <is>
          <t>Open</t>
        </is>
      </c>
    </row>
    <row r="155">
      <c r="A155">
        <f>IF('Job Cards'!A22="","",'Job Cards'!K22)</f>
        <v/>
      </c>
      <c r="B155">
        <f>IF(A155="","",'Job Cards'!A22)</f>
        <v/>
      </c>
      <c r="C155">
        <f>IF(A155="","",'Job Cards'!B22)</f>
        <v/>
      </c>
      <c r="D155">
        <f>IF(A155="","",'Job Cards'!D22)</f>
        <v/>
      </c>
      <c r="E155">
        <f>IF(A155="","",'Job Cards'!E22)</f>
        <v/>
      </c>
      <c r="F155" t="inlineStr">
        <is>
          <t>Pack &amp; release</t>
        </is>
      </c>
      <c r="G155" t="n">
        <v>80</v>
      </c>
      <c r="H155" t="inlineStr">
        <is>
          <t>Pack &amp; release</t>
        </is>
      </c>
      <c r="I155" t="inlineStr">
        <is>
          <t>Not Started</t>
        </is>
      </c>
      <c r="K155" s="234" t="n"/>
      <c r="L155" t="inlineStr">
        <is>
          <t>Open</t>
        </is>
      </c>
    </row>
    <row r="156">
      <c r="A156">
        <f>IF('Job Cards'!A23="","",'Job Cards'!K23)</f>
        <v/>
      </c>
      <c r="B156">
        <f>IF(A156="","",'Job Cards'!A23)</f>
        <v/>
      </c>
      <c r="C156">
        <f>IF(A156="","",'Job Cards'!B23)</f>
        <v/>
      </c>
      <c r="D156">
        <f>IF(A156="","",'Job Cards'!D23)</f>
        <v/>
      </c>
      <c r="E156">
        <f>IF(A156="","",'Job Cards'!E23)</f>
        <v/>
      </c>
      <c r="F156" t="inlineStr">
        <is>
          <t>Kitting</t>
        </is>
      </c>
      <c r="G156" t="n">
        <v>10</v>
      </c>
      <c r="H156" t="inlineStr">
        <is>
          <t>Kitting</t>
        </is>
      </c>
      <c r="I156" t="inlineStr">
        <is>
          <t>Not Started</t>
        </is>
      </c>
      <c r="K156" s="234" t="n"/>
      <c r="L156" t="inlineStr">
        <is>
          <t>Open</t>
        </is>
      </c>
    </row>
    <row r="157">
      <c r="A157">
        <f>IF('Job Cards'!A23="","",'Job Cards'!K23)</f>
        <v/>
      </c>
      <c r="B157">
        <f>IF(A157="","",'Job Cards'!A23)</f>
        <v/>
      </c>
      <c r="C157">
        <f>IF(A157="","",'Job Cards'!B23)</f>
        <v/>
      </c>
      <c r="D157">
        <f>IF(A157="","",'Job Cards'!D23)</f>
        <v/>
      </c>
      <c r="E157">
        <f>IF(A157="","",'Job Cards'!E23)</f>
        <v/>
      </c>
      <c r="F157" t="inlineStr">
        <is>
          <t>Frame / frameset receipt</t>
        </is>
      </c>
      <c r="G157" t="n">
        <v>20</v>
      </c>
      <c r="H157" t="inlineStr">
        <is>
          <t>Frame / frameset receipt</t>
        </is>
      </c>
      <c r="I157" t="inlineStr">
        <is>
          <t>Not Started</t>
        </is>
      </c>
      <c r="K157" s="234" t="n"/>
      <c r="L157" t="inlineStr">
        <is>
          <t>Open</t>
        </is>
      </c>
    </row>
    <row r="158">
      <c r="A158">
        <f>IF('Job Cards'!A23="","",'Job Cards'!K23)</f>
        <v/>
      </c>
      <c r="B158">
        <f>IF(A158="","",'Job Cards'!A23)</f>
        <v/>
      </c>
      <c r="C158">
        <f>IF(A158="","",'Job Cards'!B23)</f>
        <v/>
      </c>
      <c r="D158">
        <f>IF(A158="","",'Job Cards'!D23)</f>
        <v/>
      </c>
      <c r="E158">
        <f>IF(A158="","",'Job Cards'!E23)</f>
        <v/>
      </c>
      <c r="F158" t="inlineStr">
        <is>
          <t>Drivetrain assembly</t>
        </is>
      </c>
      <c r="G158" t="n">
        <v>30</v>
      </c>
      <c r="H158" t="inlineStr">
        <is>
          <t>Drivetrain assembly</t>
        </is>
      </c>
      <c r="I158" t="inlineStr">
        <is>
          <t>Not Started</t>
        </is>
      </c>
      <c r="K158" s="234" t="n"/>
      <c r="L158" t="inlineStr">
        <is>
          <t>Open</t>
        </is>
      </c>
    </row>
    <row r="159">
      <c r="A159">
        <f>IF('Job Cards'!A23="","",'Job Cards'!K23)</f>
        <v/>
      </c>
      <c r="B159">
        <f>IF(A159="","",'Job Cards'!A23)</f>
        <v/>
      </c>
      <c r="C159">
        <f>IF(A159="","",'Job Cards'!B23)</f>
        <v/>
      </c>
      <c r="D159">
        <f>IF(A159="","",'Job Cards'!D23)</f>
        <v/>
      </c>
      <c r="E159">
        <f>IF(A159="","",'Job Cards'!E23)</f>
        <v/>
      </c>
      <c r="F159" t="inlineStr">
        <is>
          <t>Cockpit &amp; controls</t>
        </is>
      </c>
      <c r="G159" t="n">
        <v>40</v>
      </c>
      <c r="H159" t="inlineStr">
        <is>
          <t>Cockpit &amp; controls</t>
        </is>
      </c>
      <c r="I159" t="inlineStr">
        <is>
          <t>Not Started</t>
        </is>
      </c>
      <c r="K159" s="234" t="n"/>
      <c r="L159" t="inlineStr">
        <is>
          <t>Open</t>
        </is>
      </c>
    </row>
    <row r="160">
      <c r="A160">
        <f>IF('Job Cards'!A23="","",'Job Cards'!K23)</f>
        <v/>
      </c>
      <c r="B160">
        <f>IF(A160="","",'Job Cards'!A23)</f>
        <v/>
      </c>
      <c r="C160">
        <f>IF(A160="","",'Job Cards'!B23)</f>
        <v/>
      </c>
      <c r="D160">
        <f>IF(A160="","",'Job Cards'!D23)</f>
        <v/>
      </c>
      <c r="E160">
        <f>IF(A160="","",'Job Cards'!E23)</f>
        <v/>
      </c>
      <c r="F160" t="inlineStr">
        <is>
          <t>Wheel / tyre fitment</t>
        </is>
      </c>
      <c r="G160" t="n">
        <v>50</v>
      </c>
      <c r="H160" t="inlineStr">
        <is>
          <t>Wheel / tyre fitment</t>
        </is>
      </c>
      <c r="I160" t="inlineStr">
        <is>
          <t>Not Started</t>
        </is>
      </c>
      <c r="K160" s="234" t="n"/>
      <c r="L160" t="inlineStr">
        <is>
          <t>Open</t>
        </is>
      </c>
    </row>
    <row r="161">
      <c r="A161">
        <f>IF('Job Cards'!A23="","",'Job Cards'!K23)</f>
        <v/>
      </c>
      <c r="B161">
        <f>IF(A161="","",'Job Cards'!A23)</f>
        <v/>
      </c>
      <c r="C161">
        <f>IF(A161="","",'Job Cards'!B23)</f>
        <v/>
      </c>
      <c r="D161">
        <f>IF(A161="","",'Job Cards'!D23)</f>
        <v/>
      </c>
      <c r="E161">
        <f>IF(A161="","",'Job Cards'!E23)</f>
        <v/>
      </c>
      <c r="F161" t="inlineStr">
        <is>
          <t>Torque &amp; fit inspection</t>
        </is>
      </c>
      <c r="G161" t="n">
        <v>60</v>
      </c>
      <c r="H161" t="inlineStr">
        <is>
          <t>Torque &amp; fit inspection</t>
        </is>
      </c>
      <c r="I161" t="inlineStr">
        <is>
          <t>Not Started</t>
        </is>
      </c>
      <c r="K161" s="234" t="n"/>
      <c r="L161" t="inlineStr">
        <is>
          <t>Open</t>
        </is>
      </c>
    </row>
    <row r="162">
      <c r="A162">
        <f>IF('Job Cards'!A23="","",'Job Cards'!K23)</f>
        <v/>
      </c>
      <c r="B162">
        <f>IF(A162="","",'Job Cards'!A23)</f>
        <v/>
      </c>
      <c r="C162">
        <f>IF(A162="","",'Job Cards'!B23)</f>
        <v/>
      </c>
      <c r="D162">
        <f>IF(A162="","",'Job Cards'!D23)</f>
        <v/>
      </c>
      <c r="E162">
        <f>IF(A162="","",'Job Cards'!E23)</f>
        <v/>
      </c>
      <c r="F162" t="inlineStr">
        <is>
          <t>Final quality</t>
        </is>
      </c>
      <c r="G162" t="n">
        <v>70</v>
      </c>
      <c r="H162" t="inlineStr">
        <is>
          <t>Final quality</t>
        </is>
      </c>
      <c r="I162" t="inlineStr">
        <is>
          <t>Not Started</t>
        </is>
      </c>
      <c r="K162" s="234" t="n"/>
      <c r="L162" t="inlineStr">
        <is>
          <t>Open</t>
        </is>
      </c>
    </row>
    <row r="163">
      <c r="A163">
        <f>IF('Job Cards'!A23="","",'Job Cards'!K23)</f>
        <v/>
      </c>
      <c r="B163">
        <f>IF(A163="","",'Job Cards'!A23)</f>
        <v/>
      </c>
      <c r="C163">
        <f>IF(A163="","",'Job Cards'!B23)</f>
        <v/>
      </c>
      <c r="D163">
        <f>IF(A163="","",'Job Cards'!D23)</f>
        <v/>
      </c>
      <c r="E163">
        <f>IF(A163="","",'Job Cards'!E23)</f>
        <v/>
      </c>
      <c r="F163" t="inlineStr">
        <is>
          <t>Pack &amp; release</t>
        </is>
      </c>
      <c r="G163" t="n">
        <v>80</v>
      </c>
      <c r="H163" t="inlineStr">
        <is>
          <t>Pack &amp; release</t>
        </is>
      </c>
      <c r="I163" t="inlineStr">
        <is>
          <t>Not Started</t>
        </is>
      </c>
      <c r="K163" s="234" t="n"/>
      <c r="L163" t="inlineStr">
        <is>
          <t>Open</t>
        </is>
      </c>
    </row>
    <row r="164">
      <c r="A164">
        <f>IF('Job Cards'!A24="","",'Job Cards'!K24)</f>
        <v/>
      </c>
      <c r="B164">
        <f>IF(A164="","",'Job Cards'!A24)</f>
        <v/>
      </c>
      <c r="C164">
        <f>IF(A164="","",'Job Cards'!B24)</f>
        <v/>
      </c>
      <c r="D164">
        <f>IF(A164="","",'Job Cards'!D24)</f>
        <v/>
      </c>
      <c r="E164">
        <f>IF(A164="","",'Job Cards'!E24)</f>
        <v/>
      </c>
      <c r="F164" t="inlineStr">
        <is>
          <t>Kitting</t>
        </is>
      </c>
      <c r="G164" t="n">
        <v>10</v>
      </c>
      <c r="H164" t="inlineStr">
        <is>
          <t>Kitting</t>
        </is>
      </c>
      <c r="I164" t="inlineStr">
        <is>
          <t>Not Started</t>
        </is>
      </c>
      <c r="K164" s="234" t="n"/>
      <c r="L164" t="inlineStr">
        <is>
          <t>Open</t>
        </is>
      </c>
    </row>
    <row r="165">
      <c r="A165">
        <f>IF('Job Cards'!A24="","",'Job Cards'!K24)</f>
        <v/>
      </c>
      <c r="B165">
        <f>IF(A165="","",'Job Cards'!A24)</f>
        <v/>
      </c>
      <c r="C165">
        <f>IF(A165="","",'Job Cards'!B24)</f>
        <v/>
      </c>
      <c r="D165">
        <f>IF(A165="","",'Job Cards'!D24)</f>
        <v/>
      </c>
      <c r="E165">
        <f>IF(A165="","",'Job Cards'!E24)</f>
        <v/>
      </c>
      <c r="F165" t="inlineStr">
        <is>
          <t>Frame / frameset receipt</t>
        </is>
      </c>
      <c r="G165" t="n">
        <v>20</v>
      </c>
      <c r="H165" t="inlineStr">
        <is>
          <t>Frame / frameset receipt</t>
        </is>
      </c>
      <c r="I165" t="inlineStr">
        <is>
          <t>Not Started</t>
        </is>
      </c>
      <c r="K165" s="234" t="n"/>
      <c r="L165" t="inlineStr">
        <is>
          <t>Open</t>
        </is>
      </c>
    </row>
    <row r="166">
      <c r="A166">
        <f>IF('Job Cards'!A24="","",'Job Cards'!K24)</f>
        <v/>
      </c>
      <c r="B166">
        <f>IF(A166="","",'Job Cards'!A24)</f>
        <v/>
      </c>
      <c r="C166">
        <f>IF(A166="","",'Job Cards'!B24)</f>
        <v/>
      </c>
      <c r="D166">
        <f>IF(A166="","",'Job Cards'!D24)</f>
        <v/>
      </c>
      <c r="E166">
        <f>IF(A166="","",'Job Cards'!E24)</f>
        <v/>
      </c>
      <c r="F166" t="inlineStr">
        <is>
          <t>Drivetrain assembly</t>
        </is>
      </c>
      <c r="G166" t="n">
        <v>30</v>
      </c>
      <c r="H166" t="inlineStr">
        <is>
          <t>Drivetrain assembly</t>
        </is>
      </c>
      <c r="I166" t="inlineStr">
        <is>
          <t>Not Started</t>
        </is>
      </c>
      <c r="K166" s="234" t="n"/>
      <c r="L166" t="inlineStr">
        <is>
          <t>Open</t>
        </is>
      </c>
    </row>
    <row r="167">
      <c r="A167">
        <f>IF('Job Cards'!A24="","",'Job Cards'!K24)</f>
        <v/>
      </c>
      <c r="B167">
        <f>IF(A167="","",'Job Cards'!A24)</f>
        <v/>
      </c>
      <c r="C167">
        <f>IF(A167="","",'Job Cards'!B24)</f>
        <v/>
      </c>
      <c r="D167">
        <f>IF(A167="","",'Job Cards'!D24)</f>
        <v/>
      </c>
      <c r="E167">
        <f>IF(A167="","",'Job Cards'!E24)</f>
        <v/>
      </c>
      <c r="F167" t="inlineStr">
        <is>
          <t>Cockpit &amp; controls</t>
        </is>
      </c>
      <c r="G167" t="n">
        <v>40</v>
      </c>
      <c r="H167" t="inlineStr">
        <is>
          <t>Cockpit &amp; controls</t>
        </is>
      </c>
      <c r="I167" t="inlineStr">
        <is>
          <t>Not Started</t>
        </is>
      </c>
      <c r="K167" s="234" t="n"/>
      <c r="L167" t="inlineStr">
        <is>
          <t>Open</t>
        </is>
      </c>
    </row>
    <row r="168">
      <c r="A168">
        <f>IF('Job Cards'!A24="","",'Job Cards'!K24)</f>
        <v/>
      </c>
      <c r="B168">
        <f>IF(A168="","",'Job Cards'!A24)</f>
        <v/>
      </c>
      <c r="C168">
        <f>IF(A168="","",'Job Cards'!B24)</f>
        <v/>
      </c>
      <c r="D168">
        <f>IF(A168="","",'Job Cards'!D24)</f>
        <v/>
      </c>
      <c r="E168">
        <f>IF(A168="","",'Job Cards'!E24)</f>
        <v/>
      </c>
      <c r="F168" t="inlineStr">
        <is>
          <t>Wheel / tyre fitment</t>
        </is>
      </c>
      <c r="G168" t="n">
        <v>50</v>
      </c>
      <c r="H168" t="inlineStr">
        <is>
          <t>Wheel / tyre fitment</t>
        </is>
      </c>
      <c r="I168" t="inlineStr">
        <is>
          <t>Not Started</t>
        </is>
      </c>
      <c r="K168" s="234" t="n"/>
      <c r="L168" t="inlineStr">
        <is>
          <t>Open</t>
        </is>
      </c>
    </row>
    <row r="169">
      <c r="A169">
        <f>IF('Job Cards'!A24="","",'Job Cards'!K24)</f>
        <v/>
      </c>
      <c r="B169">
        <f>IF(A169="","",'Job Cards'!A24)</f>
        <v/>
      </c>
      <c r="C169">
        <f>IF(A169="","",'Job Cards'!B24)</f>
        <v/>
      </c>
      <c r="D169">
        <f>IF(A169="","",'Job Cards'!D24)</f>
        <v/>
      </c>
      <c r="E169">
        <f>IF(A169="","",'Job Cards'!E24)</f>
        <v/>
      </c>
      <c r="F169" t="inlineStr">
        <is>
          <t>Torque &amp; fit inspection</t>
        </is>
      </c>
      <c r="G169" t="n">
        <v>60</v>
      </c>
      <c r="H169" t="inlineStr">
        <is>
          <t>Torque &amp; fit inspection</t>
        </is>
      </c>
      <c r="I169" t="inlineStr">
        <is>
          <t>Not Started</t>
        </is>
      </c>
      <c r="K169" s="234" t="n"/>
      <c r="L169" t="inlineStr">
        <is>
          <t>Open</t>
        </is>
      </c>
    </row>
    <row r="170">
      <c r="A170">
        <f>IF('Job Cards'!A24="","",'Job Cards'!K24)</f>
        <v/>
      </c>
      <c r="B170">
        <f>IF(A170="","",'Job Cards'!A24)</f>
        <v/>
      </c>
      <c r="C170">
        <f>IF(A170="","",'Job Cards'!B24)</f>
        <v/>
      </c>
      <c r="D170">
        <f>IF(A170="","",'Job Cards'!D24)</f>
        <v/>
      </c>
      <c r="E170">
        <f>IF(A170="","",'Job Cards'!E24)</f>
        <v/>
      </c>
      <c r="F170" t="inlineStr">
        <is>
          <t>Final quality</t>
        </is>
      </c>
      <c r="G170" t="n">
        <v>70</v>
      </c>
      <c r="H170" t="inlineStr">
        <is>
          <t>Final quality</t>
        </is>
      </c>
      <c r="I170" t="inlineStr">
        <is>
          <t>Not Started</t>
        </is>
      </c>
      <c r="K170" s="234" t="n"/>
      <c r="L170" t="inlineStr">
        <is>
          <t>Open</t>
        </is>
      </c>
    </row>
    <row r="171">
      <c r="A171">
        <f>IF('Job Cards'!A24="","",'Job Cards'!K24)</f>
        <v/>
      </c>
      <c r="B171">
        <f>IF(A171="","",'Job Cards'!A24)</f>
        <v/>
      </c>
      <c r="C171">
        <f>IF(A171="","",'Job Cards'!B24)</f>
        <v/>
      </c>
      <c r="D171">
        <f>IF(A171="","",'Job Cards'!D24)</f>
        <v/>
      </c>
      <c r="E171">
        <f>IF(A171="","",'Job Cards'!E24)</f>
        <v/>
      </c>
      <c r="F171" t="inlineStr">
        <is>
          <t>Pack &amp; release</t>
        </is>
      </c>
      <c r="G171" t="n">
        <v>80</v>
      </c>
      <c r="H171" t="inlineStr">
        <is>
          <t>Pack &amp; release</t>
        </is>
      </c>
      <c r="I171" t="inlineStr">
        <is>
          <t>Not Started</t>
        </is>
      </c>
      <c r="K171" s="234" t="n"/>
      <c r="L171" t="inlineStr">
        <is>
          <t>Open</t>
        </is>
      </c>
    </row>
    <row r="172">
      <c r="A172">
        <f>IF('Job Cards'!A25="","",'Job Cards'!K25)</f>
        <v/>
      </c>
      <c r="B172">
        <f>IF(A172="","",'Job Cards'!A25)</f>
        <v/>
      </c>
      <c r="C172">
        <f>IF(A172="","",'Job Cards'!B25)</f>
        <v/>
      </c>
      <c r="D172">
        <f>IF(A172="","",'Job Cards'!D25)</f>
        <v/>
      </c>
      <c r="E172">
        <f>IF(A172="","",'Job Cards'!E25)</f>
        <v/>
      </c>
      <c r="F172" t="inlineStr">
        <is>
          <t>Kitting</t>
        </is>
      </c>
      <c r="G172" t="n">
        <v>10</v>
      </c>
      <c r="H172" t="inlineStr">
        <is>
          <t>Kitting</t>
        </is>
      </c>
      <c r="I172" t="inlineStr">
        <is>
          <t>Not Started</t>
        </is>
      </c>
      <c r="K172" s="234" t="n"/>
      <c r="L172" t="inlineStr">
        <is>
          <t>Open</t>
        </is>
      </c>
    </row>
    <row r="173">
      <c r="A173">
        <f>IF('Job Cards'!A25="","",'Job Cards'!K25)</f>
        <v/>
      </c>
      <c r="B173">
        <f>IF(A173="","",'Job Cards'!A25)</f>
        <v/>
      </c>
      <c r="C173">
        <f>IF(A173="","",'Job Cards'!B25)</f>
        <v/>
      </c>
      <c r="D173">
        <f>IF(A173="","",'Job Cards'!D25)</f>
        <v/>
      </c>
      <c r="E173">
        <f>IF(A173="","",'Job Cards'!E25)</f>
        <v/>
      </c>
      <c r="F173" t="inlineStr">
        <is>
          <t>Frame / frameset receipt</t>
        </is>
      </c>
      <c r="G173" t="n">
        <v>20</v>
      </c>
      <c r="H173" t="inlineStr">
        <is>
          <t>Frame / frameset receipt</t>
        </is>
      </c>
      <c r="I173" t="inlineStr">
        <is>
          <t>Not Started</t>
        </is>
      </c>
      <c r="K173" s="234" t="n"/>
      <c r="L173" t="inlineStr">
        <is>
          <t>Open</t>
        </is>
      </c>
    </row>
    <row r="174">
      <c r="A174">
        <f>IF('Job Cards'!A25="","",'Job Cards'!K25)</f>
        <v/>
      </c>
      <c r="B174">
        <f>IF(A174="","",'Job Cards'!A25)</f>
        <v/>
      </c>
      <c r="C174">
        <f>IF(A174="","",'Job Cards'!B25)</f>
        <v/>
      </c>
      <c r="D174">
        <f>IF(A174="","",'Job Cards'!D25)</f>
        <v/>
      </c>
      <c r="E174">
        <f>IF(A174="","",'Job Cards'!E25)</f>
        <v/>
      </c>
      <c r="F174" t="inlineStr">
        <is>
          <t>Drivetrain assembly</t>
        </is>
      </c>
      <c r="G174" t="n">
        <v>30</v>
      </c>
      <c r="H174" t="inlineStr">
        <is>
          <t>Drivetrain assembly</t>
        </is>
      </c>
      <c r="I174" t="inlineStr">
        <is>
          <t>Not Started</t>
        </is>
      </c>
      <c r="K174" s="234" t="n"/>
      <c r="L174" t="inlineStr">
        <is>
          <t>Open</t>
        </is>
      </c>
    </row>
    <row r="175">
      <c r="A175">
        <f>IF('Job Cards'!A25="","",'Job Cards'!K25)</f>
        <v/>
      </c>
      <c r="B175">
        <f>IF(A175="","",'Job Cards'!A25)</f>
        <v/>
      </c>
      <c r="C175">
        <f>IF(A175="","",'Job Cards'!B25)</f>
        <v/>
      </c>
      <c r="D175">
        <f>IF(A175="","",'Job Cards'!D25)</f>
        <v/>
      </c>
      <c r="E175">
        <f>IF(A175="","",'Job Cards'!E25)</f>
        <v/>
      </c>
      <c r="F175" t="inlineStr">
        <is>
          <t>Cockpit &amp; controls</t>
        </is>
      </c>
      <c r="G175" t="n">
        <v>40</v>
      </c>
      <c r="H175" t="inlineStr">
        <is>
          <t>Cockpit &amp; controls</t>
        </is>
      </c>
      <c r="I175" t="inlineStr">
        <is>
          <t>Not Started</t>
        </is>
      </c>
      <c r="K175" s="234" t="n"/>
      <c r="L175" t="inlineStr">
        <is>
          <t>Open</t>
        </is>
      </c>
    </row>
    <row r="176">
      <c r="A176">
        <f>IF('Job Cards'!A25="","",'Job Cards'!K25)</f>
        <v/>
      </c>
      <c r="B176">
        <f>IF(A176="","",'Job Cards'!A25)</f>
        <v/>
      </c>
      <c r="C176">
        <f>IF(A176="","",'Job Cards'!B25)</f>
        <v/>
      </c>
      <c r="D176">
        <f>IF(A176="","",'Job Cards'!D25)</f>
        <v/>
      </c>
      <c r="E176">
        <f>IF(A176="","",'Job Cards'!E25)</f>
        <v/>
      </c>
      <c r="F176" t="inlineStr">
        <is>
          <t>Wheel / tyre fitment</t>
        </is>
      </c>
      <c r="G176" t="n">
        <v>50</v>
      </c>
      <c r="H176" t="inlineStr">
        <is>
          <t>Wheel / tyre fitment</t>
        </is>
      </c>
      <c r="I176" t="inlineStr">
        <is>
          <t>Not Started</t>
        </is>
      </c>
      <c r="K176" s="234" t="n"/>
      <c r="L176" t="inlineStr">
        <is>
          <t>Open</t>
        </is>
      </c>
    </row>
    <row r="177">
      <c r="A177">
        <f>IF('Job Cards'!A25="","",'Job Cards'!K25)</f>
        <v/>
      </c>
      <c r="B177">
        <f>IF(A177="","",'Job Cards'!A25)</f>
        <v/>
      </c>
      <c r="C177">
        <f>IF(A177="","",'Job Cards'!B25)</f>
        <v/>
      </c>
      <c r="D177">
        <f>IF(A177="","",'Job Cards'!D25)</f>
        <v/>
      </c>
      <c r="E177">
        <f>IF(A177="","",'Job Cards'!E25)</f>
        <v/>
      </c>
      <c r="F177" t="inlineStr">
        <is>
          <t>Torque &amp; fit inspection</t>
        </is>
      </c>
      <c r="G177" t="n">
        <v>60</v>
      </c>
      <c r="H177" t="inlineStr">
        <is>
          <t>Torque &amp; fit inspection</t>
        </is>
      </c>
      <c r="I177" t="inlineStr">
        <is>
          <t>Not Started</t>
        </is>
      </c>
      <c r="K177" s="234" t="n"/>
      <c r="L177" t="inlineStr">
        <is>
          <t>Open</t>
        </is>
      </c>
    </row>
    <row r="178">
      <c r="A178">
        <f>IF('Job Cards'!A25="","",'Job Cards'!K25)</f>
        <v/>
      </c>
      <c r="B178">
        <f>IF(A178="","",'Job Cards'!A25)</f>
        <v/>
      </c>
      <c r="C178">
        <f>IF(A178="","",'Job Cards'!B25)</f>
        <v/>
      </c>
      <c r="D178">
        <f>IF(A178="","",'Job Cards'!D25)</f>
        <v/>
      </c>
      <c r="E178">
        <f>IF(A178="","",'Job Cards'!E25)</f>
        <v/>
      </c>
      <c r="F178" t="inlineStr">
        <is>
          <t>Final quality</t>
        </is>
      </c>
      <c r="G178" t="n">
        <v>70</v>
      </c>
      <c r="H178" t="inlineStr">
        <is>
          <t>Final quality</t>
        </is>
      </c>
      <c r="I178" t="inlineStr">
        <is>
          <t>Not Started</t>
        </is>
      </c>
      <c r="K178" s="234" t="n"/>
      <c r="L178" t="inlineStr">
        <is>
          <t>Open</t>
        </is>
      </c>
    </row>
    <row r="179">
      <c r="A179">
        <f>IF('Job Cards'!A25="","",'Job Cards'!K25)</f>
        <v/>
      </c>
      <c r="B179">
        <f>IF(A179="","",'Job Cards'!A25)</f>
        <v/>
      </c>
      <c r="C179">
        <f>IF(A179="","",'Job Cards'!B25)</f>
        <v/>
      </c>
      <c r="D179">
        <f>IF(A179="","",'Job Cards'!D25)</f>
        <v/>
      </c>
      <c r="E179">
        <f>IF(A179="","",'Job Cards'!E25)</f>
        <v/>
      </c>
      <c r="F179" t="inlineStr">
        <is>
          <t>Pack &amp; release</t>
        </is>
      </c>
      <c r="G179" t="n">
        <v>80</v>
      </c>
      <c r="H179" t="inlineStr">
        <is>
          <t>Pack &amp; release</t>
        </is>
      </c>
      <c r="I179" t="inlineStr">
        <is>
          <t>Not Started</t>
        </is>
      </c>
      <c r="K179" s="234" t="n"/>
      <c r="L179" t="inlineStr">
        <is>
          <t>Open</t>
        </is>
      </c>
    </row>
    <row r="180">
      <c r="A180">
        <f>IF('Job Cards'!A26="","",'Job Cards'!K26)</f>
        <v/>
      </c>
      <c r="B180">
        <f>IF(A180="","",'Job Cards'!A26)</f>
        <v/>
      </c>
      <c r="C180">
        <f>IF(A180="","",'Job Cards'!B26)</f>
        <v/>
      </c>
      <c r="D180">
        <f>IF(A180="","",'Job Cards'!D26)</f>
        <v/>
      </c>
      <c r="E180">
        <f>IF(A180="","",'Job Cards'!E26)</f>
        <v/>
      </c>
      <c r="F180" t="inlineStr">
        <is>
          <t>Kitting</t>
        </is>
      </c>
      <c r="G180" t="n">
        <v>10</v>
      </c>
      <c r="H180" t="inlineStr">
        <is>
          <t>Kitting</t>
        </is>
      </c>
      <c r="I180" t="inlineStr">
        <is>
          <t>Not Started</t>
        </is>
      </c>
      <c r="K180" s="234" t="n"/>
      <c r="L180" t="inlineStr">
        <is>
          <t>Open</t>
        </is>
      </c>
    </row>
    <row r="181">
      <c r="A181">
        <f>IF('Job Cards'!A26="","",'Job Cards'!K26)</f>
        <v/>
      </c>
      <c r="B181">
        <f>IF(A181="","",'Job Cards'!A26)</f>
        <v/>
      </c>
      <c r="C181">
        <f>IF(A181="","",'Job Cards'!B26)</f>
        <v/>
      </c>
      <c r="D181">
        <f>IF(A181="","",'Job Cards'!D26)</f>
        <v/>
      </c>
      <c r="E181">
        <f>IF(A181="","",'Job Cards'!E26)</f>
        <v/>
      </c>
      <c r="F181" t="inlineStr">
        <is>
          <t>Frame / frameset receipt</t>
        </is>
      </c>
      <c r="G181" t="n">
        <v>20</v>
      </c>
      <c r="H181" t="inlineStr">
        <is>
          <t>Frame / frameset receipt</t>
        </is>
      </c>
      <c r="I181" t="inlineStr">
        <is>
          <t>Not Started</t>
        </is>
      </c>
      <c r="K181" s="234" t="n"/>
      <c r="L181" t="inlineStr">
        <is>
          <t>Open</t>
        </is>
      </c>
    </row>
    <row r="182">
      <c r="A182">
        <f>IF('Job Cards'!A26="","",'Job Cards'!K26)</f>
        <v/>
      </c>
      <c r="B182">
        <f>IF(A182="","",'Job Cards'!A26)</f>
        <v/>
      </c>
      <c r="C182">
        <f>IF(A182="","",'Job Cards'!B26)</f>
        <v/>
      </c>
      <c r="D182">
        <f>IF(A182="","",'Job Cards'!D26)</f>
        <v/>
      </c>
      <c r="E182">
        <f>IF(A182="","",'Job Cards'!E26)</f>
        <v/>
      </c>
      <c r="F182" t="inlineStr">
        <is>
          <t>Drivetrain assembly</t>
        </is>
      </c>
      <c r="G182" t="n">
        <v>30</v>
      </c>
      <c r="H182" t="inlineStr">
        <is>
          <t>Drivetrain assembly</t>
        </is>
      </c>
      <c r="I182" t="inlineStr">
        <is>
          <t>Not Started</t>
        </is>
      </c>
      <c r="K182" s="234" t="n"/>
      <c r="L182" t="inlineStr">
        <is>
          <t>Open</t>
        </is>
      </c>
    </row>
    <row r="183">
      <c r="A183">
        <f>IF('Job Cards'!A26="","",'Job Cards'!K26)</f>
        <v/>
      </c>
      <c r="B183">
        <f>IF(A183="","",'Job Cards'!A26)</f>
        <v/>
      </c>
      <c r="C183">
        <f>IF(A183="","",'Job Cards'!B26)</f>
        <v/>
      </c>
      <c r="D183">
        <f>IF(A183="","",'Job Cards'!D26)</f>
        <v/>
      </c>
      <c r="E183">
        <f>IF(A183="","",'Job Cards'!E26)</f>
        <v/>
      </c>
      <c r="F183" t="inlineStr">
        <is>
          <t>Cockpit &amp; controls</t>
        </is>
      </c>
      <c r="G183" t="n">
        <v>40</v>
      </c>
      <c r="H183" t="inlineStr">
        <is>
          <t>Cockpit &amp; controls</t>
        </is>
      </c>
      <c r="I183" t="inlineStr">
        <is>
          <t>Not Started</t>
        </is>
      </c>
      <c r="K183" s="234" t="n"/>
      <c r="L183" t="inlineStr">
        <is>
          <t>Open</t>
        </is>
      </c>
    </row>
    <row r="184">
      <c r="A184">
        <f>IF('Job Cards'!A26="","",'Job Cards'!K26)</f>
        <v/>
      </c>
      <c r="B184">
        <f>IF(A184="","",'Job Cards'!A26)</f>
        <v/>
      </c>
      <c r="C184">
        <f>IF(A184="","",'Job Cards'!B26)</f>
        <v/>
      </c>
      <c r="D184">
        <f>IF(A184="","",'Job Cards'!D26)</f>
        <v/>
      </c>
      <c r="E184">
        <f>IF(A184="","",'Job Cards'!E26)</f>
        <v/>
      </c>
      <c r="F184" t="inlineStr">
        <is>
          <t>Wheel / tyre fitment</t>
        </is>
      </c>
      <c r="G184" t="n">
        <v>50</v>
      </c>
      <c r="H184" t="inlineStr">
        <is>
          <t>Wheel / tyre fitment</t>
        </is>
      </c>
      <c r="I184" t="inlineStr">
        <is>
          <t>Not Started</t>
        </is>
      </c>
      <c r="K184" s="234" t="n"/>
      <c r="L184" t="inlineStr">
        <is>
          <t>Open</t>
        </is>
      </c>
    </row>
    <row r="185">
      <c r="A185">
        <f>IF('Job Cards'!A26="","",'Job Cards'!K26)</f>
        <v/>
      </c>
      <c r="B185">
        <f>IF(A185="","",'Job Cards'!A26)</f>
        <v/>
      </c>
      <c r="C185">
        <f>IF(A185="","",'Job Cards'!B26)</f>
        <v/>
      </c>
      <c r="D185">
        <f>IF(A185="","",'Job Cards'!D26)</f>
        <v/>
      </c>
      <c r="E185">
        <f>IF(A185="","",'Job Cards'!E26)</f>
        <v/>
      </c>
      <c r="F185" t="inlineStr">
        <is>
          <t>Torque &amp; fit inspection</t>
        </is>
      </c>
      <c r="G185" t="n">
        <v>60</v>
      </c>
      <c r="H185" t="inlineStr">
        <is>
          <t>Torque &amp; fit inspection</t>
        </is>
      </c>
      <c r="I185" t="inlineStr">
        <is>
          <t>Not Started</t>
        </is>
      </c>
      <c r="K185" s="234" t="n"/>
      <c r="L185" t="inlineStr">
        <is>
          <t>Open</t>
        </is>
      </c>
    </row>
    <row r="186">
      <c r="A186">
        <f>IF('Job Cards'!A26="","",'Job Cards'!K26)</f>
        <v/>
      </c>
      <c r="B186">
        <f>IF(A186="","",'Job Cards'!A26)</f>
        <v/>
      </c>
      <c r="C186">
        <f>IF(A186="","",'Job Cards'!B26)</f>
        <v/>
      </c>
      <c r="D186">
        <f>IF(A186="","",'Job Cards'!D26)</f>
        <v/>
      </c>
      <c r="E186">
        <f>IF(A186="","",'Job Cards'!E26)</f>
        <v/>
      </c>
      <c r="F186" t="inlineStr">
        <is>
          <t>Final quality</t>
        </is>
      </c>
      <c r="G186" t="n">
        <v>70</v>
      </c>
      <c r="H186" t="inlineStr">
        <is>
          <t>Final quality</t>
        </is>
      </c>
      <c r="I186" t="inlineStr">
        <is>
          <t>Not Started</t>
        </is>
      </c>
      <c r="K186" s="234" t="n"/>
      <c r="L186" t="inlineStr">
        <is>
          <t>Open</t>
        </is>
      </c>
    </row>
    <row r="187">
      <c r="A187">
        <f>IF('Job Cards'!A26="","",'Job Cards'!K26)</f>
        <v/>
      </c>
      <c r="B187">
        <f>IF(A187="","",'Job Cards'!A26)</f>
        <v/>
      </c>
      <c r="C187">
        <f>IF(A187="","",'Job Cards'!B26)</f>
        <v/>
      </c>
      <c r="D187">
        <f>IF(A187="","",'Job Cards'!D26)</f>
        <v/>
      </c>
      <c r="E187">
        <f>IF(A187="","",'Job Cards'!E26)</f>
        <v/>
      </c>
      <c r="F187" t="inlineStr">
        <is>
          <t>Pack &amp; release</t>
        </is>
      </c>
      <c r="G187" t="n">
        <v>80</v>
      </c>
      <c r="H187" t="inlineStr">
        <is>
          <t>Pack &amp; release</t>
        </is>
      </c>
      <c r="I187" t="inlineStr">
        <is>
          <t>Not Started</t>
        </is>
      </c>
      <c r="K187" s="234" t="n"/>
      <c r="L187" t="inlineStr">
        <is>
          <t>Open</t>
        </is>
      </c>
    </row>
    <row r="188">
      <c r="A188">
        <f>IF('Job Cards'!A27="","",'Job Cards'!K27)</f>
        <v/>
      </c>
      <c r="B188">
        <f>IF(A188="","",'Job Cards'!A27)</f>
        <v/>
      </c>
      <c r="C188">
        <f>IF(A188="","",'Job Cards'!B27)</f>
        <v/>
      </c>
      <c r="D188">
        <f>IF(A188="","",'Job Cards'!D27)</f>
        <v/>
      </c>
      <c r="E188">
        <f>IF(A188="","",'Job Cards'!E27)</f>
        <v/>
      </c>
      <c r="F188" t="inlineStr">
        <is>
          <t>Kitting</t>
        </is>
      </c>
      <c r="G188" t="n">
        <v>10</v>
      </c>
      <c r="H188" t="inlineStr">
        <is>
          <t>Kitting</t>
        </is>
      </c>
      <c r="I188" t="inlineStr">
        <is>
          <t>Not Started</t>
        </is>
      </c>
      <c r="K188" s="234" t="n"/>
      <c r="L188" t="inlineStr">
        <is>
          <t>Open</t>
        </is>
      </c>
    </row>
    <row r="189">
      <c r="A189">
        <f>IF('Job Cards'!A27="","",'Job Cards'!K27)</f>
        <v/>
      </c>
      <c r="B189">
        <f>IF(A189="","",'Job Cards'!A27)</f>
        <v/>
      </c>
      <c r="C189">
        <f>IF(A189="","",'Job Cards'!B27)</f>
        <v/>
      </c>
      <c r="D189">
        <f>IF(A189="","",'Job Cards'!D27)</f>
        <v/>
      </c>
      <c r="E189">
        <f>IF(A189="","",'Job Cards'!E27)</f>
        <v/>
      </c>
      <c r="F189" t="inlineStr">
        <is>
          <t>Frame / frameset receipt</t>
        </is>
      </c>
      <c r="G189" t="n">
        <v>20</v>
      </c>
      <c r="H189" t="inlineStr">
        <is>
          <t>Frame / frameset receipt</t>
        </is>
      </c>
      <c r="I189" t="inlineStr">
        <is>
          <t>Not Started</t>
        </is>
      </c>
      <c r="K189" s="234" t="n"/>
      <c r="L189" t="inlineStr">
        <is>
          <t>Open</t>
        </is>
      </c>
    </row>
    <row r="190">
      <c r="A190">
        <f>IF('Job Cards'!A27="","",'Job Cards'!K27)</f>
        <v/>
      </c>
      <c r="B190">
        <f>IF(A190="","",'Job Cards'!A27)</f>
        <v/>
      </c>
      <c r="C190">
        <f>IF(A190="","",'Job Cards'!B27)</f>
        <v/>
      </c>
      <c r="D190">
        <f>IF(A190="","",'Job Cards'!D27)</f>
        <v/>
      </c>
      <c r="E190">
        <f>IF(A190="","",'Job Cards'!E27)</f>
        <v/>
      </c>
      <c r="F190" t="inlineStr">
        <is>
          <t>Drivetrain assembly</t>
        </is>
      </c>
      <c r="G190" t="n">
        <v>30</v>
      </c>
      <c r="H190" t="inlineStr">
        <is>
          <t>Drivetrain assembly</t>
        </is>
      </c>
      <c r="I190" t="inlineStr">
        <is>
          <t>Not Started</t>
        </is>
      </c>
      <c r="K190" s="234" t="n"/>
      <c r="L190" t="inlineStr">
        <is>
          <t>Open</t>
        </is>
      </c>
    </row>
    <row r="191">
      <c r="A191">
        <f>IF('Job Cards'!A27="","",'Job Cards'!K27)</f>
        <v/>
      </c>
      <c r="B191">
        <f>IF(A191="","",'Job Cards'!A27)</f>
        <v/>
      </c>
      <c r="C191">
        <f>IF(A191="","",'Job Cards'!B27)</f>
        <v/>
      </c>
      <c r="D191">
        <f>IF(A191="","",'Job Cards'!D27)</f>
        <v/>
      </c>
      <c r="E191">
        <f>IF(A191="","",'Job Cards'!E27)</f>
        <v/>
      </c>
      <c r="F191" t="inlineStr">
        <is>
          <t>Cockpit &amp; controls</t>
        </is>
      </c>
      <c r="G191" t="n">
        <v>40</v>
      </c>
      <c r="H191" t="inlineStr">
        <is>
          <t>Cockpit &amp; controls</t>
        </is>
      </c>
      <c r="I191" t="inlineStr">
        <is>
          <t>Not Started</t>
        </is>
      </c>
      <c r="K191" s="234" t="n"/>
      <c r="L191" t="inlineStr">
        <is>
          <t>Open</t>
        </is>
      </c>
    </row>
    <row r="192">
      <c r="A192">
        <f>IF('Job Cards'!A27="","",'Job Cards'!K27)</f>
        <v/>
      </c>
      <c r="B192">
        <f>IF(A192="","",'Job Cards'!A27)</f>
        <v/>
      </c>
      <c r="C192">
        <f>IF(A192="","",'Job Cards'!B27)</f>
        <v/>
      </c>
      <c r="D192">
        <f>IF(A192="","",'Job Cards'!D27)</f>
        <v/>
      </c>
      <c r="E192">
        <f>IF(A192="","",'Job Cards'!E27)</f>
        <v/>
      </c>
      <c r="F192" t="inlineStr">
        <is>
          <t>Wheel / tyre fitment</t>
        </is>
      </c>
      <c r="G192" t="n">
        <v>50</v>
      </c>
      <c r="H192" t="inlineStr">
        <is>
          <t>Wheel / tyre fitment</t>
        </is>
      </c>
      <c r="I192" t="inlineStr">
        <is>
          <t>Not Started</t>
        </is>
      </c>
      <c r="K192" s="234" t="n"/>
      <c r="L192" t="inlineStr">
        <is>
          <t>Open</t>
        </is>
      </c>
    </row>
    <row r="193">
      <c r="A193">
        <f>IF('Job Cards'!A27="","",'Job Cards'!K27)</f>
        <v/>
      </c>
      <c r="B193">
        <f>IF(A193="","",'Job Cards'!A27)</f>
        <v/>
      </c>
      <c r="C193">
        <f>IF(A193="","",'Job Cards'!B27)</f>
        <v/>
      </c>
      <c r="D193">
        <f>IF(A193="","",'Job Cards'!D27)</f>
        <v/>
      </c>
      <c r="E193">
        <f>IF(A193="","",'Job Cards'!E27)</f>
        <v/>
      </c>
      <c r="F193" t="inlineStr">
        <is>
          <t>Torque &amp; fit inspection</t>
        </is>
      </c>
      <c r="G193" t="n">
        <v>60</v>
      </c>
      <c r="H193" t="inlineStr">
        <is>
          <t>Torque &amp; fit inspection</t>
        </is>
      </c>
      <c r="I193" t="inlineStr">
        <is>
          <t>Not Started</t>
        </is>
      </c>
      <c r="K193" s="234" t="n"/>
      <c r="L193" t="inlineStr">
        <is>
          <t>Open</t>
        </is>
      </c>
    </row>
    <row r="194">
      <c r="A194">
        <f>IF('Job Cards'!A27="","",'Job Cards'!K27)</f>
        <v/>
      </c>
      <c r="B194">
        <f>IF(A194="","",'Job Cards'!A27)</f>
        <v/>
      </c>
      <c r="C194">
        <f>IF(A194="","",'Job Cards'!B27)</f>
        <v/>
      </c>
      <c r="D194">
        <f>IF(A194="","",'Job Cards'!D27)</f>
        <v/>
      </c>
      <c r="E194">
        <f>IF(A194="","",'Job Cards'!E27)</f>
        <v/>
      </c>
      <c r="F194" t="inlineStr">
        <is>
          <t>Final quality</t>
        </is>
      </c>
      <c r="G194" t="n">
        <v>70</v>
      </c>
      <c r="H194" t="inlineStr">
        <is>
          <t>Final quality</t>
        </is>
      </c>
      <c r="I194" t="inlineStr">
        <is>
          <t>Not Started</t>
        </is>
      </c>
      <c r="K194" s="234" t="n"/>
      <c r="L194" t="inlineStr">
        <is>
          <t>Open</t>
        </is>
      </c>
    </row>
    <row r="195">
      <c r="A195">
        <f>IF('Job Cards'!A27="","",'Job Cards'!K27)</f>
        <v/>
      </c>
      <c r="B195">
        <f>IF(A195="","",'Job Cards'!A27)</f>
        <v/>
      </c>
      <c r="C195">
        <f>IF(A195="","",'Job Cards'!B27)</f>
        <v/>
      </c>
      <c r="D195">
        <f>IF(A195="","",'Job Cards'!D27)</f>
        <v/>
      </c>
      <c r="E195">
        <f>IF(A195="","",'Job Cards'!E27)</f>
        <v/>
      </c>
      <c r="F195" t="inlineStr">
        <is>
          <t>Pack &amp; release</t>
        </is>
      </c>
      <c r="G195" t="n">
        <v>80</v>
      </c>
      <c r="H195" t="inlineStr">
        <is>
          <t>Pack &amp; release</t>
        </is>
      </c>
      <c r="I195" t="inlineStr">
        <is>
          <t>Not Started</t>
        </is>
      </c>
      <c r="K195" s="234" t="n"/>
      <c r="L195" t="inlineStr">
        <is>
          <t>Open</t>
        </is>
      </c>
    </row>
    <row r="196">
      <c r="A196">
        <f>IF('Job Cards'!A28="","",'Job Cards'!K28)</f>
        <v/>
      </c>
      <c r="B196">
        <f>IF(A196="","",'Job Cards'!A28)</f>
        <v/>
      </c>
      <c r="C196">
        <f>IF(A196="","",'Job Cards'!B28)</f>
        <v/>
      </c>
      <c r="D196">
        <f>IF(A196="","",'Job Cards'!D28)</f>
        <v/>
      </c>
      <c r="E196">
        <f>IF(A196="","",'Job Cards'!E28)</f>
        <v/>
      </c>
      <c r="F196" t="inlineStr">
        <is>
          <t>Kitting</t>
        </is>
      </c>
      <c r="G196" t="n">
        <v>10</v>
      </c>
      <c r="H196" t="inlineStr">
        <is>
          <t>Kitting</t>
        </is>
      </c>
      <c r="I196" t="inlineStr">
        <is>
          <t>Not Started</t>
        </is>
      </c>
      <c r="K196" s="234" t="n"/>
      <c r="L196" t="inlineStr">
        <is>
          <t>Open</t>
        </is>
      </c>
    </row>
    <row r="197">
      <c r="A197">
        <f>IF('Job Cards'!A28="","",'Job Cards'!K28)</f>
        <v/>
      </c>
      <c r="B197">
        <f>IF(A197="","",'Job Cards'!A28)</f>
        <v/>
      </c>
      <c r="C197">
        <f>IF(A197="","",'Job Cards'!B28)</f>
        <v/>
      </c>
      <c r="D197">
        <f>IF(A197="","",'Job Cards'!D28)</f>
        <v/>
      </c>
      <c r="E197">
        <f>IF(A197="","",'Job Cards'!E28)</f>
        <v/>
      </c>
      <c r="F197" t="inlineStr">
        <is>
          <t>Frame / frameset receipt</t>
        </is>
      </c>
      <c r="G197" t="n">
        <v>20</v>
      </c>
      <c r="H197" t="inlineStr">
        <is>
          <t>Frame / frameset receipt</t>
        </is>
      </c>
      <c r="I197" t="inlineStr">
        <is>
          <t>Not Started</t>
        </is>
      </c>
      <c r="K197" s="234" t="n"/>
      <c r="L197" t="inlineStr">
        <is>
          <t>Open</t>
        </is>
      </c>
    </row>
    <row r="198">
      <c r="A198">
        <f>IF('Job Cards'!A28="","",'Job Cards'!K28)</f>
        <v/>
      </c>
      <c r="B198">
        <f>IF(A198="","",'Job Cards'!A28)</f>
        <v/>
      </c>
      <c r="C198">
        <f>IF(A198="","",'Job Cards'!B28)</f>
        <v/>
      </c>
      <c r="D198">
        <f>IF(A198="","",'Job Cards'!D28)</f>
        <v/>
      </c>
      <c r="E198">
        <f>IF(A198="","",'Job Cards'!E28)</f>
        <v/>
      </c>
      <c r="F198" t="inlineStr">
        <is>
          <t>Drivetrain assembly</t>
        </is>
      </c>
      <c r="G198" t="n">
        <v>30</v>
      </c>
      <c r="H198" t="inlineStr">
        <is>
          <t>Drivetrain assembly</t>
        </is>
      </c>
      <c r="I198" t="inlineStr">
        <is>
          <t>Not Started</t>
        </is>
      </c>
      <c r="K198" s="234" t="n"/>
      <c r="L198" t="inlineStr">
        <is>
          <t>Open</t>
        </is>
      </c>
    </row>
    <row r="199">
      <c r="A199">
        <f>IF('Job Cards'!A28="","",'Job Cards'!K28)</f>
        <v/>
      </c>
      <c r="B199">
        <f>IF(A199="","",'Job Cards'!A28)</f>
        <v/>
      </c>
      <c r="C199">
        <f>IF(A199="","",'Job Cards'!B28)</f>
        <v/>
      </c>
      <c r="D199">
        <f>IF(A199="","",'Job Cards'!D28)</f>
        <v/>
      </c>
      <c r="E199">
        <f>IF(A199="","",'Job Cards'!E28)</f>
        <v/>
      </c>
      <c r="F199" t="inlineStr">
        <is>
          <t>Cockpit &amp; controls</t>
        </is>
      </c>
      <c r="G199" t="n">
        <v>40</v>
      </c>
      <c r="H199" t="inlineStr">
        <is>
          <t>Cockpit &amp; controls</t>
        </is>
      </c>
      <c r="I199" t="inlineStr">
        <is>
          <t>Not Started</t>
        </is>
      </c>
      <c r="K199" s="234" t="n"/>
      <c r="L199" t="inlineStr">
        <is>
          <t>Open</t>
        </is>
      </c>
    </row>
    <row r="200">
      <c r="A200">
        <f>IF('Job Cards'!A28="","",'Job Cards'!K28)</f>
        <v/>
      </c>
      <c r="B200">
        <f>IF(A200="","",'Job Cards'!A28)</f>
        <v/>
      </c>
      <c r="C200">
        <f>IF(A200="","",'Job Cards'!B28)</f>
        <v/>
      </c>
      <c r="D200">
        <f>IF(A200="","",'Job Cards'!D28)</f>
        <v/>
      </c>
      <c r="E200">
        <f>IF(A200="","",'Job Cards'!E28)</f>
        <v/>
      </c>
      <c r="F200" t="inlineStr">
        <is>
          <t>Wheel / tyre fitment</t>
        </is>
      </c>
      <c r="G200" t="n">
        <v>50</v>
      </c>
      <c r="H200" t="inlineStr">
        <is>
          <t>Wheel / tyre fitment</t>
        </is>
      </c>
      <c r="I200" t="inlineStr">
        <is>
          <t>Not Started</t>
        </is>
      </c>
      <c r="K200" s="234" t="n"/>
      <c r="L200" t="inlineStr">
        <is>
          <t>Open</t>
        </is>
      </c>
    </row>
    <row r="201">
      <c r="A201">
        <f>IF('Job Cards'!A28="","",'Job Cards'!K28)</f>
        <v/>
      </c>
      <c r="B201">
        <f>IF(A201="","",'Job Cards'!A28)</f>
        <v/>
      </c>
      <c r="C201">
        <f>IF(A201="","",'Job Cards'!B28)</f>
        <v/>
      </c>
      <c r="D201">
        <f>IF(A201="","",'Job Cards'!D28)</f>
        <v/>
      </c>
      <c r="E201">
        <f>IF(A201="","",'Job Cards'!E28)</f>
        <v/>
      </c>
      <c r="F201" t="inlineStr">
        <is>
          <t>Torque &amp; fit inspection</t>
        </is>
      </c>
      <c r="G201" t="n">
        <v>60</v>
      </c>
      <c r="H201" t="inlineStr">
        <is>
          <t>Torque &amp; fit inspection</t>
        </is>
      </c>
      <c r="I201" t="inlineStr">
        <is>
          <t>Not Started</t>
        </is>
      </c>
      <c r="K201" s="234" t="n"/>
      <c r="L201" t="inlineStr">
        <is>
          <t>Open</t>
        </is>
      </c>
    </row>
    <row r="202">
      <c r="A202">
        <f>IF('Job Cards'!A28="","",'Job Cards'!K28)</f>
        <v/>
      </c>
      <c r="B202">
        <f>IF(A202="","",'Job Cards'!A28)</f>
        <v/>
      </c>
      <c r="C202">
        <f>IF(A202="","",'Job Cards'!B28)</f>
        <v/>
      </c>
      <c r="D202">
        <f>IF(A202="","",'Job Cards'!D28)</f>
        <v/>
      </c>
      <c r="E202">
        <f>IF(A202="","",'Job Cards'!E28)</f>
        <v/>
      </c>
      <c r="F202" t="inlineStr">
        <is>
          <t>Final quality</t>
        </is>
      </c>
      <c r="G202" t="n">
        <v>70</v>
      </c>
      <c r="H202" t="inlineStr">
        <is>
          <t>Final quality</t>
        </is>
      </c>
      <c r="I202" t="inlineStr">
        <is>
          <t>Not Started</t>
        </is>
      </c>
      <c r="K202" s="234" t="n"/>
      <c r="L202" t="inlineStr">
        <is>
          <t>Open</t>
        </is>
      </c>
    </row>
    <row r="203">
      <c r="A203">
        <f>IF('Job Cards'!A28="","",'Job Cards'!K28)</f>
        <v/>
      </c>
      <c r="B203">
        <f>IF(A203="","",'Job Cards'!A28)</f>
        <v/>
      </c>
      <c r="C203">
        <f>IF(A203="","",'Job Cards'!B28)</f>
        <v/>
      </c>
      <c r="D203">
        <f>IF(A203="","",'Job Cards'!D28)</f>
        <v/>
      </c>
      <c r="E203">
        <f>IF(A203="","",'Job Cards'!E28)</f>
        <v/>
      </c>
      <c r="F203" t="inlineStr">
        <is>
          <t>Pack &amp; release</t>
        </is>
      </c>
      <c r="G203" t="n">
        <v>80</v>
      </c>
      <c r="H203" t="inlineStr">
        <is>
          <t>Pack &amp; release</t>
        </is>
      </c>
      <c r="I203" t="inlineStr">
        <is>
          <t>Not Started</t>
        </is>
      </c>
      <c r="K203" s="234" t="n"/>
      <c r="L203" t="inlineStr">
        <is>
          <t>Open</t>
        </is>
      </c>
    </row>
    <row r="204">
      <c r="A204">
        <f>IF('Job Cards'!A29="","",'Job Cards'!K29)</f>
        <v/>
      </c>
      <c r="B204">
        <f>IF(A204="","",'Job Cards'!A29)</f>
        <v/>
      </c>
      <c r="C204">
        <f>IF(A204="","",'Job Cards'!B29)</f>
        <v/>
      </c>
      <c r="D204">
        <f>IF(A204="","",'Job Cards'!D29)</f>
        <v/>
      </c>
      <c r="E204">
        <f>IF(A204="","",'Job Cards'!E29)</f>
        <v/>
      </c>
      <c r="F204" t="inlineStr">
        <is>
          <t>Kitting</t>
        </is>
      </c>
      <c r="G204" t="n">
        <v>10</v>
      </c>
      <c r="H204" t="inlineStr">
        <is>
          <t>Kitting</t>
        </is>
      </c>
      <c r="I204" t="inlineStr">
        <is>
          <t>Not Started</t>
        </is>
      </c>
      <c r="K204" s="234" t="n"/>
      <c r="L204" t="inlineStr">
        <is>
          <t>Open</t>
        </is>
      </c>
    </row>
    <row r="205">
      <c r="A205">
        <f>IF('Job Cards'!A29="","",'Job Cards'!K29)</f>
        <v/>
      </c>
      <c r="B205">
        <f>IF(A205="","",'Job Cards'!A29)</f>
        <v/>
      </c>
      <c r="C205">
        <f>IF(A205="","",'Job Cards'!B29)</f>
        <v/>
      </c>
      <c r="D205">
        <f>IF(A205="","",'Job Cards'!D29)</f>
        <v/>
      </c>
      <c r="E205">
        <f>IF(A205="","",'Job Cards'!E29)</f>
        <v/>
      </c>
      <c r="F205" t="inlineStr">
        <is>
          <t>Frame / frameset receipt</t>
        </is>
      </c>
      <c r="G205" t="n">
        <v>20</v>
      </c>
      <c r="H205" t="inlineStr">
        <is>
          <t>Frame / frameset receipt</t>
        </is>
      </c>
      <c r="I205" t="inlineStr">
        <is>
          <t>Not Started</t>
        </is>
      </c>
      <c r="K205" s="234" t="n"/>
      <c r="L205" t="inlineStr">
        <is>
          <t>Open</t>
        </is>
      </c>
    </row>
    <row r="206">
      <c r="A206">
        <f>IF('Job Cards'!A29="","",'Job Cards'!K29)</f>
        <v/>
      </c>
      <c r="B206">
        <f>IF(A206="","",'Job Cards'!A29)</f>
        <v/>
      </c>
      <c r="C206">
        <f>IF(A206="","",'Job Cards'!B29)</f>
        <v/>
      </c>
      <c r="D206">
        <f>IF(A206="","",'Job Cards'!D29)</f>
        <v/>
      </c>
      <c r="E206">
        <f>IF(A206="","",'Job Cards'!E29)</f>
        <v/>
      </c>
      <c r="F206" t="inlineStr">
        <is>
          <t>Drivetrain assembly</t>
        </is>
      </c>
      <c r="G206" t="n">
        <v>30</v>
      </c>
      <c r="H206" t="inlineStr">
        <is>
          <t>Drivetrain assembly</t>
        </is>
      </c>
      <c r="I206" t="inlineStr">
        <is>
          <t>Not Started</t>
        </is>
      </c>
      <c r="K206" s="234" t="n"/>
      <c r="L206" t="inlineStr">
        <is>
          <t>Open</t>
        </is>
      </c>
    </row>
    <row r="207">
      <c r="A207">
        <f>IF('Job Cards'!A29="","",'Job Cards'!K29)</f>
        <v/>
      </c>
      <c r="B207">
        <f>IF(A207="","",'Job Cards'!A29)</f>
        <v/>
      </c>
      <c r="C207">
        <f>IF(A207="","",'Job Cards'!B29)</f>
        <v/>
      </c>
      <c r="D207">
        <f>IF(A207="","",'Job Cards'!D29)</f>
        <v/>
      </c>
      <c r="E207">
        <f>IF(A207="","",'Job Cards'!E29)</f>
        <v/>
      </c>
      <c r="F207" t="inlineStr">
        <is>
          <t>Cockpit &amp; controls</t>
        </is>
      </c>
      <c r="G207" t="n">
        <v>40</v>
      </c>
      <c r="H207" t="inlineStr">
        <is>
          <t>Cockpit &amp; controls</t>
        </is>
      </c>
      <c r="I207" t="inlineStr">
        <is>
          <t>Not Started</t>
        </is>
      </c>
      <c r="K207" s="234" t="n"/>
      <c r="L207" t="inlineStr">
        <is>
          <t>Open</t>
        </is>
      </c>
    </row>
    <row r="208">
      <c r="A208">
        <f>IF('Job Cards'!A29="","",'Job Cards'!K29)</f>
        <v/>
      </c>
      <c r="B208">
        <f>IF(A208="","",'Job Cards'!A29)</f>
        <v/>
      </c>
      <c r="C208">
        <f>IF(A208="","",'Job Cards'!B29)</f>
        <v/>
      </c>
      <c r="D208">
        <f>IF(A208="","",'Job Cards'!D29)</f>
        <v/>
      </c>
      <c r="E208">
        <f>IF(A208="","",'Job Cards'!E29)</f>
        <v/>
      </c>
      <c r="F208" t="inlineStr">
        <is>
          <t>Wheel / tyre fitment</t>
        </is>
      </c>
      <c r="G208" t="n">
        <v>50</v>
      </c>
      <c r="H208" t="inlineStr">
        <is>
          <t>Wheel / tyre fitment</t>
        </is>
      </c>
      <c r="I208" t="inlineStr">
        <is>
          <t>Not Started</t>
        </is>
      </c>
      <c r="K208" s="234" t="n"/>
      <c r="L208" t="inlineStr">
        <is>
          <t>Open</t>
        </is>
      </c>
    </row>
    <row r="209">
      <c r="A209">
        <f>IF('Job Cards'!A29="","",'Job Cards'!K29)</f>
        <v/>
      </c>
      <c r="B209">
        <f>IF(A209="","",'Job Cards'!A29)</f>
        <v/>
      </c>
      <c r="C209">
        <f>IF(A209="","",'Job Cards'!B29)</f>
        <v/>
      </c>
      <c r="D209">
        <f>IF(A209="","",'Job Cards'!D29)</f>
        <v/>
      </c>
      <c r="E209">
        <f>IF(A209="","",'Job Cards'!E29)</f>
        <v/>
      </c>
      <c r="F209" t="inlineStr">
        <is>
          <t>Torque &amp; fit inspection</t>
        </is>
      </c>
      <c r="G209" t="n">
        <v>60</v>
      </c>
      <c r="H209" t="inlineStr">
        <is>
          <t>Torque &amp; fit inspection</t>
        </is>
      </c>
      <c r="I209" t="inlineStr">
        <is>
          <t>Not Started</t>
        </is>
      </c>
      <c r="K209" s="234" t="n"/>
      <c r="L209" t="inlineStr">
        <is>
          <t>Open</t>
        </is>
      </c>
    </row>
    <row r="210">
      <c r="A210">
        <f>IF('Job Cards'!A29="","",'Job Cards'!K29)</f>
        <v/>
      </c>
      <c r="B210">
        <f>IF(A210="","",'Job Cards'!A29)</f>
        <v/>
      </c>
      <c r="C210">
        <f>IF(A210="","",'Job Cards'!B29)</f>
        <v/>
      </c>
      <c r="D210">
        <f>IF(A210="","",'Job Cards'!D29)</f>
        <v/>
      </c>
      <c r="E210">
        <f>IF(A210="","",'Job Cards'!E29)</f>
        <v/>
      </c>
      <c r="F210" t="inlineStr">
        <is>
          <t>Final quality</t>
        </is>
      </c>
      <c r="G210" t="n">
        <v>70</v>
      </c>
      <c r="H210" t="inlineStr">
        <is>
          <t>Final quality</t>
        </is>
      </c>
      <c r="I210" t="inlineStr">
        <is>
          <t>Not Started</t>
        </is>
      </c>
      <c r="K210" s="234" t="n"/>
      <c r="L210" t="inlineStr">
        <is>
          <t>Open</t>
        </is>
      </c>
    </row>
    <row r="211">
      <c r="A211">
        <f>IF('Job Cards'!A29="","",'Job Cards'!K29)</f>
        <v/>
      </c>
      <c r="B211">
        <f>IF(A211="","",'Job Cards'!A29)</f>
        <v/>
      </c>
      <c r="C211">
        <f>IF(A211="","",'Job Cards'!B29)</f>
        <v/>
      </c>
      <c r="D211">
        <f>IF(A211="","",'Job Cards'!D29)</f>
        <v/>
      </c>
      <c r="E211">
        <f>IF(A211="","",'Job Cards'!E29)</f>
        <v/>
      </c>
      <c r="F211" t="inlineStr">
        <is>
          <t>Pack &amp; release</t>
        </is>
      </c>
      <c r="G211" t="n">
        <v>80</v>
      </c>
      <c r="H211" t="inlineStr">
        <is>
          <t>Pack &amp; release</t>
        </is>
      </c>
      <c r="I211" t="inlineStr">
        <is>
          <t>Not Started</t>
        </is>
      </c>
      <c r="K211" s="234" t="n"/>
      <c r="L211" t="inlineStr">
        <is>
          <t>Open</t>
        </is>
      </c>
    </row>
    <row r="212">
      <c r="A212">
        <f>IF('Job Cards'!A30="","",'Job Cards'!K30)</f>
        <v/>
      </c>
      <c r="B212">
        <f>IF(A212="","",'Job Cards'!A30)</f>
        <v/>
      </c>
      <c r="C212">
        <f>IF(A212="","",'Job Cards'!B30)</f>
        <v/>
      </c>
      <c r="D212">
        <f>IF(A212="","",'Job Cards'!D30)</f>
        <v/>
      </c>
      <c r="E212">
        <f>IF(A212="","",'Job Cards'!E30)</f>
        <v/>
      </c>
      <c r="F212" t="inlineStr">
        <is>
          <t>Kitting</t>
        </is>
      </c>
      <c r="G212" t="n">
        <v>10</v>
      </c>
      <c r="H212" t="inlineStr">
        <is>
          <t>Kitting</t>
        </is>
      </c>
      <c r="I212" t="inlineStr">
        <is>
          <t>Not Started</t>
        </is>
      </c>
      <c r="K212" s="234" t="n"/>
      <c r="L212" t="inlineStr">
        <is>
          <t>Open</t>
        </is>
      </c>
    </row>
    <row r="213">
      <c r="A213">
        <f>IF('Job Cards'!A30="","",'Job Cards'!K30)</f>
        <v/>
      </c>
      <c r="B213">
        <f>IF(A213="","",'Job Cards'!A30)</f>
        <v/>
      </c>
      <c r="C213">
        <f>IF(A213="","",'Job Cards'!B30)</f>
        <v/>
      </c>
      <c r="D213">
        <f>IF(A213="","",'Job Cards'!D30)</f>
        <v/>
      </c>
      <c r="E213">
        <f>IF(A213="","",'Job Cards'!E30)</f>
        <v/>
      </c>
      <c r="F213" t="inlineStr">
        <is>
          <t>Frame / frameset receipt</t>
        </is>
      </c>
      <c r="G213" t="n">
        <v>20</v>
      </c>
      <c r="H213" t="inlineStr">
        <is>
          <t>Frame / frameset receipt</t>
        </is>
      </c>
      <c r="I213" t="inlineStr">
        <is>
          <t>Not Started</t>
        </is>
      </c>
      <c r="K213" s="234" t="n"/>
      <c r="L213" t="inlineStr">
        <is>
          <t>Open</t>
        </is>
      </c>
    </row>
    <row r="214">
      <c r="A214">
        <f>IF('Job Cards'!A30="","",'Job Cards'!K30)</f>
        <v/>
      </c>
      <c r="B214">
        <f>IF(A214="","",'Job Cards'!A30)</f>
        <v/>
      </c>
      <c r="C214">
        <f>IF(A214="","",'Job Cards'!B30)</f>
        <v/>
      </c>
      <c r="D214">
        <f>IF(A214="","",'Job Cards'!D30)</f>
        <v/>
      </c>
      <c r="E214">
        <f>IF(A214="","",'Job Cards'!E30)</f>
        <v/>
      </c>
      <c r="F214" t="inlineStr">
        <is>
          <t>Drivetrain assembly</t>
        </is>
      </c>
      <c r="G214" t="n">
        <v>30</v>
      </c>
      <c r="H214" t="inlineStr">
        <is>
          <t>Drivetrain assembly</t>
        </is>
      </c>
      <c r="I214" t="inlineStr">
        <is>
          <t>Not Started</t>
        </is>
      </c>
      <c r="K214" s="234" t="n"/>
      <c r="L214" t="inlineStr">
        <is>
          <t>Open</t>
        </is>
      </c>
    </row>
    <row r="215">
      <c r="A215">
        <f>IF('Job Cards'!A30="","",'Job Cards'!K30)</f>
        <v/>
      </c>
      <c r="B215">
        <f>IF(A215="","",'Job Cards'!A30)</f>
        <v/>
      </c>
      <c r="C215">
        <f>IF(A215="","",'Job Cards'!B30)</f>
        <v/>
      </c>
      <c r="D215">
        <f>IF(A215="","",'Job Cards'!D30)</f>
        <v/>
      </c>
      <c r="E215">
        <f>IF(A215="","",'Job Cards'!E30)</f>
        <v/>
      </c>
      <c r="F215" t="inlineStr">
        <is>
          <t>Cockpit &amp; controls</t>
        </is>
      </c>
      <c r="G215" t="n">
        <v>40</v>
      </c>
      <c r="H215" t="inlineStr">
        <is>
          <t>Cockpit &amp; controls</t>
        </is>
      </c>
      <c r="I215" t="inlineStr">
        <is>
          <t>Not Started</t>
        </is>
      </c>
      <c r="K215" s="234" t="n"/>
      <c r="L215" t="inlineStr">
        <is>
          <t>Open</t>
        </is>
      </c>
    </row>
    <row r="216">
      <c r="A216">
        <f>IF('Job Cards'!A30="","",'Job Cards'!K30)</f>
        <v/>
      </c>
      <c r="B216">
        <f>IF(A216="","",'Job Cards'!A30)</f>
        <v/>
      </c>
      <c r="C216">
        <f>IF(A216="","",'Job Cards'!B30)</f>
        <v/>
      </c>
      <c r="D216">
        <f>IF(A216="","",'Job Cards'!D30)</f>
        <v/>
      </c>
      <c r="E216">
        <f>IF(A216="","",'Job Cards'!E30)</f>
        <v/>
      </c>
      <c r="F216" t="inlineStr">
        <is>
          <t>Wheel / tyre fitment</t>
        </is>
      </c>
      <c r="G216" t="n">
        <v>50</v>
      </c>
      <c r="H216" t="inlineStr">
        <is>
          <t>Wheel / tyre fitment</t>
        </is>
      </c>
      <c r="I216" t="inlineStr">
        <is>
          <t>Not Started</t>
        </is>
      </c>
      <c r="K216" s="234" t="n"/>
      <c r="L216" t="inlineStr">
        <is>
          <t>Open</t>
        </is>
      </c>
    </row>
    <row r="217">
      <c r="A217">
        <f>IF('Job Cards'!A30="","",'Job Cards'!K30)</f>
        <v/>
      </c>
      <c r="B217">
        <f>IF(A217="","",'Job Cards'!A30)</f>
        <v/>
      </c>
      <c r="C217">
        <f>IF(A217="","",'Job Cards'!B30)</f>
        <v/>
      </c>
      <c r="D217">
        <f>IF(A217="","",'Job Cards'!D30)</f>
        <v/>
      </c>
      <c r="E217">
        <f>IF(A217="","",'Job Cards'!E30)</f>
        <v/>
      </c>
      <c r="F217" t="inlineStr">
        <is>
          <t>Torque &amp; fit inspection</t>
        </is>
      </c>
      <c r="G217" t="n">
        <v>60</v>
      </c>
      <c r="H217" t="inlineStr">
        <is>
          <t>Torque &amp; fit inspection</t>
        </is>
      </c>
      <c r="I217" t="inlineStr">
        <is>
          <t>Not Started</t>
        </is>
      </c>
      <c r="K217" s="234" t="n"/>
      <c r="L217" t="inlineStr">
        <is>
          <t>Open</t>
        </is>
      </c>
    </row>
    <row r="218">
      <c r="A218">
        <f>IF('Job Cards'!A30="","",'Job Cards'!K30)</f>
        <v/>
      </c>
      <c r="B218">
        <f>IF(A218="","",'Job Cards'!A30)</f>
        <v/>
      </c>
      <c r="C218">
        <f>IF(A218="","",'Job Cards'!B30)</f>
        <v/>
      </c>
      <c r="D218">
        <f>IF(A218="","",'Job Cards'!D30)</f>
        <v/>
      </c>
      <c r="E218">
        <f>IF(A218="","",'Job Cards'!E30)</f>
        <v/>
      </c>
      <c r="F218" t="inlineStr">
        <is>
          <t>Final quality</t>
        </is>
      </c>
      <c r="G218" t="n">
        <v>70</v>
      </c>
      <c r="H218" t="inlineStr">
        <is>
          <t>Final quality</t>
        </is>
      </c>
      <c r="I218" t="inlineStr">
        <is>
          <t>Not Started</t>
        </is>
      </c>
      <c r="K218" s="234" t="n"/>
      <c r="L218" t="inlineStr">
        <is>
          <t>Open</t>
        </is>
      </c>
    </row>
    <row r="219">
      <c r="A219">
        <f>IF('Job Cards'!A30="","",'Job Cards'!K30)</f>
        <v/>
      </c>
      <c r="B219">
        <f>IF(A219="","",'Job Cards'!A30)</f>
        <v/>
      </c>
      <c r="C219">
        <f>IF(A219="","",'Job Cards'!B30)</f>
        <v/>
      </c>
      <c r="D219">
        <f>IF(A219="","",'Job Cards'!D30)</f>
        <v/>
      </c>
      <c r="E219">
        <f>IF(A219="","",'Job Cards'!E30)</f>
        <v/>
      </c>
      <c r="F219" t="inlineStr">
        <is>
          <t>Pack &amp; release</t>
        </is>
      </c>
      <c r="G219" t="n">
        <v>80</v>
      </c>
      <c r="H219" t="inlineStr">
        <is>
          <t>Pack &amp; release</t>
        </is>
      </c>
      <c r="I219" t="inlineStr">
        <is>
          <t>Not Started</t>
        </is>
      </c>
      <c r="K219" s="234" t="n"/>
      <c r="L219" t="inlineStr">
        <is>
          <t>Open</t>
        </is>
      </c>
    </row>
    <row r="220">
      <c r="A220">
        <f>IF('Job Cards'!A31="","",'Job Cards'!K31)</f>
        <v/>
      </c>
      <c r="B220">
        <f>IF(A220="","",'Job Cards'!A31)</f>
        <v/>
      </c>
      <c r="C220">
        <f>IF(A220="","",'Job Cards'!B31)</f>
        <v/>
      </c>
      <c r="D220">
        <f>IF(A220="","",'Job Cards'!D31)</f>
        <v/>
      </c>
      <c r="E220">
        <f>IF(A220="","",'Job Cards'!E31)</f>
        <v/>
      </c>
      <c r="F220" t="inlineStr">
        <is>
          <t>Kitting</t>
        </is>
      </c>
      <c r="G220" t="n">
        <v>10</v>
      </c>
      <c r="H220" t="inlineStr">
        <is>
          <t>Kitting</t>
        </is>
      </c>
      <c r="I220" t="inlineStr">
        <is>
          <t>Not Started</t>
        </is>
      </c>
      <c r="K220" s="234" t="n"/>
      <c r="L220" t="inlineStr">
        <is>
          <t>Open</t>
        </is>
      </c>
    </row>
    <row r="221">
      <c r="A221">
        <f>IF('Job Cards'!A31="","",'Job Cards'!K31)</f>
        <v/>
      </c>
      <c r="B221">
        <f>IF(A221="","",'Job Cards'!A31)</f>
        <v/>
      </c>
      <c r="C221">
        <f>IF(A221="","",'Job Cards'!B31)</f>
        <v/>
      </c>
      <c r="D221">
        <f>IF(A221="","",'Job Cards'!D31)</f>
        <v/>
      </c>
      <c r="E221">
        <f>IF(A221="","",'Job Cards'!E31)</f>
        <v/>
      </c>
      <c r="F221" t="inlineStr">
        <is>
          <t>Frame / frameset receipt</t>
        </is>
      </c>
      <c r="G221" t="n">
        <v>20</v>
      </c>
      <c r="H221" t="inlineStr">
        <is>
          <t>Frame / frameset receipt</t>
        </is>
      </c>
      <c r="I221" t="inlineStr">
        <is>
          <t>Not Started</t>
        </is>
      </c>
      <c r="K221" s="234" t="n"/>
      <c r="L221" t="inlineStr">
        <is>
          <t>Open</t>
        </is>
      </c>
    </row>
    <row r="222">
      <c r="A222">
        <f>IF('Job Cards'!A31="","",'Job Cards'!K31)</f>
        <v/>
      </c>
      <c r="B222">
        <f>IF(A222="","",'Job Cards'!A31)</f>
        <v/>
      </c>
      <c r="C222">
        <f>IF(A222="","",'Job Cards'!B31)</f>
        <v/>
      </c>
      <c r="D222">
        <f>IF(A222="","",'Job Cards'!D31)</f>
        <v/>
      </c>
      <c r="E222">
        <f>IF(A222="","",'Job Cards'!E31)</f>
        <v/>
      </c>
      <c r="F222" t="inlineStr">
        <is>
          <t>Drivetrain assembly</t>
        </is>
      </c>
      <c r="G222" t="n">
        <v>30</v>
      </c>
      <c r="H222" t="inlineStr">
        <is>
          <t>Drivetrain assembly</t>
        </is>
      </c>
      <c r="I222" t="inlineStr">
        <is>
          <t>Not Started</t>
        </is>
      </c>
      <c r="K222" s="234" t="n"/>
      <c r="L222" t="inlineStr">
        <is>
          <t>Open</t>
        </is>
      </c>
    </row>
    <row r="223">
      <c r="A223">
        <f>IF('Job Cards'!A31="","",'Job Cards'!K31)</f>
        <v/>
      </c>
      <c r="B223">
        <f>IF(A223="","",'Job Cards'!A31)</f>
        <v/>
      </c>
      <c r="C223">
        <f>IF(A223="","",'Job Cards'!B31)</f>
        <v/>
      </c>
      <c r="D223">
        <f>IF(A223="","",'Job Cards'!D31)</f>
        <v/>
      </c>
      <c r="E223">
        <f>IF(A223="","",'Job Cards'!E31)</f>
        <v/>
      </c>
      <c r="F223" t="inlineStr">
        <is>
          <t>Cockpit &amp; controls</t>
        </is>
      </c>
      <c r="G223" t="n">
        <v>40</v>
      </c>
      <c r="H223" t="inlineStr">
        <is>
          <t>Cockpit &amp; controls</t>
        </is>
      </c>
      <c r="I223" t="inlineStr">
        <is>
          <t>Not Started</t>
        </is>
      </c>
      <c r="K223" s="234" t="n"/>
      <c r="L223" t="inlineStr">
        <is>
          <t>Open</t>
        </is>
      </c>
    </row>
    <row r="224">
      <c r="A224">
        <f>IF('Job Cards'!A31="","",'Job Cards'!K31)</f>
        <v/>
      </c>
      <c r="B224">
        <f>IF(A224="","",'Job Cards'!A31)</f>
        <v/>
      </c>
      <c r="C224">
        <f>IF(A224="","",'Job Cards'!B31)</f>
        <v/>
      </c>
      <c r="D224">
        <f>IF(A224="","",'Job Cards'!D31)</f>
        <v/>
      </c>
      <c r="E224">
        <f>IF(A224="","",'Job Cards'!E31)</f>
        <v/>
      </c>
      <c r="F224" t="inlineStr">
        <is>
          <t>Wheel / tyre fitment</t>
        </is>
      </c>
      <c r="G224" t="n">
        <v>50</v>
      </c>
      <c r="H224" t="inlineStr">
        <is>
          <t>Wheel / tyre fitment</t>
        </is>
      </c>
      <c r="I224" t="inlineStr">
        <is>
          <t>Not Started</t>
        </is>
      </c>
      <c r="K224" s="234" t="n"/>
      <c r="L224" t="inlineStr">
        <is>
          <t>Open</t>
        </is>
      </c>
    </row>
    <row r="225">
      <c r="A225">
        <f>IF('Job Cards'!A31="","",'Job Cards'!K31)</f>
        <v/>
      </c>
      <c r="B225">
        <f>IF(A225="","",'Job Cards'!A31)</f>
        <v/>
      </c>
      <c r="C225">
        <f>IF(A225="","",'Job Cards'!B31)</f>
        <v/>
      </c>
      <c r="D225">
        <f>IF(A225="","",'Job Cards'!D31)</f>
        <v/>
      </c>
      <c r="E225">
        <f>IF(A225="","",'Job Cards'!E31)</f>
        <v/>
      </c>
      <c r="F225" t="inlineStr">
        <is>
          <t>Torque &amp; fit inspection</t>
        </is>
      </c>
      <c r="G225" t="n">
        <v>60</v>
      </c>
      <c r="H225" t="inlineStr">
        <is>
          <t>Torque &amp; fit inspection</t>
        </is>
      </c>
      <c r="I225" t="inlineStr">
        <is>
          <t>Not Started</t>
        </is>
      </c>
      <c r="K225" s="234" t="n"/>
      <c r="L225" t="inlineStr">
        <is>
          <t>Open</t>
        </is>
      </c>
    </row>
    <row r="226">
      <c r="A226">
        <f>IF('Job Cards'!A31="","",'Job Cards'!K31)</f>
        <v/>
      </c>
      <c r="B226">
        <f>IF(A226="","",'Job Cards'!A31)</f>
        <v/>
      </c>
      <c r="C226">
        <f>IF(A226="","",'Job Cards'!B31)</f>
        <v/>
      </c>
      <c r="D226">
        <f>IF(A226="","",'Job Cards'!D31)</f>
        <v/>
      </c>
      <c r="E226">
        <f>IF(A226="","",'Job Cards'!E31)</f>
        <v/>
      </c>
      <c r="F226" t="inlineStr">
        <is>
          <t>Final quality</t>
        </is>
      </c>
      <c r="G226" t="n">
        <v>70</v>
      </c>
      <c r="H226" t="inlineStr">
        <is>
          <t>Final quality</t>
        </is>
      </c>
      <c r="I226" t="inlineStr">
        <is>
          <t>Not Started</t>
        </is>
      </c>
      <c r="K226" s="234" t="n"/>
      <c r="L226" t="inlineStr">
        <is>
          <t>Open</t>
        </is>
      </c>
    </row>
    <row r="227">
      <c r="A227">
        <f>IF('Job Cards'!A31="","",'Job Cards'!K31)</f>
        <v/>
      </c>
      <c r="B227">
        <f>IF(A227="","",'Job Cards'!A31)</f>
        <v/>
      </c>
      <c r="C227">
        <f>IF(A227="","",'Job Cards'!B31)</f>
        <v/>
      </c>
      <c r="D227">
        <f>IF(A227="","",'Job Cards'!D31)</f>
        <v/>
      </c>
      <c r="E227">
        <f>IF(A227="","",'Job Cards'!E31)</f>
        <v/>
      </c>
      <c r="F227" t="inlineStr">
        <is>
          <t>Pack &amp; release</t>
        </is>
      </c>
      <c r="G227" t="n">
        <v>80</v>
      </c>
      <c r="H227" t="inlineStr">
        <is>
          <t>Pack &amp; release</t>
        </is>
      </c>
      <c r="I227" t="inlineStr">
        <is>
          <t>Not Started</t>
        </is>
      </c>
      <c r="K227" s="234" t="n"/>
      <c r="L227" t="inlineStr">
        <is>
          <t>Open</t>
        </is>
      </c>
    </row>
    <row r="228">
      <c r="A228">
        <f>IF('Job Cards'!A32="","",'Job Cards'!K32)</f>
        <v/>
      </c>
      <c r="B228">
        <f>IF(A228="","",'Job Cards'!A32)</f>
        <v/>
      </c>
      <c r="C228">
        <f>IF(A228="","",'Job Cards'!B32)</f>
        <v/>
      </c>
      <c r="D228">
        <f>IF(A228="","",'Job Cards'!D32)</f>
        <v/>
      </c>
      <c r="E228">
        <f>IF(A228="","",'Job Cards'!E32)</f>
        <v/>
      </c>
      <c r="F228" t="inlineStr">
        <is>
          <t>Kitting</t>
        </is>
      </c>
      <c r="G228" t="n">
        <v>10</v>
      </c>
      <c r="H228" t="inlineStr">
        <is>
          <t>Kitting</t>
        </is>
      </c>
      <c r="I228" t="inlineStr">
        <is>
          <t>Not Started</t>
        </is>
      </c>
      <c r="K228" s="234" t="n"/>
      <c r="L228" t="inlineStr">
        <is>
          <t>Open</t>
        </is>
      </c>
    </row>
    <row r="229">
      <c r="A229">
        <f>IF('Job Cards'!A32="","",'Job Cards'!K32)</f>
        <v/>
      </c>
      <c r="B229">
        <f>IF(A229="","",'Job Cards'!A32)</f>
        <v/>
      </c>
      <c r="C229">
        <f>IF(A229="","",'Job Cards'!B32)</f>
        <v/>
      </c>
      <c r="D229">
        <f>IF(A229="","",'Job Cards'!D32)</f>
        <v/>
      </c>
      <c r="E229">
        <f>IF(A229="","",'Job Cards'!E32)</f>
        <v/>
      </c>
      <c r="F229" t="inlineStr">
        <is>
          <t>Frame / frameset receipt</t>
        </is>
      </c>
      <c r="G229" t="n">
        <v>20</v>
      </c>
      <c r="H229" t="inlineStr">
        <is>
          <t>Frame / frameset receipt</t>
        </is>
      </c>
      <c r="I229" t="inlineStr">
        <is>
          <t>Not Started</t>
        </is>
      </c>
      <c r="K229" s="234" t="n"/>
      <c r="L229" t="inlineStr">
        <is>
          <t>Open</t>
        </is>
      </c>
    </row>
    <row r="230">
      <c r="A230">
        <f>IF('Job Cards'!A32="","",'Job Cards'!K32)</f>
        <v/>
      </c>
      <c r="B230">
        <f>IF(A230="","",'Job Cards'!A32)</f>
        <v/>
      </c>
      <c r="C230">
        <f>IF(A230="","",'Job Cards'!B32)</f>
        <v/>
      </c>
      <c r="D230">
        <f>IF(A230="","",'Job Cards'!D32)</f>
        <v/>
      </c>
      <c r="E230">
        <f>IF(A230="","",'Job Cards'!E32)</f>
        <v/>
      </c>
      <c r="F230" t="inlineStr">
        <is>
          <t>Drivetrain assembly</t>
        </is>
      </c>
      <c r="G230" t="n">
        <v>30</v>
      </c>
      <c r="H230" t="inlineStr">
        <is>
          <t>Drivetrain assembly</t>
        </is>
      </c>
      <c r="I230" t="inlineStr">
        <is>
          <t>Not Started</t>
        </is>
      </c>
      <c r="K230" s="234" t="n"/>
      <c r="L230" t="inlineStr">
        <is>
          <t>Open</t>
        </is>
      </c>
    </row>
    <row r="231">
      <c r="A231">
        <f>IF('Job Cards'!A32="","",'Job Cards'!K32)</f>
        <v/>
      </c>
      <c r="B231">
        <f>IF(A231="","",'Job Cards'!A32)</f>
        <v/>
      </c>
      <c r="C231">
        <f>IF(A231="","",'Job Cards'!B32)</f>
        <v/>
      </c>
      <c r="D231">
        <f>IF(A231="","",'Job Cards'!D32)</f>
        <v/>
      </c>
      <c r="E231">
        <f>IF(A231="","",'Job Cards'!E32)</f>
        <v/>
      </c>
      <c r="F231" t="inlineStr">
        <is>
          <t>Cockpit &amp; controls</t>
        </is>
      </c>
      <c r="G231" t="n">
        <v>40</v>
      </c>
      <c r="H231" t="inlineStr">
        <is>
          <t>Cockpit &amp; controls</t>
        </is>
      </c>
      <c r="I231" t="inlineStr">
        <is>
          <t>Not Started</t>
        </is>
      </c>
      <c r="K231" s="234" t="n"/>
      <c r="L231" t="inlineStr">
        <is>
          <t>Open</t>
        </is>
      </c>
    </row>
    <row r="232">
      <c r="A232">
        <f>IF('Job Cards'!A32="","",'Job Cards'!K32)</f>
        <v/>
      </c>
      <c r="B232">
        <f>IF(A232="","",'Job Cards'!A32)</f>
        <v/>
      </c>
      <c r="C232">
        <f>IF(A232="","",'Job Cards'!B32)</f>
        <v/>
      </c>
      <c r="D232">
        <f>IF(A232="","",'Job Cards'!D32)</f>
        <v/>
      </c>
      <c r="E232">
        <f>IF(A232="","",'Job Cards'!E32)</f>
        <v/>
      </c>
      <c r="F232" t="inlineStr">
        <is>
          <t>Wheel / tyre fitment</t>
        </is>
      </c>
      <c r="G232" t="n">
        <v>50</v>
      </c>
      <c r="H232" t="inlineStr">
        <is>
          <t>Wheel / tyre fitment</t>
        </is>
      </c>
      <c r="I232" t="inlineStr">
        <is>
          <t>Not Started</t>
        </is>
      </c>
      <c r="K232" s="234" t="n"/>
      <c r="L232" t="inlineStr">
        <is>
          <t>Open</t>
        </is>
      </c>
    </row>
    <row r="233">
      <c r="A233">
        <f>IF('Job Cards'!A32="","",'Job Cards'!K32)</f>
        <v/>
      </c>
      <c r="B233">
        <f>IF(A233="","",'Job Cards'!A32)</f>
        <v/>
      </c>
      <c r="C233">
        <f>IF(A233="","",'Job Cards'!B32)</f>
        <v/>
      </c>
      <c r="D233">
        <f>IF(A233="","",'Job Cards'!D32)</f>
        <v/>
      </c>
      <c r="E233">
        <f>IF(A233="","",'Job Cards'!E32)</f>
        <v/>
      </c>
      <c r="F233" t="inlineStr">
        <is>
          <t>Torque &amp; fit inspection</t>
        </is>
      </c>
      <c r="G233" t="n">
        <v>60</v>
      </c>
      <c r="H233" t="inlineStr">
        <is>
          <t>Torque &amp; fit inspection</t>
        </is>
      </c>
      <c r="I233" t="inlineStr">
        <is>
          <t>Not Started</t>
        </is>
      </c>
      <c r="K233" s="234" t="n"/>
      <c r="L233" t="inlineStr">
        <is>
          <t>Open</t>
        </is>
      </c>
    </row>
    <row r="234">
      <c r="A234">
        <f>IF('Job Cards'!A32="","",'Job Cards'!K32)</f>
        <v/>
      </c>
      <c r="B234">
        <f>IF(A234="","",'Job Cards'!A32)</f>
        <v/>
      </c>
      <c r="C234">
        <f>IF(A234="","",'Job Cards'!B32)</f>
        <v/>
      </c>
      <c r="D234">
        <f>IF(A234="","",'Job Cards'!D32)</f>
        <v/>
      </c>
      <c r="E234">
        <f>IF(A234="","",'Job Cards'!E32)</f>
        <v/>
      </c>
      <c r="F234" t="inlineStr">
        <is>
          <t>Final quality</t>
        </is>
      </c>
      <c r="G234" t="n">
        <v>70</v>
      </c>
      <c r="H234" t="inlineStr">
        <is>
          <t>Final quality</t>
        </is>
      </c>
      <c r="I234" t="inlineStr">
        <is>
          <t>Not Started</t>
        </is>
      </c>
      <c r="K234" s="234" t="n"/>
      <c r="L234" t="inlineStr">
        <is>
          <t>Open</t>
        </is>
      </c>
    </row>
    <row r="235">
      <c r="A235">
        <f>IF('Job Cards'!A32="","",'Job Cards'!K32)</f>
        <v/>
      </c>
      <c r="B235">
        <f>IF(A235="","",'Job Cards'!A32)</f>
        <v/>
      </c>
      <c r="C235">
        <f>IF(A235="","",'Job Cards'!B32)</f>
        <v/>
      </c>
      <c r="D235">
        <f>IF(A235="","",'Job Cards'!D32)</f>
        <v/>
      </c>
      <c r="E235">
        <f>IF(A235="","",'Job Cards'!E32)</f>
        <v/>
      </c>
      <c r="F235" t="inlineStr">
        <is>
          <t>Pack &amp; release</t>
        </is>
      </c>
      <c r="G235" t="n">
        <v>80</v>
      </c>
      <c r="H235" t="inlineStr">
        <is>
          <t>Pack &amp; release</t>
        </is>
      </c>
      <c r="I235" t="inlineStr">
        <is>
          <t>Not Started</t>
        </is>
      </c>
      <c r="K235" s="234" t="n"/>
      <c r="L235" t="inlineStr">
        <is>
          <t>Open</t>
        </is>
      </c>
    </row>
    <row r="236">
      <c r="A236">
        <f>IF('Job Cards'!A33="","",'Job Cards'!K33)</f>
        <v/>
      </c>
      <c r="B236">
        <f>IF(A236="","",'Job Cards'!A33)</f>
        <v/>
      </c>
      <c r="C236">
        <f>IF(A236="","",'Job Cards'!B33)</f>
        <v/>
      </c>
      <c r="D236">
        <f>IF(A236="","",'Job Cards'!D33)</f>
        <v/>
      </c>
      <c r="E236">
        <f>IF(A236="","",'Job Cards'!E33)</f>
        <v/>
      </c>
      <c r="F236" t="inlineStr">
        <is>
          <t>Kitting</t>
        </is>
      </c>
      <c r="G236" t="n">
        <v>10</v>
      </c>
      <c r="H236" t="inlineStr">
        <is>
          <t>Kitting</t>
        </is>
      </c>
      <c r="I236" t="inlineStr">
        <is>
          <t>Not Started</t>
        </is>
      </c>
      <c r="K236" s="234" t="n"/>
      <c r="L236" t="inlineStr">
        <is>
          <t>Open</t>
        </is>
      </c>
    </row>
    <row r="237">
      <c r="A237">
        <f>IF('Job Cards'!A33="","",'Job Cards'!K33)</f>
        <v/>
      </c>
      <c r="B237">
        <f>IF(A237="","",'Job Cards'!A33)</f>
        <v/>
      </c>
      <c r="C237">
        <f>IF(A237="","",'Job Cards'!B33)</f>
        <v/>
      </c>
      <c r="D237">
        <f>IF(A237="","",'Job Cards'!D33)</f>
        <v/>
      </c>
      <c r="E237">
        <f>IF(A237="","",'Job Cards'!E33)</f>
        <v/>
      </c>
      <c r="F237" t="inlineStr">
        <is>
          <t>Frame / frameset receipt</t>
        </is>
      </c>
      <c r="G237" t="n">
        <v>20</v>
      </c>
      <c r="H237" t="inlineStr">
        <is>
          <t>Frame / frameset receipt</t>
        </is>
      </c>
      <c r="I237" t="inlineStr">
        <is>
          <t>Not Started</t>
        </is>
      </c>
      <c r="K237" s="234" t="n"/>
      <c r="L237" t="inlineStr">
        <is>
          <t>Open</t>
        </is>
      </c>
    </row>
    <row r="238">
      <c r="A238">
        <f>IF('Job Cards'!A33="","",'Job Cards'!K33)</f>
        <v/>
      </c>
      <c r="B238">
        <f>IF(A238="","",'Job Cards'!A33)</f>
        <v/>
      </c>
      <c r="C238">
        <f>IF(A238="","",'Job Cards'!B33)</f>
        <v/>
      </c>
      <c r="D238">
        <f>IF(A238="","",'Job Cards'!D33)</f>
        <v/>
      </c>
      <c r="E238">
        <f>IF(A238="","",'Job Cards'!E33)</f>
        <v/>
      </c>
      <c r="F238" t="inlineStr">
        <is>
          <t>Drivetrain assembly</t>
        </is>
      </c>
      <c r="G238" t="n">
        <v>30</v>
      </c>
      <c r="H238" t="inlineStr">
        <is>
          <t>Drivetrain assembly</t>
        </is>
      </c>
      <c r="I238" t="inlineStr">
        <is>
          <t>Not Started</t>
        </is>
      </c>
      <c r="K238" s="234" t="n"/>
      <c r="L238" t="inlineStr">
        <is>
          <t>Open</t>
        </is>
      </c>
    </row>
    <row r="239">
      <c r="A239">
        <f>IF('Job Cards'!A33="","",'Job Cards'!K33)</f>
        <v/>
      </c>
      <c r="B239">
        <f>IF(A239="","",'Job Cards'!A33)</f>
        <v/>
      </c>
      <c r="C239">
        <f>IF(A239="","",'Job Cards'!B33)</f>
        <v/>
      </c>
      <c r="D239">
        <f>IF(A239="","",'Job Cards'!D33)</f>
        <v/>
      </c>
      <c r="E239">
        <f>IF(A239="","",'Job Cards'!E33)</f>
        <v/>
      </c>
      <c r="F239" t="inlineStr">
        <is>
          <t>Cockpit &amp; controls</t>
        </is>
      </c>
      <c r="G239" t="n">
        <v>40</v>
      </c>
      <c r="H239" t="inlineStr">
        <is>
          <t>Cockpit &amp; controls</t>
        </is>
      </c>
      <c r="I239" t="inlineStr">
        <is>
          <t>Not Started</t>
        </is>
      </c>
      <c r="K239" s="234" t="n"/>
      <c r="L239" t="inlineStr">
        <is>
          <t>Open</t>
        </is>
      </c>
    </row>
    <row r="240">
      <c r="A240">
        <f>IF('Job Cards'!A33="","",'Job Cards'!K33)</f>
        <v/>
      </c>
      <c r="B240">
        <f>IF(A240="","",'Job Cards'!A33)</f>
        <v/>
      </c>
      <c r="C240">
        <f>IF(A240="","",'Job Cards'!B33)</f>
        <v/>
      </c>
      <c r="D240">
        <f>IF(A240="","",'Job Cards'!D33)</f>
        <v/>
      </c>
      <c r="E240">
        <f>IF(A240="","",'Job Cards'!E33)</f>
        <v/>
      </c>
      <c r="F240" t="inlineStr">
        <is>
          <t>Wheel / tyre fitment</t>
        </is>
      </c>
      <c r="G240" t="n">
        <v>50</v>
      </c>
      <c r="H240" t="inlineStr">
        <is>
          <t>Wheel / tyre fitment</t>
        </is>
      </c>
      <c r="I240" t="inlineStr">
        <is>
          <t>Not Started</t>
        </is>
      </c>
      <c r="K240" s="234" t="n"/>
      <c r="L240" t="inlineStr">
        <is>
          <t>Open</t>
        </is>
      </c>
    </row>
    <row r="241">
      <c r="A241">
        <f>IF('Job Cards'!A33="","",'Job Cards'!K33)</f>
        <v/>
      </c>
      <c r="B241">
        <f>IF(A241="","",'Job Cards'!A33)</f>
        <v/>
      </c>
      <c r="C241">
        <f>IF(A241="","",'Job Cards'!B33)</f>
        <v/>
      </c>
      <c r="D241">
        <f>IF(A241="","",'Job Cards'!D33)</f>
        <v/>
      </c>
      <c r="E241">
        <f>IF(A241="","",'Job Cards'!E33)</f>
        <v/>
      </c>
      <c r="F241" t="inlineStr">
        <is>
          <t>Torque &amp; fit inspection</t>
        </is>
      </c>
      <c r="G241" t="n">
        <v>60</v>
      </c>
      <c r="H241" t="inlineStr">
        <is>
          <t>Torque &amp; fit inspection</t>
        </is>
      </c>
      <c r="I241" t="inlineStr">
        <is>
          <t>Not Started</t>
        </is>
      </c>
      <c r="K241" s="234" t="n"/>
      <c r="L241" t="inlineStr">
        <is>
          <t>Open</t>
        </is>
      </c>
    </row>
    <row r="242">
      <c r="A242">
        <f>IF('Job Cards'!A33="","",'Job Cards'!K33)</f>
        <v/>
      </c>
      <c r="B242">
        <f>IF(A242="","",'Job Cards'!A33)</f>
        <v/>
      </c>
      <c r="C242">
        <f>IF(A242="","",'Job Cards'!B33)</f>
        <v/>
      </c>
      <c r="D242">
        <f>IF(A242="","",'Job Cards'!D33)</f>
        <v/>
      </c>
      <c r="E242">
        <f>IF(A242="","",'Job Cards'!E33)</f>
        <v/>
      </c>
      <c r="F242" t="inlineStr">
        <is>
          <t>Final quality</t>
        </is>
      </c>
      <c r="G242" t="n">
        <v>70</v>
      </c>
      <c r="H242" t="inlineStr">
        <is>
          <t>Final quality</t>
        </is>
      </c>
      <c r="I242" t="inlineStr">
        <is>
          <t>Not Started</t>
        </is>
      </c>
      <c r="K242" s="234" t="n"/>
      <c r="L242" t="inlineStr">
        <is>
          <t>Open</t>
        </is>
      </c>
    </row>
    <row r="243">
      <c r="A243">
        <f>IF('Job Cards'!A33="","",'Job Cards'!K33)</f>
        <v/>
      </c>
      <c r="B243">
        <f>IF(A243="","",'Job Cards'!A33)</f>
        <v/>
      </c>
      <c r="C243">
        <f>IF(A243="","",'Job Cards'!B33)</f>
        <v/>
      </c>
      <c r="D243">
        <f>IF(A243="","",'Job Cards'!D33)</f>
        <v/>
      </c>
      <c r="E243">
        <f>IF(A243="","",'Job Cards'!E33)</f>
        <v/>
      </c>
      <c r="F243" t="inlineStr">
        <is>
          <t>Pack &amp; release</t>
        </is>
      </c>
      <c r="G243" t="n">
        <v>80</v>
      </c>
      <c r="H243" t="inlineStr">
        <is>
          <t>Pack &amp; release</t>
        </is>
      </c>
      <c r="I243" t="inlineStr">
        <is>
          <t>Not Started</t>
        </is>
      </c>
      <c r="K243" s="234" t="n"/>
      <c r="L243" t="inlineStr">
        <is>
          <t>Open</t>
        </is>
      </c>
    </row>
    <row r="244">
      <c r="A244">
        <f>IF('Job Cards'!A34="","",'Job Cards'!K34)</f>
        <v/>
      </c>
      <c r="B244">
        <f>IF(A244="","",'Job Cards'!A34)</f>
        <v/>
      </c>
      <c r="C244">
        <f>IF(A244="","",'Job Cards'!B34)</f>
        <v/>
      </c>
      <c r="D244">
        <f>IF(A244="","",'Job Cards'!D34)</f>
        <v/>
      </c>
      <c r="E244">
        <f>IF(A244="","",'Job Cards'!E34)</f>
        <v/>
      </c>
      <c r="F244" t="inlineStr">
        <is>
          <t>Kitting</t>
        </is>
      </c>
      <c r="G244" t="n">
        <v>10</v>
      </c>
      <c r="H244" t="inlineStr">
        <is>
          <t>Kitting</t>
        </is>
      </c>
      <c r="I244" t="inlineStr">
        <is>
          <t>Not Started</t>
        </is>
      </c>
      <c r="K244" s="234" t="n"/>
      <c r="L244" t="inlineStr">
        <is>
          <t>Open</t>
        </is>
      </c>
    </row>
    <row r="245">
      <c r="A245">
        <f>IF('Job Cards'!A34="","",'Job Cards'!K34)</f>
        <v/>
      </c>
      <c r="B245">
        <f>IF(A245="","",'Job Cards'!A34)</f>
        <v/>
      </c>
      <c r="C245">
        <f>IF(A245="","",'Job Cards'!B34)</f>
        <v/>
      </c>
      <c r="D245">
        <f>IF(A245="","",'Job Cards'!D34)</f>
        <v/>
      </c>
      <c r="E245">
        <f>IF(A245="","",'Job Cards'!E34)</f>
        <v/>
      </c>
      <c r="F245" t="inlineStr">
        <is>
          <t>Frame / frameset receipt</t>
        </is>
      </c>
      <c r="G245" t="n">
        <v>20</v>
      </c>
      <c r="H245" t="inlineStr">
        <is>
          <t>Frame / frameset receipt</t>
        </is>
      </c>
      <c r="I245" t="inlineStr">
        <is>
          <t>Not Started</t>
        </is>
      </c>
      <c r="K245" s="234" t="n"/>
      <c r="L245" t="inlineStr">
        <is>
          <t>Open</t>
        </is>
      </c>
    </row>
    <row r="246">
      <c r="A246">
        <f>IF('Job Cards'!A34="","",'Job Cards'!K34)</f>
        <v/>
      </c>
      <c r="B246">
        <f>IF(A246="","",'Job Cards'!A34)</f>
        <v/>
      </c>
      <c r="C246">
        <f>IF(A246="","",'Job Cards'!B34)</f>
        <v/>
      </c>
      <c r="D246">
        <f>IF(A246="","",'Job Cards'!D34)</f>
        <v/>
      </c>
      <c r="E246">
        <f>IF(A246="","",'Job Cards'!E34)</f>
        <v/>
      </c>
      <c r="F246" t="inlineStr">
        <is>
          <t>Drivetrain assembly</t>
        </is>
      </c>
      <c r="G246" t="n">
        <v>30</v>
      </c>
      <c r="H246" t="inlineStr">
        <is>
          <t>Drivetrain assembly</t>
        </is>
      </c>
      <c r="I246" t="inlineStr">
        <is>
          <t>Not Started</t>
        </is>
      </c>
      <c r="K246" s="234" t="n"/>
      <c r="L246" t="inlineStr">
        <is>
          <t>Open</t>
        </is>
      </c>
    </row>
    <row r="247">
      <c r="A247">
        <f>IF('Job Cards'!A34="","",'Job Cards'!K34)</f>
        <v/>
      </c>
      <c r="B247">
        <f>IF(A247="","",'Job Cards'!A34)</f>
        <v/>
      </c>
      <c r="C247">
        <f>IF(A247="","",'Job Cards'!B34)</f>
        <v/>
      </c>
      <c r="D247">
        <f>IF(A247="","",'Job Cards'!D34)</f>
        <v/>
      </c>
      <c r="E247">
        <f>IF(A247="","",'Job Cards'!E34)</f>
        <v/>
      </c>
      <c r="F247" t="inlineStr">
        <is>
          <t>Cockpit &amp; controls</t>
        </is>
      </c>
      <c r="G247" t="n">
        <v>40</v>
      </c>
      <c r="H247" t="inlineStr">
        <is>
          <t>Cockpit &amp; controls</t>
        </is>
      </c>
      <c r="I247" t="inlineStr">
        <is>
          <t>Not Started</t>
        </is>
      </c>
      <c r="K247" s="234" t="n"/>
      <c r="L247" t="inlineStr">
        <is>
          <t>Open</t>
        </is>
      </c>
    </row>
    <row r="248">
      <c r="A248">
        <f>IF('Job Cards'!A34="","",'Job Cards'!K34)</f>
        <v/>
      </c>
      <c r="B248">
        <f>IF(A248="","",'Job Cards'!A34)</f>
        <v/>
      </c>
      <c r="C248">
        <f>IF(A248="","",'Job Cards'!B34)</f>
        <v/>
      </c>
      <c r="D248">
        <f>IF(A248="","",'Job Cards'!D34)</f>
        <v/>
      </c>
      <c r="E248">
        <f>IF(A248="","",'Job Cards'!E34)</f>
        <v/>
      </c>
      <c r="F248" t="inlineStr">
        <is>
          <t>Wheel / tyre fitment</t>
        </is>
      </c>
      <c r="G248" t="n">
        <v>50</v>
      </c>
      <c r="H248" t="inlineStr">
        <is>
          <t>Wheel / tyre fitment</t>
        </is>
      </c>
      <c r="I248" t="inlineStr">
        <is>
          <t>Not Started</t>
        </is>
      </c>
      <c r="K248" s="234" t="n"/>
      <c r="L248" t="inlineStr">
        <is>
          <t>Open</t>
        </is>
      </c>
    </row>
    <row r="249">
      <c r="A249">
        <f>IF('Job Cards'!A34="","",'Job Cards'!K34)</f>
        <v/>
      </c>
      <c r="B249">
        <f>IF(A249="","",'Job Cards'!A34)</f>
        <v/>
      </c>
      <c r="C249">
        <f>IF(A249="","",'Job Cards'!B34)</f>
        <v/>
      </c>
      <c r="D249">
        <f>IF(A249="","",'Job Cards'!D34)</f>
        <v/>
      </c>
      <c r="E249">
        <f>IF(A249="","",'Job Cards'!E34)</f>
        <v/>
      </c>
      <c r="F249" t="inlineStr">
        <is>
          <t>Torque &amp; fit inspection</t>
        </is>
      </c>
      <c r="G249" t="n">
        <v>60</v>
      </c>
      <c r="H249" t="inlineStr">
        <is>
          <t>Torque &amp; fit inspection</t>
        </is>
      </c>
      <c r="I249" t="inlineStr">
        <is>
          <t>Not Started</t>
        </is>
      </c>
      <c r="K249" s="234" t="n"/>
      <c r="L249" t="inlineStr">
        <is>
          <t>Open</t>
        </is>
      </c>
    </row>
    <row r="250">
      <c r="A250">
        <f>IF('Job Cards'!A34="","",'Job Cards'!K34)</f>
        <v/>
      </c>
      <c r="B250">
        <f>IF(A250="","",'Job Cards'!A34)</f>
        <v/>
      </c>
      <c r="C250">
        <f>IF(A250="","",'Job Cards'!B34)</f>
        <v/>
      </c>
      <c r="D250">
        <f>IF(A250="","",'Job Cards'!D34)</f>
        <v/>
      </c>
      <c r="E250">
        <f>IF(A250="","",'Job Cards'!E34)</f>
        <v/>
      </c>
      <c r="F250" t="inlineStr">
        <is>
          <t>Final quality</t>
        </is>
      </c>
      <c r="G250" t="n">
        <v>70</v>
      </c>
      <c r="H250" t="inlineStr">
        <is>
          <t>Final quality</t>
        </is>
      </c>
      <c r="I250" t="inlineStr">
        <is>
          <t>Not Started</t>
        </is>
      </c>
      <c r="K250" s="234" t="n"/>
      <c r="L250" t="inlineStr">
        <is>
          <t>Open</t>
        </is>
      </c>
    </row>
    <row r="251">
      <c r="A251">
        <f>IF('Job Cards'!A34="","",'Job Cards'!K34)</f>
        <v/>
      </c>
      <c r="B251">
        <f>IF(A251="","",'Job Cards'!A34)</f>
        <v/>
      </c>
      <c r="C251">
        <f>IF(A251="","",'Job Cards'!B34)</f>
        <v/>
      </c>
      <c r="D251">
        <f>IF(A251="","",'Job Cards'!D34)</f>
        <v/>
      </c>
      <c r="E251">
        <f>IF(A251="","",'Job Cards'!E34)</f>
        <v/>
      </c>
      <c r="F251" t="inlineStr">
        <is>
          <t>Pack &amp; release</t>
        </is>
      </c>
      <c r="G251" t="n">
        <v>80</v>
      </c>
      <c r="H251" t="inlineStr">
        <is>
          <t>Pack &amp; release</t>
        </is>
      </c>
      <c r="I251" t="inlineStr">
        <is>
          <t>Not Started</t>
        </is>
      </c>
      <c r="K251" s="234" t="n"/>
      <c r="L251" t="inlineStr">
        <is>
          <t>Open</t>
        </is>
      </c>
    </row>
    <row r="252">
      <c r="A252">
        <f>IF('Job Cards'!A35="","",'Job Cards'!K35)</f>
        <v/>
      </c>
      <c r="B252">
        <f>IF(A252="","",'Job Cards'!A35)</f>
        <v/>
      </c>
      <c r="C252">
        <f>IF(A252="","",'Job Cards'!B35)</f>
        <v/>
      </c>
      <c r="D252">
        <f>IF(A252="","",'Job Cards'!D35)</f>
        <v/>
      </c>
      <c r="E252">
        <f>IF(A252="","",'Job Cards'!E35)</f>
        <v/>
      </c>
      <c r="F252" t="inlineStr">
        <is>
          <t>Kitting</t>
        </is>
      </c>
      <c r="G252" t="n">
        <v>10</v>
      </c>
      <c r="H252" t="inlineStr">
        <is>
          <t>Kitting</t>
        </is>
      </c>
      <c r="I252" t="inlineStr">
        <is>
          <t>Not Started</t>
        </is>
      </c>
      <c r="K252" s="234" t="n"/>
      <c r="L252" t="inlineStr">
        <is>
          <t>Open</t>
        </is>
      </c>
    </row>
    <row r="253">
      <c r="A253">
        <f>IF('Job Cards'!A35="","",'Job Cards'!K35)</f>
        <v/>
      </c>
      <c r="B253">
        <f>IF(A253="","",'Job Cards'!A35)</f>
        <v/>
      </c>
      <c r="C253">
        <f>IF(A253="","",'Job Cards'!B35)</f>
        <v/>
      </c>
      <c r="D253">
        <f>IF(A253="","",'Job Cards'!D35)</f>
        <v/>
      </c>
      <c r="E253">
        <f>IF(A253="","",'Job Cards'!E35)</f>
        <v/>
      </c>
      <c r="F253" t="inlineStr">
        <is>
          <t>Frame / frameset receipt</t>
        </is>
      </c>
      <c r="G253" t="n">
        <v>20</v>
      </c>
      <c r="H253" t="inlineStr">
        <is>
          <t>Frame / frameset receipt</t>
        </is>
      </c>
      <c r="I253" t="inlineStr">
        <is>
          <t>Not Started</t>
        </is>
      </c>
      <c r="K253" s="234" t="n"/>
      <c r="L253" t="inlineStr">
        <is>
          <t>Open</t>
        </is>
      </c>
    </row>
    <row r="254">
      <c r="A254">
        <f>IF('Job Cards'!A35="","",'Job Cards'!K35)</f>
        <v/>
      </c>
      <c r="B254">
        <f>IF(A254="","",'Job Cards'!A35)</f>
        <v/>
      </c>
      <c r="C254">
        <f>IF(A254="","",'Job Cards'!B35)</f>
        <v/>
      </c>
      <c r="D254">
        <f>IF(A254="","",'Job Cards'!D35)</f>
        <v/>
      </c>
      <c r="E254">
        <f>IF(A254="","",'Job Cards'!E35)</f>
        <v/>
      </c>
      <c r="F254" t="inlineStr">
        <is>
          <t>Drivetrain assembly</t>
        </is>
      </c>
      <c r="G254" t="n">
        <v>30</v>
      </c>
      <c r="H254" t="inlineStr">
        <is>
          <t>Drivetrain assembly</t>
        </is>
      </c>
      <c r="I254" t="inlineStr">
        <is>
          <t>Not Started</t>
        </is>
      </c>
      <c r="K254" s="234" t="n"/>
      <c r="L254" t="inlineStr">
        <is>
          <t>Open</t>
        </is>
      </c>
    </row>
    <row r="255">
      <c r="A255">
        <f>IF('Job Cards'!A35="","",'Job Cards'!K35)</f>
        <v/>
      </c>
      <c r="B255">
        <f>IF(A255="","",'Job Cards'!A35)</f>
        <v/>
      </c>
      <c r="C255">
        <f>IF(A255="","",'Job Cards'!B35)</f>
        <v/>
      </c>
      <c r="D255">
        <f>IF(A255="","",'Job Cards'!D35)</f>
        <v/>
      </c>
      <c r="E255">
        <f>IF(A255="","",'Job Cards'!E35)</f>
        <v/>
      </c>
      <c r="F255" t="inlineStr">
        <is>
          <t>Cockpit &amp; controls</t>
        </is>
      </c>
      <c r="G255" t="n">
        <v>40</v>
      </c>
      <c r="H255" t="inlineStr">
        <is>
          <t>Cockpit &amp; controls</t>
        </is>
      </c>
      <c r="I255" t="inlineStr">
        <is>
          <t>Not Started</t>
        </is>
      </c>
      <c r="K255" s="234" t="n"/>
      <c r="L255" t="inlineStr">
        <is>
          <t>Open</t>
        </is>
      </c>
    </row>
    <row r="256">
      <c r="A256">
        <f>IF('Job Cards'!A35="","",'Job Cards'!K35)</f>
        <v/>
      </c>
      <c r="B256">
        <f>IF(A256="","",'Job Cards'!A35)</f>
        <v/>
      </c>
      <c r="C256">
        <f>IF(A256="","",'Job Cards'!B35)</f>
        <v/>
      </c>
      <c r="D256">
        <f>IF(A256="","",'Job Cards'!D35)</f>
        <v/>
      </c>
      <c r="E256">
        <f>IF(A256="","",'Job Cards'!E35)</f>
        <v/>
      </c>
      <c r="F256" t="inlineStr">
        <is>
          <t>Wheel / tyre fitment</t>
        </is>
      </c>
      <c r="G256" t="n">
        <v>50</v>
      </c>
      <c r="H256" t="inlineStr">
        <is>
          <t>Wheel / tyre fitment</t>
        </is>
      </c>
      <c r="I256" t="inlineStr">
        <is>
          <t>Not Started</t>
        </is>
      </c>
      <c r="K256" s="234" t="n"/>
      <c r="L256" t="inlineStr">
        <is>
          <t>Open</t>
        </is>
      </c>
    </row>
    <row r="257">
      <c r="A257">
        <f>IF('Job Cards'!A35="","",'Job Cards'!K35)</f>
        <v/>
      </c>
      <c r="B257">
        <f>IF(A257="","",'Job Cards'!A35)</f>
        <v/>
      </c>
      <c r="C257">
        <f>IF(A257="","",'Job Cards'!B35)</f>
        <v/>
      </c>
      <c r="D257">
        <f>IF(A257="","",'Job Cards'!D35)</f>
        <v/>
      </c>
      <c r="E257">
        <f>IF(A257="","",'Job Cards'!E35)</f>
        <v/>
      </c>
      <c r="F257" t="inlineStr">
        <is>
          <t>Torque &amp; fit inspection</t>
        </is>
      </c>
      <c r="G257" t="n">
        <v>60</v>
      </c>
      <c r="H257" t="inlineStr">
        <is>
          <t>Torque &amp; fit inspection</t>
        </is>
      </c>
      <c r="I257" t="inlineStr">
        <is>
          <t>Not Started</t>
        </is>
      </c>
      <c r="K257" s="234" t="n"/>
      <c r="L257" t="inlineStr">
        <is>
          <t>Open</t>
        </is>
      </c>
    </row>
    <row r="258">
      <c r="A258">
        <f>IF('Job Cards'!A35="","",'Job Cards'!K35)</f>
        <v/>
      </c>
      <c r="B258">
        <f>IF(A258="","",'Job Cards'!A35)</f>
        <v/>
      </c>
      <c r="C258">
        <f>IF(A258="","",'Job Cards'!B35)</f>
        <v/>
      </c>
      <c r="D258">
        <f>IF(A258="","",'Job Cards'!D35)</f>
        <v/>
      </c>
      <c r="E258">
        <f>IF(A258="","",'Job Cards'!E35)</f>
        <v/>
      </c>
      <c r="F258" t="inlineStr">
        <is>
          <t>Final quality</t>
        </is>
      </c>
      <c r="G258" t="n">
        <v>70</v>
      </c>
      <c r="H258" t="inlineStr">
        <is>
          <t>Final quality</t>
        </is>
      </c>
      <c r="I258" t="inlineStr">
        <is>
          <t>Not Started</t>
        </is>
      </c>
      <c r="K258" s="234" t="n"/>
      <c r="L258" t="inlineStr">
        <is>
          <t>Open</t>
        </is>
      </c>
    </row>
    <row r="259">
      <c r="A259">
        <f>IF('Job Cards'!A35="","",'Job Cards'!K35)</f>
        <v/>
      </c>
      <c r="B259">
        <f>IF(A259="","",'Job Cards'!A35)</f>
        <v/>
      </c>
      <c r="C259">
        <f>IF(A259="","",'Job Cards'!B35)</f>
        <v/>
      </c>
      <c r="D259">
        <f>IF(A259="","",'Job Cards'!D35)</f>
        <v/>
      </c>
      <c r="E259">
        <f>IF(A259="","",'Job Cards'!E35)</f>
        <v/>
      </c>
      <c r="F259" t="inlineStr">
        <is>
          <t>Pack &amp; release</t>
        </is>
      </c>
      <c r="G259" t="n">
        <v>80</v>
      </c>
      <c r="H259" t="inlineStr">
        <is>
          <t>Pack &amp; release</t>
        </is>
      </c>
      <c r="I259" t="inlineStr">
        <is>
          <t>Not Started</t>
        </is>
      </c>
      <c r="K259" s="234" t="n"/>
      <c r="L259" t="inlineStr">
        <is>
          <t>Open</t>
        </is>
      </c>
    </row>
    <row r="260">
      <c r="A260">
        <f>IF('Job Cards'!A36="","",'Job Cards'!K36)</f>
        <v/>
      </c>
      <c r="B260">
        <f>IF(A260="","",'Job Cards'!A36)</f>
        <v/>
      </c>
      <c r="C260">
        <f>IF(A260="","",'Job Cards'!B36)</f>
        <v/>
      </c>
      <c r="D260">
        <f>IF(A260="","",'Job Cards'!D36)</f>
        <v/>
      </c>
      <c r="E260">
        <f>IF(A260="","",'Job Cards'!E36)</f>
        <v/>
      </c>
      <c r="F260" t="inlineStr">
        <is>
          <t>Kitting</t>
        </is>
      </c>
      <c r="G260" t="n">
        <v>10</v>
      </c>
      <c r="H260" t="inlineStr">
        <is>
          <t>Kitting</t>
        </is>
      </c>
      <c r="I260" t="inlineStr">
        <is>
          <t>Not Started</t>
        </is>
      </c>
      <c r="K260" s="234" t="n"/>
      <c r="L260" t="inlineStr">
        <is>
          <t>Open</t>
        </is>
      </c>
    </row>
    <row r="261">
      <c r="A261">
        <f>IF('Job Cards'!A36="","",'Job Cards'!K36)</f>
        <v/>
      </c>
      <c r="B261">
        <f>IF(A261="","",'Job Cards'!A36)</f>
        <v/>
      </c>
      <c r="C261">
        <f>IF(A261="","",'Job Cards'!B36)</f>
        <v/>
      </c>
      <c r="D261">
        <f>IF(A261="","",'Job Cards'!D36)</f>
        <v/>
      </c>
      <c r="E261">
        <f>IF(A261="","",'Job Cards'!E36)</f>
        <v/>
      </c>
      <c r="F261" t="inlineStr">
        <is>
          <t>Frame / frameset receipt</t>
        </is>
      </c>
      <c r="G261" t="n">
        <v>20</v>
      </c>
      <c r="H261" t="inlineStr">
        <is>
          <t>Frame / frameset receipt</t>
        </is>
      </c>
      <c r="I261" t="inlineStr">
        <is>
          <t>Not Started</t>
        </is>
      </c>
      <c r="K261" s="234" t="n"/>
      <c r="L261" t="inlineStr">
        <is>
          <t>Open</t>
        </is>
      </c>
    </row>
    <row r="262">
      <c r="A262">
        <f>IF('Job Cards'!A36="","",'Job Cards'!K36)</f>
        <v/>
      </c>
      <c r="B262">
        <f>IF(A262="","",'Job Cards'!A36)</f>
        <v/>
      </c>
      <c r="C262">
        <f>IF(A262="","",'Job Cards'!B36)</f>
        <v/>
      </c>
      <c r="D262">
        <f>IF(A262="","",'Job Cards'!D36)</f>
        <v/>
      </c>
      <c r="E262">
        <f>IF(A262="","",'Job Cards'!E36)</f>
        <v/>
      </c>
      <c r="F262" t="inlineStr">
        <is>
          <t>Drivetrain assembly</t>
        </is>
      </c>
      <c r="G262" t="n">
        <v>30</v>
      </c>
      <c r="H262" t="inlineStr">
        <is>
          <t>Drivetrain assembly</t>
        </is>
      </c>
      <c r="I262" t="inlineStr">
        <is>
          <t>Not Started</t>
        </is>
      </c>
      <c r="K262" s="234" t="n"/>
      <c r="L262" t="inlineStr">
        <is>
          <t>Open</t>
        </is>
      </c>
    </row>
    <row r="263">
      <c r="A263">
        <f>IF('Job Cards'!A36="","",'Job Cards'!K36)</f>
        <v/>
      </c>
      <c r="B263">
        <f>IF(A263="","",'Job Cards'!A36)</f>
        <v/>
      </c>
      <c r="C263">
        <f>IF(A263="","",'Job Cards'!B36)</f>
        <v/>
      </c>
      <c r="D263">
        <f>IF(A263="","",'Job Cards'!D36)</f>
        <v/>
      </c>
      <c r="E263">
        <f>IF(A263="","",'Job Cards'!E36)</f>
        <v/>
      </c>
      <c r="F263" t="inlineStr">
        <is>
          <t>Cockpit &amp; controls</t>
        </is>
      </c>
      <c r="G263" t="n">
        <v>40</v>
      </c>
      <c r="H263" t="inlineStr">
        <is>
          <t>Cockpit &amp; controls</t>
        </is>
      </c>
      <c r="I263" t="inlineStr">
        <is>
          <t>Not Started</t>
        </is>
      </c>
      <c r="K263" s="234" t="n"/>
      <c r="L263" t="inlineStr">
        <is>
          <t>Open</t>
        </is>
      </c>
    </row>
    <row r="264">
      <c r="A264">
        <f>IF('Job Cards'!A36="","",'Job Cards'!K36)</f>
        <v/>
      </c>
      <c r="B264">
        <f>IF(A264="","",'Job Cards'!A36)</f>
        <v/>
      </c>
      <c r="C264">
        <f>IF(A264="","",'Job Cards'!B36)</f>
        <v/>
      </c>
      <c r="D264">
        <f>IF(A264="","",'Job Cards'!D36)</f>
        <v/>
      </c>
      <c r="E264">
        <f>IF(A264="","",'Job Cards'!E36)</f>
        <v/>
      </c>
      <c r="F264" t="inlineStr">
        <is>
          <t>Wheel / tyre fitment</t>
        </is>
      </c>
      <c r="G264" t="n">
        <v>50</v>
      </c>
      <c r="H264" t="inlineStr">
        <is>
          <t>Wheel / tyre fitment</t>
        </is>
      </c>
      <c r="I264" t="inlineStr">
        <is>
          <t>Not Started</t>
        </is>
      </c>
      <c r="K264" s="234" t="n"/>
      <c r="L264" t="inlineStr">
        <is>
          <t>Open</t>
        </is>
      </c>
    </row>
    <row r="265">
      <c r="A265">
        <f>IF('Job Cards'!A36="","",'Job Cards'!K36)</f>
        <v/>
      </c>
      <c r="B265">
        <f>IF(A265="","",'Job Cards'!A36)</f>
        <v/>
      </c>
      <c r="C265">
        <f>IF(A265="","",'Job Cards'!B36)</f>
        <v/>
      </c>
      <c r="D265">
        <f>IF(A265="","",'Job Cards'!D36)</f>
        <v/>
      </c>
      <c r="E265">
        <f>IF(A265="","",'Job Cards'!E36)</f>
        <v/>
      </c>
      <c r="F265" t="inlineStr">
        <is>
          <t>Torque &amp; fit inspection</t>
        </is>
      </c>
      <c r="G265" t="n">
        <v>60</v>
      </c>
      <c r="H265" t="inlineStr">
        <is>
          <t>Torque &amp; fit inspection</t>
        </is>
      </c>
      <c r="I265" t="inlineStr">
        <is>
          <t>Not Started</t>
        </is>
      </c>
      <c r="K265" s="234" t="n"/>
      <c r="L265" t="inlineStr">
        <is>
          <t>Open</t>
        </is>
      </c>
    </row>
    <row r="266">
      <c r="A266">
        <f>IF('Job Cards'!A36="","",'Job Cards'!K36)</f>
        <v/>
      </c>
      <c r="B266">
        <f>IF(A266="","",'Job Cards'!A36)</f>
        <v/>
      </c>
      <c r="C266">
        <f>IF(A266="","",'Job Cards'!B36)</f>
        <v/>
      </c>
      <c r="D266">
        <f>IF(A266="","",'Job Cards'!D36)</f>
        <v/>
      </c>
      <c r="E266">
        <f>IF(A266="","",'Job Cards'!E36)</f>
        <v/>
      </c>
      <c r="F266" t="inlineStr">
        <is>
          <t>Final quality</t>
        </is>
      </c>
      <c r="G266" t="n">
        <v>70</v>
      </c>
      <c r="H266" t="inlineStr">
        <is>
          <t>Final quality</t>
        </is>
      </c>
      <c r="I266" t="inlineStr">
        <is>
          <t>Not Started</t>
        </is>
      </c>
      <c r="K266" s="234" t="n"/>
      <c r="L266" t="inlineStr">
        <is>
          <t>Open</t>
        </is>
      </c>
    </row>
    <row r="267">
      <c r="A267">
        <f>IF('Job Cards'!A36="","",'Job Cards'!K36)</f>
        <v/>
      </c>
      <c r="B267">
        <f>IF(A267="","",'Job Cards'!A36)</f>
        <v/>
      </c>
      <c r="C267">
        <f>IF(A267="","",'Job Cards'!B36)</f>
        <v/>
      </c>
      <c r="D267">
        <f>IF(A267="","",'Job Cards'!D36)</f>
        <v/>
      </c>
      <c r="E267">
        <f>IF(A267="","",'Job Cards'!E36)</f>
        <v/>
      </c>
      <c r="F267" t="inlineStr">
        <is>
          <t>Pack &amp; release</t>
        </is>
      </c>
      <c r="G267" t="n">
        <v>80</v>
      </c>
      <c r="H267" t="inlineStr">
        <is>
          <t>Pack &amp; release</t>
        </is>
      </c>
      <c r="I267" t="inlineStr">
        <is>
          <t>Not Started</t>
        </is>
      </c>
      <c r="K267" s="234" t="n"/>
      <c r="L267" t="inlineStr">
        <is>
          <t>Open</t>
        </is>
      </c>
    </row>
    <row r="268">
      <c r="A268">
        <f>IF('Job Cards'!A37="","",'Job Cards'!K37)</f>
        <v/>
      </c>
      <c r="B268">
        <f>IF(A268="","",'Job Cards'!A37)</f>
        <v/>
      </c>
      <c r="C268">
        <f>IF(A268="","",'Job Cards'!B37)</f>
        <v/>
      </c>
      <c r="D268">
        <f>IF(A268="","",'Job Cards'!D37)</f>
        <v/>
      </c>
      <c r="E268">
        <f>IF(A268="","",'Job Cards'!E37)</f>
        <v/>
      </c>
      <c r="F268" t="inlineStr">
        <is>
          <t>Kitting</t>
        </is>
      </c>
      <c r="G268" t="n">
        <v>10</v>
      </c>
      <c r="H268" t="inlineStr">
        <is>
          <t>Kitting</t>
        </is>
      </c>
      <c r="I268" t="inlineStr">
        <is>
          <t>Not Started</t>
        </is>
      </c>
      <c r="K268" s="234" t="n"/>
      <c r="L268" t="inlineStr">
        <is>
          <t>Open</t>
        </is>
      </c>
    </row>
    <row r="269">
      <c r="A269">
        <f>IF('Job Cards'!A37="","",'Job Cards'!K37)</f>
        <v/>
      </c>
      <c r="B269">
        <f>IF(A269="","",'Job Cards'!A37)</f>
        <v/>
      </c>
      <c r="C269">
        <f>IF(A269="","",'Job Cards'!B37)</f>
        <v/>
      </c>
      <c r="D269">
        <f>IF(A269="","",'Job Cards'!D37)</f>
        <v/>
      </c>
      <c r="E269">
        <f>IF(A269="","",'Job Cards'!E37)</f>
        <v/>
      </c>
      <c r="F269" t="inlineStr">
        <is>
          <t>Frame / frameset receipt</t>
        </is>
      </c>
      <c r="G269" t="n">
        <v>20</v>
      </c>
      <c r="H269" t="inlineStr">
        <is>
          <t>Frame / frameset receipt</t>
        </is>
      </c>
      <c r="I269" t="inlineStr">
        <is>
          <t>Not Started</t>
        </is>
      </c>
      <c r="K269" s="234" t="n"/>
      <c r="L269" t="inlineStr">
        <is>
          <t>Open</t>
        </is>
      </c>
    </row>
    <row r="270">
      <c r="A270">
        <f>IF('Job Cards'!A37="","",'Job Cards'!K37)</f>
        <v/>
      </c>
      <c r="B270">
        <f>IF(A270="","",'Job Cards'!A37)</f>
        <v/>
      </c>
      <c r="C270">
        <f>IF(A270="","",'Job Cards'!B37)</f>
        <v/>
      </c>
      <c r="D270">
        <f>IF(A270="","",'Job Cards'!D37)</f>
        <v/>
      </c>
      <c r="E270">
        <f>IF(A270="","",'Job Cards'!E37)</f>
        <v/>
      </c>
      <c r="F270" t="inlineStr">
        <is>
          <t>Drivetrain assembly</t>
        </is>
      </c>
      <c r="G270" t="n">
        <v>30</v>
      </c>
      <c r="H270" t="inlineStr">
        <is>
          <t>Drivetrain assembly</t>
        </is>
      </c>
      <c r="I270" t="inlineStr">
        <is>
          <t>Not Started</t>
        </is>
      </c>
      <c r="K270" s="234" t="n"/>
      <c r="L270" t="inlineStr">
        <is>
          <t>Open</t>
        </is>
      </c>
    </row>
    <row r="271">
      <c r="A271">
        <f>IF('Job Cards'!A37="","",'Job Cards'!K37)</f>
        <v/>
      </c>
      <c r="B271">
        <f>IF(A271="","",'Job Cards'!A37)</f>
        <v/>
      </c>
      <c r="C271">
        <f>IF(A271="","",'Job Cards'!B37)</f>
        <v/>
      </c>
      <c r="D271">
        <f>IF(A271="","",'Job Cards'!D37)</f>
        <v/>
      </c>
      <c r="E271">
        <f>IF(A271="","",'Job Cards'!E37)</f>
        <v/>
      </c>
      <c r="F271" t="inlineStr">
        <is>
          <t>Cockpit &amp; controls</t>
        </is>
      </c>
      <c r="G271" t="n">
        <v>40</v>
      </c>
      <c r="H271" t="inlineStr">
        <is>
          <t>Cockpit &amp; controls</t>
        </is>
      </c>
      <c r="I271" t="inlineStr">
        <is>
          <t>Not Started</t>
        </is>
      </c>
      <c r="K271" s="234" t="n"/>
      <c r="L271" t="inlineStr">
        <is>
          <t>Open</t>
        </is>
      </c>
    </row>
    <row r="272">
      <c r="A272">
        <f>IF('Job Cards'!A37="","",'Job Cards'!K37)</f>
        <v/>
      </c>
      <c r="B272">
        <f>IF(A272="","",'Job Cards'!A37)</f>
        <v/>
      </c>
      <c r="C272">
        <f>IF(A272="","",'Job Cards'!B37)</f>
        <v/>
      </c>
      <c r="D272">
        <f>IF(A272="","",'Job Cards'!D37)</f>
        <v/>
      </c>
      <c r="E272">
        <f>IF(A272="","",'Job Cards'!E37)</f>
        <v/>
      </c>
      <c r="F272" t="inlineStr">
        <is>
          <t>Wheel / tyre fitment</t>
        </is>
      </c>
      <c r="G272" t="n">
        <v>50</v>
      </c>
      <c r="H272" t="inlineStr">
        <is>
          <t>Wheel / tyre fitment</t>
        </is>
      </c>
      <c r="I272" t="inlineStr">
        <is>
          <t>Not Started</t>
        </is>
      </c>
      <c r="K272" s="234" t="n"/>
      <c r="L272" t="inlineStr">
        <is>
          <t>Open</t>
        </is>
      </c>
    </row>
    <row r="273">
      <c r="A273">
        <f>IF('Job Cards'!A37="","",'Job Cards'!K37)</f>
        <v/>
      </c>
      <c r="B273">
        <f>IF(A273="","",'Job Cards'!A37)</f>
        <v/>
      </c>
      <c r="C273">
        <f>IF(A273="","",'Job Cards'!B37)</f>
        <v/>
      </c>
      <c r="D273">
        <f>IF(A273="","",'Job Cards'!D37)</f>
        <v/>
      </c>
      <c r="E273">
        <f>IF(A273="","",'Job Cards'!E37)</f>
        <v/>
      </c>
      <c r="F273" t="inlineStr">
        <is>
          <t>Torque &amp; fit inspection</t>
        </is>
      </c>
      <c r="G273" t="n">
        <v>60</v>
      </c>
      <c r="H273" t="inlineStr">
        <is>
          <t>Torque &amp; fit inspection</t>
        </is>
      </c>
      <c r="I273" t="inlineStr">
        <is>
          <t>Not Started</t>
        </is>
      </c>
      <c r="K273" s="234" t="n"/>
      <c r="L273" t="inlineStr">
        <is>
          <t>Open</t>
        </is>
      </c>
    </row>
    <row r="274">
      <c r="A274">
        <f>IF('Job Cards'!A37="","",'Job Cards'!K37)</f>
        <v/>
      </c>
      <c r="B274">
        <f>IF(A274="","",'Job Cards'!A37)</f>
        <v/>
      </c>
      <c r="C274">
        <f>IF(A274="","",'Job Cards'!B37)</f>
        <v/>
      </c>
      <c r="D274">
        <f>IF(A274="","",'Job Cards'!D37)</f>
        <v/>
      </c>
      <c r="E274">
        <f>IF(A274="","",'Job Cards'!E37)</f>
        <v/>
      </c>
      <c r="F274" t="inlineStr">
        <is>
          <t>Final quality</t>
        </is>
      </c>
      <c r="G274" t="n">
        <v>70</v>
      </c>
      <c r="H274" t="inlineStr">
        <is>
          <t>Final quality</t>
        </is>
      </c>
      <c r="I274" t="inlineStr">
        <is>
          <t>Not Started</t>
        </is>
      </c>
      <c r="K274" s="234" t="n"/>
      <c r="L274" t="inlineStr">
        <is>
          <t>Open</t>
        </is>
      </c>
    </row>
    <row r="275">
      <c r="A275">
        <f>IF('Job Cards'!A37="","",'Job Cards'!K37)</f>
        <v/>
      </c>
      <c r="B275">
        <f>IF(A275="","",'Job Cards'!A37)</f>
        <v/>
      </c>
      <c r="C275">
        <f>IF(A275="","",'Job Cards'!B37)</f>
        <v/>
      </c>
      <c r="D275">
        <f>IF(A275="","",'Job Cards'!D37)</f>
        <v/>
      </c>
      <c r="E275">
        <f>IF(A275="","",'Job Cards'!E37)</f>
        <v/>
      </c>
      <c r="F275" t="inlineStr">
        <is>
          <t>Pack &amp; release</t>
        </is>
      </c>
      <c r="G275" t="n">
        <v>80</v>
      </c>
      <c r="H275" t="inlineStr">
        <is>
          <t>Pack &amp; release</t>
        </is>
      </c>
      <c r="I275" t="inlineStr">
        <is>
          <t>Not Started</t>
        </is>
      </c>
      <c r="K275" s="234" t="n"/>
      <c r="L275" t="inlineStr">
        <is>
          <t>Open</t>
        </is>
      </c>
    </row>
    <row r="276">
      <c r="A276">
        <f>IF('Job Cards'!A38="","",'Job Cards'!K38)</f>
        <v/>
      </c>
      <c r="B276">
        <f>IF(A276="","",'Job Cards'!A38)</f>
        <v/>
      </c>
      <c r="C276">
        <f>IF(A276="","",'Job Cards'!B38)</f>
        <v/>
      </c>
      <c r="D276">
        <f>IF(A276="","",'Job Cards'!D38)</f>
        <v/>
      </c>
      <c r="E276">
        <f>IF(A276="","",'Job Cards'!E38)</f>
        <v/>
      </c>
      <c r="F276" t="inlineStr">
        <is>
          <t>Kitting</t>
        </is>
      </c>
      <c r="G276" t="n">
        <v>10</v>
      </c>
      <c r="H276" t="inlineStr">
        <is>
          <t>Kitting</t>
        </is>
      </c>
      <c r="I276" t="inlineStr">
        <is>
          <t>Not Started</t>
        </is>
      </c>
      <c r="K276" s="234" t="n"/>
      <c r="L276" t="inlineStr">
        <is>
          <t>Open</t>
        </is>
      </c>
    </row>
    <row r="277">
      <c r="A277">
        <f>IF('Job Cards'!A38="","",'Job Cards'!K38)</f>
        <v/>
      </c>
      <c r="B277">
        <f>IF(A277="","",'Job Cards'!A38)</f>
        <v/>
      </c>
      <c r="C277">
        <f>IF(A277="","",'Job Cards'!B38)</f>
        <v/>
      </c>
      <c r="D277">
        <f>IF(A277="","",'Job Cards'!D38)</f>
        <v/>
      </c>
      <c r="E277">
        <f>IF(A277="","",'Job Cards'!E38)</f>
        <v/>
      </c>
      <c r="F277" t="inlineStr">
        <is>
          <t>Frame / frameset receipt</t>
        </is>
      </c>
      <c r="G277" t="n">
        <v>20</v>
      </c>
      <c r="H277" t="inlineStr">
        <is>
          <t>Frame / frameset receipt</t>
        </is>
      </c>
      <c r="I277" t="inlineStr">
        <is>
          <t>Not Started</t>
        </is>
      </c>
      <c r="K277" s="234" t="n"/>
      <c r="L277" t="inlineStr">
        <is>
          <t>Open</t>
        </is>
      </c>
    </row>
    <row r="278">
      <c r="A278">
        <f>IF('Job Cards'!A38="","",'Job Cards'!K38)</f>
        <v/>
      </c>
      <c r="B278">
        <f>IF(A278="","",'Job Cards'!A38)</f>
        <v/>
      </c>
      <c r="C278">
        <f>IF(A278="","",'Job Cards'!B38)</f>
        <v/>
      </c>
      <c r="D278">
        <f>IF(A278="","",'Job Cards'!D38)</f>
        <v/>
      </c>
      <c r="E278">
        <f>IF(A278="","",'Job Cards'!E38)</f>
        <v/>
      </c>
      <c r="F278" t="inlineStr">
        <is>
          <t>Drivetrain assembly</t>
        </is>
      </c>
      <c r="G278" t="n">
        <v>30</v>
      </c>
      <c r="H278" t="inlineStr">
        <is>
          <t>Drivetrain assembly</t>
        </is>
      </c>
      <c r="I278" t="inlineStr">
        <is>
          <t>Not Started</t>
        </is>
      </c>
      <c r="K278" s="234" t="n"/>
      <c r="L278" t="inlineStr">
        <is>
          <t>Open</t>
        </is>
      </c>
    </row>
    <row r="279">
      <c r="A279">
        <f>IF('Job Cards'!A38="","",'Job Cards'!K38)</f>
        <v/>
      </c>
      <c r="B279">
        <f>IF(A279="","",'Job Cards'!A38)</f>
        <v/>
      </c>
      <c r="C279">
        <f>IF(A279="","",'Job Cards'!B38)</f>
        <v/>
      </c>
      <c r="D279">
        <f>IF(A279="","",'Job Cards'!D38)</f>
        <v/>
      </c>
      <c r="E279">
        <f>IF(A279="","",'Job Cards'!E38)</f>
        <v/>
      </c>
      <c r="F279" t="inlineStr">
        <is>
          <t>Cockpit &amp; controls</t>
        </is>
      </c>
      <c r="G279" t="n">
        <v>40</v>
      </c>
      <c r="H279" t="inlineStr">
        <is>
          <t>Cockpit &amp; controls</t>
        </is>
      </c>
      <c r="I279" t="inlineStr">
        <is>
          <t>Not Started</t>
        </is>
      </c>
      <c r="K279" s="234" t="n"/>
      <c r="L279" t="inlineStr">
        <is>
          <t>Open</t>
        </is>
      </c>
    </row>
    <row r="280">
      <c r="A280">
        <f>IF('Job Cards'!A38="","",'Job Cards'!K38)</f>
        <v/>
      </c>
      <c r="B280">
        <f>IF(A280="","",'Job Cards'!A38)</f>
        <v/>
      </c>
      <c r="C280">
        <f>IF(A280="","",'Job Cards'!B38)</f>
        <v/>
      </c>
      <c r="D280">
        <f>IF(A280="","",'Job Cards'!D38)</f>
        <v/>
      </c>
      <c r="E280">
        <f>IF(A280="","",'Job Cards'!E38)</f>
        <v/>
      </c>
      <c r="F280" t="inlineStr">
        <is>
          <t>Wheel / tyre fitment</t>
        </is>
      </c>
      <c r="G280" t="n">
        <v>50</v>
      </c>
      <c r="H280" t="inlineStr">
        <is>
          <t>Wheel / tyre fitment</t>
        </is>
      </c>
      <c r="I280" t="inlineStr">
        <is>
          <t>Not Started</t>
        </is>
      </c>
      <c r="K280" s="234" t="n"/>
      <c r="L280" t="inlineStr">
        <is>
          <t>Open</t>
        </is>
      </c>
    </row>
    <row r="281">
      <c r="A281">
        <f>IF('Job Cards'!A38="","",'Job Cards'!K38)</f>
        <v/>
      </c>
      <c r="B281">
        <f>IF(A281="","",'Job Cards'!A38)</f>
        <v/>
      </c>
      <c r="C281">
        <f>IF(A281="","",'Job Cards'!B38)</f>
        <v/>
      </c>
      <c r="D281">
        <f>IF(A281="","",'Job Cards'!D38)</f>
        <v/>
      </c>
      <c r="E281">
        <f>IF(A281="","",'Job Cards'!E38)</f>
        <v/>
      </c>
      <c r="F281" t="inlineStr">
        <is>
          <t>Torque &amp; fit inspection</t>
        </is>
      </c>
      <c r="G281" t="n">
        <v>60</v>
      </c>
      <c r="H281" t="inlineStr">
        <is>
          <t>Torque &amp; fit inspection</t>
        </is>
      </c>
      <c r="I281" t="inlineStr">
        <is>
          <t>Not Started</t>
        </is>
      </c>
      <c r="K281" s="234" t="n"/>
      <c r="L281" t="inlineStr">
        <is>
          <t>Open</t>
        </is>
      </c>
    </row>
    <row r="282">
      <c r="A282">
        <f>IF('Job Cards'!A38="","",'Job Cards'!K38)</f>
        <v/>
      </c>
      <c r="B282">
        <f>IF(A282="","",'Job Cards'!A38)</f>
        <v/>
      </c>
      <c r="C282">
        <f>IF(A282="","",'Job Cards'!B38)</f>
        <v/>
      </c>
      <c r="D282">
        <f>IF(A282="","",'Job Cards'!D38)</f>
        <v/>
      </c>
      <c r="E282">
        <f>IF(A282="","",'Job Cards'!E38)</f>
        <v/>
      </c>
      <c r="F282" t="inlineStr">
        <is>
          <t>Final quality</t>
        </is>
      </c>
      <c r="G282" t="n">
        <v>70</v>
      </c>
      <c r="H282" t="inlineStr">
        <is>
          <t>Final quality</t>
        </is>
      </c>
      <c r="I282" t="inlineStr">
        <is>
          <t>Not Started</t>
        </is>
      </c>
      <c r="K282" s="234" t="n"/>
      <c r="L282" t="inlineStr">
        <is>
          <t>Open</t>
        </is>
      </c>
    </row>
    <row r="283">
      <c r="A283">
        <f>IF('Job Cards'!A38="","",'Job Cards'!K38)</f>
        <v/>
      </c>
      <c r="B283">
        <f>IF(A283="","",'Job Cards'!A38)</f>
        <v/>
      </c>
      <c r="C283">
        <f>IF(A283="","",'Job Cards'!B38)</f>
        <v/>
      </c>
      <c r="D283">
        <f>IF(A283="","",'Job Cards'!D38)</f>
        <v/>
      </c>
      <c r="E283">
        <f>IF(A283="","",'Job Cards'!E38)</f>
        <v/>
      </c>
      <c r="F283" t="inlineStr">
        <is>
          <t>Pack &amp; release</t>
        </is>
      </c>
      <c r="G283" t="n">
        <v>80</v>
      </c>
      <c r="H283" t="inlineStr">
        <is>
          <t>Pack &amp; release</t>
        </is>
      </c>
      <c r="I283" t="inlineStr">
        <is>
          <t>Not Started</t>
        </is>
      </c>
      <c r="K283" s="234" t="n"/>
      <c r="L283" t="inlineStr">
        <is>
          <t>Open</t>
        </is>
      </c>
    </row>
    <row r="284">
      <c r="A284">
        <f>IF('Job Cards'!A39="","",'Job Cards'!K39)</f>
        <v/>
      </c>
      <c r="B284">
        <f>IF(A284="","",'Job Cards'!A39)</f>
        <v/>
      </c>
      <c r="C284">
        <f>IF(A284="","",'Job Cards'!B39)</f>
        <v/>
      </c>
      <c r="D284">
        <f>IF(A284="","",'Job Cards'!D39)</f>
        <v/>
      </c>
      <c r="E284">
        <f>IF(A284="","",'Job Cards'!E39)</f>
        <v/>
      </c>
      <c r="F284" t="inlineStr">
        <is>
          <t>Kitting</t>
        </is>
      </c>
      <c r="G284" t="n">
        <v>10</v>
      </c>
      <c r="H284" t="inlineStr">
        <is>
          <t>Kitting</t>
        </is>
      </c>
      <c r="I284" t="inlineStr">
        <is>
          <t>Not Started</t>
        </is>
      </c>
      <c r="K284" s="234" t="n"/>
      <c r="L284" t="inlineStr">
        <is>
          <t>Open</t>
        </is>
      </c>
    </row>
    <row r="285">
      <c r="A285">
        <f>IF('Job Cards'!A39="","",'Job Cards'!K39)</f>
        <v/>
      </c>
      <c r="B285">
        <f>IF(A285="","",'Job Cards'!A39)</f>
        <v/>
      </c>
      <c r="C285">
        <f>IF(A285="","",'Job Cards'!B39)</f>
        <v/>
      </c>
      <c r="D285">
        <f>IF(A285="","",'Job Cards'!D39)</f>
        <v/>
      </c>
      <c r="E285">
        <f>IF(A285="","",'Job Cards'!E39)</f>
        <v/>
      </c>
      <c r="F285" t="inlineStr">
        <is>
          <t>Frame / frameset receipt</t>
        </is>
      </c>
      <c r="G285" t="n">
        <v>20</v>
      </c>
      <c r="H285" t="inlineStr">
        <is>
          <t>Frame / frameset receipt</t>
        </is>
      </c>
      <c r="I285" t="inlineStr">
        <is>
          <t>Not Started</t>
        </is>
      </c>
      <c r="K285" s="234" t="n"/>
      <c r="L285" t="inlineStr">
        <is>
          <t>Open</t>
        </is>
      </c>
    </row>
    <row r="286">
      <c r="A286">
        <f>IF('Job Cards'!A39="","",'Job Cards'!K39)</f>
        <v/>
      </c>
      <c r="B286">
        <f>IF(A286="","",'Job Cards'!A39)</f>
        <v/>
      </c>
      <c r="C286">
        <f>IF(A286="","",'Job Cards'!B39)</f>
        <v/>
      </c>
      <c r="D286">
        <f>IF(A286="","",'Job Cards'!D39)</f>
        <v/>
      </c>
      <c r="E286">
        <f>IF(A286="","",'Job Cards'!E39)</f>
        <v/>
      </c>
      <c r="F286" t="inlineStr">
        <is>
          <t>Drivetrain assembly</t>
        </is>
      </c>
      <c r="G286" t="n">
        <v>30</v>
      </c>
      <c r="H286" t="inlineStr">
        <is>
          <t>Drivetrain assembly</t>
        </is>
      </c>
      <c r="I286" t="inlineStr">
        <is>
          <t>Not Started</t>
        </is>
      </c>
      <c r="K286" s="234" t="n"/>
      <c r="L286" t="inlineStr">
        <is>
          <t>Open</t>
        </is>
      </c>
    </row>
    <row r="287">
      <c r="A287">
        <f>IF('Job Cards'!A39="","",'Job Cards'!K39)</f>
        <v/>
      </c>
      <c r="B287">
        <f>IF(A287="","",'Job Cards'!A39)</f>
        <v/>
      </c>
      <c r="C287">
        <f>IF(A287="","",'Job Cards'!B39)</f>
        <v/>
      </c>
      <c r="D287">
        <f>IF(A287="","",'Job Cards'!D39)</f>
        <v/>
      </c>
      <c r="E287">
        <f>IF(A287="","",'Job Cards'!E39)</f>
        <v/>
      </c>
      <c r="F287" t="inlineStr">
        <is>
          <t>Cockpit &amp; controls</t>
        </is>
      </c>
      <c r="G287" t="n">
        <v>40</v>
      </c>
      <c r="H287" t="inlineStr">
        <is>
          <t>Cockpit &amp; controls</t>
        </is>
      </c>
      <c r="I287" t="inlineStr">
        <is>
          <t>Not Started</t>
        </is>
      </c>
      <c r="K287" s="234" t="n"/>
      <c r="L287" t="inlineStr">
        <is>
          <t>Open</t>
        </is>
      </c>
    </row>
    <row r="288">
      <c r="A288">
        <f>IF('Job Cards'!A39="","",'Job Cards'!K39)</f>
        <v/>
      </c>
      <c r="B288">
        <f>IF(A288="","",'Job Cards'!A39)</f>
        <v/>
      </c>
      <c r="C288">
        <f>IF(A288="","",'Job Cards'!B39)</f>
        <v/>
      </c>
      <c r="D288">
        <f>IF(A288="","",'Job Cards'!D39)</f>
        <v/>
      </c>
      <c r="E288">
        <f>IF(A288="","",'Job Cards'!E39)</f>
        <v/>
      </c>
      <c r="F288" t="inlineStr">
        <is>
          <t>Wheel / tyre fitment</t>
        </is>
      </c>
      <c r="G288" t="n">
        <v>50</v>
      </c>
      <c r="H288" t="inlineStr">
        <is>
          <t>Wheel / tyre fitment</t>
        </is>
      </c>
      <c r="I288" t="inlineStr">
        <is>
          <t>Not Started</t>
        </is>
      </c>
      <c r="K288" s="234" t="n"/>
      <c r="L288" t="inlineStr">
        <is>
          <t>Open</t>
        </is>
      </c>
    </row>
    <row r="289">
      <c r="A289">
        <f>IF('Job Cards'!A39="","",'Job Cards'!K39)</f>
        <v/>
      </c>
      <c r="B289">
        <f>IF(A289="","",'Job Cards'!A39)</f>
        <v/>
      </c>
      <c r="C289">
        <f>IF(A289="","",'Job Cards'!B39)</f>
        <v/>
      </c>
      <c r="D289">
        <f>IF(A289="","",'Job Cards'!D39)</f>
        <v/>
      </c>
      <c r="E289">
        <f>IF(A289="","",'Job Cards'!E39)</f>
        <v/>
      </c>
      <c r="F289" t="inlineStr">
        <is>
          <t>Torque &amp; fit inspection</t>
        </is>
      </c>
      <c r="G289" t="n">
        <v>60</v>
      </c>
      <c r="H289" t="inlineStr">
        <is>
          <t>Torque &amp; fit inspection</t>
        </is>
      </c>
      <c r="I289" t="inlineStr">
        <is>
          <t>Not Started</t>
        </is>
      </c>
      <c r="K289" s="234" t="n"/>
      <c r="L289" t="inlineStr">
        <is>
          <t>Open</t>
        </is>
      </c>
    </row>
    <row r="290">
      <c r="A290">
        <f>IF('Job Cards'!A39="","",'Job Cards'!K39)</f>
        <v/>
      </c>
      <c r="B290">
        <f>IF(A290="","",'Job Cards'!A39)</f>
        <v/>
      </c>
      <c r="C290">
        <f>IF(A290="","",'Job Cards'!B39)</f>
        <v/>
      </c>
      <c r="D290">
        <f>IF(A290="","",'Job Cards'!D39)</f>
        <v/>
      </c>
      <c r="E290">
        <f>IF(A290="","",'Job Cards'!E39)</f>
        <v/>
      </c>
      <c r="F290" t="inlineStr">
        <is>
          <t>Final quality</t>
        </is>
      </c>
      <c r="G290" t="n">
        <v>70</v>
      </c>
      <c r="H290" t="inlineStr">
        <is>
          <t>Final quality</t>
        </is>
      </c>
      <c r="I290" t="inlineStr">
        <is>
          <t>Not Started</t>
        </is>
      </c>
      <c r="K290" s="234" t="n"/>
      <c r="L290" t="inlineStr">
        <is>
          <t>Open</t>
        </is>
      </c>
    </row>
    <row r="291">
      <c r="A291">
        <f>IF('Job Cards'!A39="","",'Job Cards'!K39)</f>
        <v/>
      </c>
      <c r="B291">
        <f>IF(A291="","",'Job Cards'!A39)</f>
        <v/>
      </c>
      <c r="C291">
        <f>IF(A291="","",'Job Cards'!B39)</f>
        <v/>
      </c>
      <c r="D291">
        <f>IF(A291="","",'Job Cards'!D39)</f>
        <v/>
      </c>
      <c r="E291">
        <f>IF(A291="","",'Job Cards'!E39)</f>
        <v/>
      </c>
      <c r="F291" t="inlineStr">
        <is>
          <t>Pack &amp; release</t>
        </is>
      </c>
      <c r="G291" t="n">
        <v>80</v>
      </c>
      <c r="H291" t="inlineStr">
        <is>
          <t>Pack &amp; release</t>
        </is>
      </c>
      <c r="I291" t="inlineStr">
        <is>
          <t>Not Started</t>
        </is>
      </c>
      <c r="K291" s="234" t="n"/>
      <c r="L291" t="inlineStr">
        <is>
          <t>Open</t>
        </is>
      </c>
    </row>
    <row r="292">
      <c r="A292">
        <f>IF('Job Cards'!A40="","",'Job Cards'!K40)</f>
        <v/>
      </c>
      <c r="B292">
        <f>IF(A292="","",'Job Cards'!A40)</f>
        <v/>
      </c>
      <c r="C292">
        <f>IF(A292="","",'Job Cards'!B40)</f>
        <v/>
      </c>
      <c r="D292">
        <f>IF(A292="","",'Job Cards'!D40)</f>
        <v/>
      </c>
      <c r="E292">
        <f>IF(A292="","",'Job Cards'!E40)</f>
        <v/>
      </c>
      <c r="F292" t="inlineStr">
        <is>
          <t>Kitting</t>
        </is>
      </c>
      <c r="G292" t="n">
        <v>10</v>
      </c>
      <c r="H292" t="inlineStr">
        <is>
          <t>Kitting</t>
        </is>
      </c>
      <c r="I292" t="inlineStr">
        <is>
          <t>Not Started</t>
        </is>
      </c>
      <c r="K292" s="234" t="n"/>
      <c r="L292" t="inlineStr">
        <is>
          <t>Open</t>
        </is>
      </c>
    </row>
    <row r="293">
      <c r="A293">
        <f>IF('Job Cards'!A40="","",'Job Cards'!K40)</f>
        <v/>
      </c>
      <c r="B293">
        <f>IF(A293="","",'Job Cards'!A40)</f>
        <v/>
      </c>
      <c r="C293">
        <f>IF(A293="","",'Job Cards'!B40)</f>
        <v/>
      </c>
      <c r="D293">
        <f>IF(A293="","",'Job Cards'!D40)</f>
        <v/>
      </c>
      <c r="E293">
        <f>IF(A293="","",'Job Cards'!E40)</f>
        <v/>
      </c>
      <c r="F293" t="inlineStr">
        <is>
          <t>Frame / frameset receipt</t>
        </is>
      </c>
      <c r="G293" t="n">
        <v>20</v>
      </c>
      <c r="H293" t="inlineStr">
        <is>
          <t>Frame / frameset receipt</t>
        </is>
      </c>
      <c r="I293" t="inlineStr">
        <is>
          <t>Not Started</t>
        </is>
      </c>
      <c r="K293" s="234" t="n"/>
      <c r="L293" t="inlineStr">
        <is>
          <t>Open</t>
        </is>
      </c>
    </row>
    <row r="294">
      <c r="A294">
        <f>IF('Job Cards'!A40="","",'Job Cards'!K40)</f>
        <v/>
      </c>
      <c r="B294">
        <f>IF(A294="","",'Job Cards'!A40)</f>
        <v/>
      </c>
      <c r="C294">
        <f>IF(A294="","",'Job Cards'!B40)</f>
        <v/>
      </c>
      <c r="D294">
        <f>IF(A294="","",'Job Cards'!D40)</f>
        <v/>
      </c>
      <c r="E294">
        <f>IF(A294="","",'Job Cards'!E40)</f>
        <v/>
      </c>
      <c r="F294" t="inlineStr">
        <is>
          <t>Drivetrain assembly</t>
        </is>
      </c>
      <c r="G294" t="n">
        <v>30</v>
      </c>
      <c r="H294" t="inlineStr">
        <is>
          <t>Drivetrain assembly</t>
        </is>
      </c>
      <c r="I294" t="inlineStr">
        <is>
          <t>Not Started</t>
        </is>
      </c>
      <c r="K294" s="234" t="n"/>
      <c r="L294" t="inlineStr">
        <is>
          <t>Open</t>
        </is>
      </c>
    </row>
    <row r="295">
      <c r="A295">
        <f>IF('Job Cards'!A40="","",'Job Cards'!K40)</f>
        <v/>
      </c>
      <c r="B295">
        <f>IF(A295="","",'Job Cards'!A40)</f>
        <v/>
      </c>
      <c r="C295">
        <f>IF(A295="","",'Job Cards'!B40)</f>
        <v/>
      </c>
      <c r="D295">
        <f>IF(A295="","",'Job Cards'!D40)</f>
        <v/>
      </c>
      <c r="E295">
        <f>IF(A295="","",'Job Cards'!E40)</f>
        <v/>
      </c>
      <c r="F295" t="inlineStr">
        <is>
          <t>Cockpit &amp; controls</t>
        </is>
      </c>
      <c r="G295" t="n">
        <v>40</v>
      </c>
      <c r="H295" t="inlineStr">
        <is>
          <t>Cockpit &amp; controls</t>
        </is>
      </c>
      <c r="I295" t="inlineStr">
        <is>
          <t>Not Started</t>
        </is>
      </c>
      <c r="K295" s="234" t="n"/>
      <c r="L295" t="inlineStr">
        <is>
          <t>Open</t>
        </is>
      </c>
    </row>
    <row r="296">
      <c r="A296">
        <f>IF('Job Cards'!A40="","",'Job Cards'!K40)</f>
        <v/>
      </c>
      <c r="B296">
        <f>IF(A296="","",'Job Cards'!A40)</f>
        <v/>
      </c>
      <c r="C296">
        <f>IF(A296="","",'Job Cards'!B40)</f>
        <v/>
      </c>
      <c r="D296">
        <f>IF(A296="","",'Job Cards'!D40)</f>
        <v/>
      </c>
      <c r="E296">
        <f>IF(A296="","",'Job Cards'!E40)</f>
        <v/>
      </c>
      <c r="F296" t="inlineStr">
        <is>
          <t>Wheel / tyre fitment</t>
        </is>
      </c>
      <c r="G296" t="n">
        <v>50</v>
      </c>
      <c r="H296" t="inlineStr">
        <is>
          <t>Wheel / tyre fitment</t>
        </is>
      </c>
      <c r="I296" t="inlineStr">
        <is>
          <t>Not Started</t>
        </is>
      </c>
      <c r="K296" s="234" t="n"/>
      <c r="L296" t="inlineStr">
        <is>
          <t>Open</t>
        </is>
      </c>
    </row>
    <row r="297">
      <c r="A297">
        <f>IF('Job Cards'!A40="","",'Job Cards'!K40)</f>
        <v/>
      </c>
      <c r="B297">
        <f>IF(A297="","",'Job Cards'!A40)</f>
        <v/>
      </c>
      <c r="C297">
        <f>IF(A297="","",'Job Cards'!B40)</f>
        <v/>
      </c>
      <c r="D297">
        <f>IF(A297="","",'Job Cards'!D40)</f>
        <v/>
      </c>
      <c r="E297">
        <f>IF(A297="","",'Job Cards'!E40)</f>
        <v/>
      </c>
      <c r="F297" t="inlineStr">
        <is>
          <t>Torque &amp; fit inspection</t>
        </is>
      </c>
      <c r="G297" t="n">
        <v>60</v>
      </c>
      <c r="H297" t="inlineStr">
        <is>
          <t>Torque &amp; fit inspection</t>
        </is>
      </c>
      <c r="I297" t="inlineStr">
        <is>
          <t>Not Started</t>
        </is>
      </c>
      <c r="K297" s="234" t="n"/>
      <c r="L297" t="inlineStr">
        <is>
          <t>Open</t>
        </is>
      </c>
    </row>
    <row r="298">
      <c r="A298">
        <f>IF('Job Cards'!A40="","",'Job Cards'!K40)</f>
        <v/>
      </c>
      <c r="B298">
        <f>IF(A298="","",'Job Cards'!A40)</f>
        <v/>
      </c>
      <c r="C298">
        <f>IF(A298="","",'Job Cards'!B40)</f>
        <v/>
      </c>
      <c r="D298">
        <f>IF(A298="","",'Job Cards'!D40)</f>
        <v/>
      </c>
      <c r="E298">
        <f>IF(A298="","",'Job Cards'!E40)</f>
        <v/>
      </c>
      <c r="F298" t="inlineStr">
        <is>
          <t>Final quality</t>
        </is>
      </c>
      <c r="G298" t="n">
        <v>70</v>
      </c>
      <c r="H298" t="inlineStr">
        <is>
          <t>Final quality</t>
        </is>
      </c>
      <c r="I298" t="inlineStr">
        <is>
          <t>Not Started</t>
        </is>
      </c>
      <c r="K298" s="234" t="n"/>
      <c r="L298" t="inlineStr">
        <is>
          <t>Open</t>
        </is>
      </c>
    </row>
    <row r="299">
      <c r="A299">
        <f>IF('Job Cards'!A40="","",'Job Cards'!K40)</f>
        <v/>
      </c>
      <c r="B299">
        <f>IF(A299="","",'Job Cards'!A40)</f>
        <v/>
      </c>
      <c r="C299">
        <f>IF(A299="","",'Job Cards'!B40)</f>
        <v/>
      </c>
      <c r="D299">
        <f>IF(A299="","",'Job Cards'!D40)</f>
        <v/>
      </c>
      <c r="E299">
        <f>IF(A299="","",'Job Cards'!E40)</f>
        <v/>
      </c>
      <c r="F299" t="inlineStr">
        <is>
          <t>Pack &amp; release</t>
        </is>
      </c>
      <c r="G299" t="n">
        <v>80</v>
      </c>
      <c r="H299" t="inlineStr">
        <is>
          <t>Pack &amp; release</t>
        </is>
      </c>
      <c r="I299" t="inlineStr">
        <is>
          <t>Not Started</t>
        </is>
      </c>
      <c r="K299" s="234" t="n"/>
      <c r="L299" t="inlineStr">
        <is>
          <t>Open</t>
        </is>
      </c>
    </row>
    <row r="300">
      <c r="A300">
        <f>IF('Job Cards'!A41="","",'Job Cards'!K41)</f>
        <v/>
      </c>
      <c r="B300">
        <f>IF(A300="","",'Job Cards'!A41)</f>
        <v/>
      </c>
      <c r="C300">
        <f>IF(A300="","",'Job Cards'!B41)</f>
        <v/>
      </c>
      <c r="D300">
        <f>IF(A300="","",'Job Cards'!D41)</f>
        <v/>
      </c>
      <c r="E300">
        <f>IF(A300="","",'Job Cards'!E41)</f>
        <v/>
      </c>
      <c r="F300" t="inlineStr">
        <is>
          <t>Kitting</t>
        </is>
      </c>
      <c r="G300" t="n">
        <v>10</v>
      </c>
      <c r="H300" t="inlineStr">
        <is>
          <t>Kitting</t>
        </is>
      </c>
      <c r="I300" t="inlineStr">
        <is>
          <t>Not Started</t>
        </is>
      </c>
      <c r="K300" s="234" t="n"/>
      <c r="L300" t="inlineStr">
        <is>
          <t>Open</t>
        </is>
      </c>
    </row>
    <row r="301">
      <c r="A301">
        <f>IF('Job Cards'!A41="","",'Job Cards'!K41)</f>
        <v/>
      </c>
      <c r="B301">
        <f>IF(A301="","",'Job Cards'!A41)</f>
        <v/>
      </c>
      <c r="C301">
        <f>IF(A301="","",'Job Cards'!B41)</f>
        <v/>
      </c>
      <c r="D301">
        <f>IF(A301="","",'Job Cards'!D41)</f>
        <v/>
      </c>
      <c r="E301">
        <f>IF(A301="","",'Job Cards'!E41)</f>
        <v/>
      </c>
      <c r="F301" t="inlineStr">
        <is>
          <t>Frame / frameset receipt</t>
        </is>
      </c>
      <c r="G301" t="n">
        <v>20</v>
      </c>
      <c r="H301" t="inlineStr">
        <is>
          <t>Frame / frameset receipt</t>
        </is>
      </c>
      <c r="I301" t="inlineStr">
        <is>
          <t>Not Started</t>
        </is>
      </c>
      <c r="K301" s="234" t="n"/>
      <c r="L301" t="inlineStr">
        <is>
          <t>Open</t>
        </is>
      </c>
    </row>
    <row r="302">
      <c r="A302">
        <f>IF('Job Cards'!A41="","",'Job Cards'!K41)</f>
        <v/>
      </c>
      <c r="B302">
        <f>IF(A302="","",'Job Cards'!A41)</f>
        <v/>
      </c>
      <c r="C302">
        <f>IF(A302="","",'Job Cards'!B41)</f>
        <v/>
      </c>
      <c r="D302">
        <f>IF(A302="","",'Job Cards'!D41)</f>
        <v/>
      </c>
      <c r="E302">
        <f>IF(A302="","",'Job Cards'!E41)</f>
        <v/>
      </c>
      <c r="F302" t="inlineStr">
        <is>
          <t>Drivetrain assembly</t>
        </is>
      </c>
      <c r="G302" t="n">
        <v>30</v>
      </c>
      <c r="H302" t="inlineStr">
        <is>
          <t>Drivetrain assembly</t>
        </is>
      </c>
      <c r="I302" t="inlineStr">
        <is>
          <t>Not Started</t>
        </is>
      </c>
      <c r="K302" s="234" t="n"/>
      <c r="L302" t="inlineStr">
        <is>
          <t>Open</t>
        </is>
      </c>
    </row>
    <row r="303">
      <c r="A303">
        <f>IF('Job Cards'!A41="","",'Job Cards'!K41)</f>
        <v/>
      </c>
      <c r="B303">
        <f>IF(A303="","",'Job Cards'!A41)</f>
        <v/>
      </c>
      <c r="C303">
        <f>IF(A303="","",'Job Cards'!B41)</f>
        <v/>
      </c>
      <c r="D303">
        <f>IF(A303="","",'Job Cards'!D41)</f>
        <v/>
      </c>
      <c r="E303">
        <f>IF(A303="","",'Job Cards'!E41)</f>
        <v/>
      </c>
      <c r="F303" t="inlineStr">
        <is>
          <t>Cockpit &amp; controls</t>
        </is>
      </c>
      <c r="G303" t="n">
        <v>40</v>
      </c>
      <c r="H303" t="inlineStr">
        <is>
          <t>Cockpit &amp; controls</t>
        </is>
      </c>
      <c r="I303" t="inlineStr">
        <is>
          <t>Not Started</t>
        </is>
      </c>
      <c r="K303" s="234" t="n"/>
      <c r="L303" t="inlineStr">
        <is>
          <t>Open</t>
        </is>
      </c>
    </row>
    <row r="304">
      <c r="A304">
        <f>IF('Job Cards'!A41="","",'Job Cards'!K41)</f>
        <v/>
      </c>
      <c r="B304">
        <f>IF(A304="","",'Job Cards'!A41)</f>
        <v/>
      </c>
      <c r="C304">
        <f>IF(A304="","",'Job Cards'!B41)</f>
        <v/>
      </c>
      <c r="D304">
        <f>IF(A304="","",'Job Cards'!D41)</f>
        <v/>
      </c>
      <c r="E304">
        <f>IF(A304="","",'Job Cards'!E41)</f>
        <v/>
      </c>
      <c r="F304" t="inlineStr">
        <is>
          <t>Wheel / tyre fitment</t>
        </is>
      </c>
      <c r="G304" t="n">
        <v>50</v>
      </c>
      <c r="H304" t="inlineStr">
        <is>
          <t>Wheel / tyre fitment</t>
        </is>
      </c>
      <c r="I304" t="inlineStr">
        <is>
          <t>Not Started</t>
        </is>
      </c>
      <c r="K304" s="234" t="n"/>
      <c r="L304" t="inlineStr">
        <is>
          <t>Open</t>
        </is>
      </c>
    </row>
    <row r="305">
      <c r="A305">
        <f>IF('Job Cards'!A41="","",'Job Cards'!K41)</f>
        <v/>
      </c>
      <c r="B305">
        <f>IF(A305="","",'Job Cards'!A41)</f>
        <v/>
      </c>
      <c r="C305">
        <f>IF(A305="","",'Job Cards'!B41)</f>
        <v/>
      </c>
      <c r="D305">
        <f>IF(A305="","",'Job Cards'!D41)</f>
        <v/>
      </c>
      <c r="E305">
        <f>IF(A305="","",'Job Cards'!E41)</f>
        <v/>
      </c>
      <c r="F305" t="inlineStr">
        <is>
          <t>Torque &amp; fit inspection</t>
        </is>
      </c>
      <c r="G305" t="n">
        <v>60</v>
      </c>
      <c r="H305" t="inlineStr">
        <is>
          <t>Torque &amp; fit inspection</t>
        </is>
      </c>
      <c r="I305" t="inlineStr">
        <is>
          <t>Not Started</t>
        </is>
      </c>
      <c r="K305" s="234" t="n"/>
      <c r="L305" t="inlineStr">
        <is>
          <t>Open</t>
        </is>
      </c>
    </row>
    <row r="306">
      <c r="A306">
        <f>IF('Job Cards'!A41="","",'Job Cards'!K41)</f>
        <v/>
      </c>
      <c r="B306">
        <f>IF(A306="","",'Job Cards'!A41)</f>
        <v/>
      </c>
      <c r="C306">
        <f>IF(A306="","",'Job Cards'!B41)</f>
        <v/>
      </c>
      <c r="D306">
        <f>IF(A306="","",'Job Cards'!D41)</f>
        <v/>
      </c>
      <c r="E306">
        <f>IF(A306="","",'Job Cards'!E41)</f>
        <v/>
      </c>
      <c r="F306" t="inlineStr">
        <is>
          <t>Final quality</t>
        </is>
      </c>
      <c r="G306" t="n">
        <v>70</v>
      </c>
      <c r="H306" t="inlineStr">
        <is>
          <t>Final quality</t>
        </is>
      </c>
      <c r="I306" t="inlineStr">
        <is>
          <t>Not Started</t>
        </is>
      </c>
      <c r="K306" s="234" t="n"/>
      <c r="L306" t="inlineStr">
        <is>
          <t>Open</t>
        </is>
      </c>
    </row>
    <row r="307">
      <c r="A307">
        <f>IF('Job Cards'!A41="","",'Job Cards'!K41)</f>
        <v/>
      </c>
      <c r="B307">
        <f>IF(A307="","",'Job Cards'!A41)</f>
        <v/>
      </c>
      <c r="C307">
        <f>IF(A307="","",'Job Cards'!B41)</f>
        <v/>
      </c>
      <c r="D307">
        <f>IF(A307="","",'Job Cards'!D41)</f>
        <v/>
      </c>
      <c r="E307">
        <f>IF(A307="","",'Job Cards'!E41)</f>
        <v/>
      </c>
      <c r="F307" t="inlineStr">
        <is>
          <t>Pack &amp; release</t>
        </is>
      </c>
      <c r="G307" t="n">
        <v>80</v>
      </c>
      <c r="H307" t="inlineStr">
        <is>
          <t>Pack &amp; release</t>
        </is>
      </c>
      <c r="I307" t="inlineStr">
        <is>
          <t>Not Started</t>
        </is>
      </c>
      <c r="K307" s="234" t="n"/>
      <c r="L307" t="inlineStr">
        <is>
          <t>Open</t>
        </is>
      </c>
    </row>
    <row r="308">
      <c r="A308">
        <f>IF('Job Cards'!A42="","",'Job Cards'!K42)</f>
        <v/>
      </c>
      <c r="B308">
        <f>IF(A308="","",'Job Cards'!A42)</f>
        <v/>
      </c>
      <c r="C308">
        <f>IF(A308="","",'Job Cards'!B42)</f>
        <v/>
      </c>
      <c r="D308">
        <f>IF(A308="","",'Job Cards'!D42)</f>
        <v/>
      </c>
      <c r="E308">
        <f>IF(A308="","",'Job Cards'!E42)</f>
        <v/>
      </c>
      <c r="F308" t="inlineStr">
        <is>
          <t>Kitting</t>
        </is>
      </c>
      <c r="G308" t="n">
        <v>10</v>
      </c>
      <c r="H308" t="inlineStr">
        <is>
          <t>Kitting</t>
        </is>
      </c>
      <c r="I308" t="inlineStr">
        <is>
          <t>Not Started</t>
        </is>
      </c>
      <c r="K308" s="234" t="n"/>
      <c r="L308" t="inlineStr">
        <is>
          <t>Open</t>
        </is>
      </c>
    </row>
    <row r="309">
      <c r="A309">
        <f>IF('Job Cards'!A42="","",'Job Cards'!K42)</f>
        <v/>
      </c>
      <c r="B309">
        <f>IF(A309="","",'Job Cards'!A42)</f>
        <v/>
      </c>
      <c r="C309">
        <f>IF(A309="","",'Job Cards'!B42)</f>
        <v/>
      </c>
      <c r="D309">
        <f>IF(A309="","",'Job Cards'!D42)</f>
        <v/>
      </c>
      <c r="E309">
        <f>IF(A309="","",'Job Cards'!E42)</f>
        <v/>
      </c>
      <c r="F309" t="inlineStr">
        <is>
          <t>Frame / frameset receipt</t>
        </is>
      </c>
      <c r="G309" t="n">
        <v>20</v>
      </c>
      <c r="H309" t="inlineStr">
        <is>
          <t>Frame / frameset receipt</t>
        </is>
      </c>
      <c r="I309" t="inlineStr">
        <is>
          <t>Not Started</t>
        </is>
      </c>
      <c r="K309" s="234" t="n"/>
      <c r="L309" t="inlineStr">
        <is>
          <t>Open</t>
        </is>
      </c>
    </row>
    <row r="310">
      <c r="A310">
        <f>IF('Job Cards'!A42="","",'Job Cards'!K42)</f>
        <v/>
      </c>
      <c r="B310">
        <f>IF(A310="","",'Job Cards'!A42)</f>
        <v/>
      </c>
      <c r="C310">
        <f>IF(A310="","",'Job Cards'!B42)</f>
        <v/>
      </c>
      <c r="D310">
        <f>IF(A310="","",'Job Cards'!D42)</f>
        <v/>
      </c>
      <c r="E310">
        <f>IF(A310="","",'Job Cards'!E42)</f>
        <v/>
      </c>
      <c r="F310" t="inlineStr">
        <is>
          <t>Drivetrain assembly</t>
        </is>
      </c>
      <c r="G310" t="n">
        <v>30</v>
      </c>
      <c r="H310" t="inlineStr">
        <is>
          <t>Drivetrain assembly</t>
        </is>
      </c>
      <c r="I310" t="inlineStr">
        <is>
          <t>Not Started</t>
        </is>
      </c>
      <c r="K310" s="234" t="n"/>
      <c r="L310" t="inlineStr">
        <is>
          <t>Open</t>
        </is>
      </c>
    </row>
    <row r="311">
      <c r="A311">
        <f>IF('Job Cards'!A42="","",'Job Cards'!K42)</f>
        <v/>
      </c>
      <c r="B311">
        <f>IF(A311="","",'Job Cards'!A42)</f>
        <v/>
      </c>
      <c r="C311">
        <f>IF(A311="","",'Job Cards'!B42)</f>
        <v/>
      </c>
      <c r="D311">
        <f>IF(A311="","",'Job Cards'!D42)</f>
        <v/>
      </c>
      <c r="E311">
        <f>IF(A311="","",'Job Cards'!E42)</f>
        <v/>
      </c>
      <c r="F311" t="inlineStr">
        <is>
          <t>Cockpit &amp; controls</t>
        </is>
      </c>
      <c r="G311" t="n">
        <v>40</v>
      </c>
      <c r="H311" t="inlineStr">
        <is>
          <t>Cockpit &amp; controls</t>
        </is>
      </c>
      <c r="I311" t="inlineStr">
        <is>
          <t>Not Started</t>
        </is>
      </c>
      <c r="K311" s="234" t="n"/>
      <c r="L311" t="inlineStr">
        <is>
          <t>Open</t>
        </is>
      </c>
    </row>
    <row r="312">
      <c r="A312">
        <f>IF('Job Cards'!A42="","",'Job Cards'!K42)</f>
        <v/>
      </c>
      <c r="B312">
        <f>IF(A312="","",'Job Cards'!A42)</f>
        <v/>
      </c>
      <c r="C312">
        <f>IF(A312="","",'Job Cards'!B42)</f>
        <v/>
      </c>
      <c r="D312">
        <f>IF(A312="","",'Job Cards'!D42)</f>
        <v/>
      </c>
      <c r="E312">
        <f>IF(A312="","",'Job Cards'!E42)</f>
        <v/>
      </c>
      <c r="F312" t="inlineStr">
        <is>
          <t>Wheel / tyre fitment</t>
        </is>
      </c>
      <c r="G312" t="n">
        <v>50</v>
      </c>
      <c r="H312" t="inlineStr">
        <is>
          <t>Wheel / tyre fitment</t>
        </is>
      </c>
      <c r="I312" t="inlineStr">
        <is>
          <t>Not Started</t>
        </is>
      </c>
      <c r="K312" s="234" t="n"/>
      <c r="L312" t="inlineStr">
        <is>
          <t>Open</t>
        </is>
      </c>
    </row>
    <row r="313">
      <c r="A313">
        <f>IF('Job Cards'!A42="","",'Job Cards'!K42)</f>
        <v/>
      </c>
      <c r="B313">
        <f>IF(A313="","",'Job Cards'!A42)</f>
        <v/>
      </c>
      <c r="C313">
        <f>IF(A313="","",'Job Cards'!B42)</f>
        <v/>
      </c>
      <c r="D313">
        <f>IF(A313="","",'Job Cards'!D42)</f>
        <v/>
      </c>
      <c r="E313">
        <f>IF(A313="","",'Job Cards'!E42)</f>
        <v/>
      </c>
      <c r="F313" t="inlineStr">
        <is>
          <t>Torque &amp; fit inspection</t>
        </is>
      </c>
      <c r="G313" t="n">
        <v>60</v>
      </c>
      <c r="H313" t="inlineStr">
        <is>
          <t>Torque &amp; fit inspection</t>
        </is>
      </c>
      <c r="I313" t="inlineStr">
        <is>
          <t>Not Started</t>
        </is>
      </c>
      <c r="K313" s="234" t="n"/>
      <c r="L313" t="inlineStr">
        <is>
          <t>Open</t>
        </is>
      </c>
    </row>
    <row r="314">
      <c r="A314">
        <f>IF('Job Cards'!A42="","",'Job Cards'!K42)</f>
        <v/>
      </c>
      <c r="B314">
        <f>IF(A314="","",'Job Cards'!A42)</f>
        <v/>
      </c>
      <c r="C314">
        <f>IF(A314="","",'Job Cards'!B42)</f>
        <v/>
      </c>
      <c r="D314">
        <f>IF(A314="","",'Job Cards'!D42)</f>
        <v/>
      </c>
      <c r="E314">
        <f>IF(A314="","",'Job Cards'!E42)</f>
        <v/>
      </c>
      <c r="F314" t="inlineStr">
        <is>
          <t>Final quality</t>
        </is>
      </c>
      <c r="G314" t="n">
        <v>70</v>
      </c>
      <c r="H314" t="inlineStr">
        <is>
          <t>Final quality</t>
        </is>
      </c>
      <c r="I314" t="inlineStr">
        <is>
          <t>Not Started</t>
        </is>
      </c>
      <c r="K314" s="234" t="n"/>
      <c r="L314" t="inlineStr">
        <is>
          <t>Open</t>
        </is>
      </c>
    </row>
    <row r="315">
      <c r="A315">
        <f>IF('Job Cards'!A42="","",'Job Cards'!K42)</f>
        <v/>
      </c>
      <c r="B315">
        <f>IF(A315="","",'Job Cards'!A42)</f>
        <v/>
      </c>
      <c r="C315">
        <f>IF(A315="","",'Job Cards'!B42)</f>
        <v/>
      </c>
      <c r="D315">
        <f>IF(A315="","",'Job Cards'!D42)</f>
        <v/>
      </c>
      <c r="E315">
        <f>IF(A315="","",'Job Cards'!E42)</f>
        <v/>
      </c>
      <c r="F315" t="inlineStr">
        <is>
          <t>Pack &amp; release</t>
        </is>
      </c>
      <c r="G315" t="n">
        <v>80</v>
      </c>
      <c r="H315" t="inlineStr">
        <is>
          <t>Pack &amp; release</t>
        </is>
      </c>
      <c r="I315" t="inlineStr">
        <is>
          <t>Not Started</t>
        </is>
      </c>
      <c r="K315" s="234" t="n"/>
      <c r="L315" t="inlineStr">
        <is>
          <t>Open</t>
        </is>
      </c>
    </row>
    <row r="316">
      <c r="A316">
        <f>IF('Job Cards'!A43="","",'Job Cards'!K43)</f>
        <v/>
      </c>
      <c r="B316">
        <f>IF(A316="","",'Job Cards'!A43)</f>
        <v/>
      </c>
      <c r="C316">
        <f>IF(A316="","",'Job Cards'!B43)</f>
        <v/>
      </c>
      <c r="D316">
        <f>IF(A316="","",'Job Cards'!D43)</f>
        <v/>
      </c>
      <c r="E316">
        <f>IF(A316="","",'Job Cards'!E43)</f>
        <v/>
      </c>
      <c r="F316" t="inlineStr">
        <is>
          <t>Kitting</t>
        </is>
      </c>
      <c r="G316" t="n">
        <v>10</v>
      </c>
      <c r="H316" t="inlineStr">
        <is>
          <t>Kitting</t>
        </is>
      </c>
      <c r="I316" t="inlineStr">
        <is>
          <t>Not Started</t>
        </is>
      </c>
      <c r="K316" s="234" t="n"/>
      <c r="L316" t="inlineStr">
        <is>
          <t>Open</t>
        </is>
      </c>
    </row>
    <row r="317">
      <c r="A317">
        <f>IF('Job Cards'!A43="","",'Job Cards'!K43)</f>
        <v/>
      </c>
      <c r="B317">
        <f>IF(A317="","",'Job Cards'!A43)</f>
        <v/>
      </c>
      <c r="C317">
        <f>IF(A317="","",'Job Cards'!B43)</f>
        <v/>
      </c>
      <c r="D317">
        <f>IF(A317="","",'Job Cards'!D43)</f>
        <v/>
      </c>
      <c r="E317">
        <f>IF(A317="","",'Job Cards'!E43)</f>
        <v/>
      </c>
      <c r="F317" t="inlineStr">
        <is>
          <t>Frame / frameset receipt</t>
        </is>
      </c>
      <c r="G317" t="n">
        <v>20</v>
      </c>
      <c r="H317" t="inlineStr">
        <is>
          <t>Frame / frameset receipt</t>
        </is>
      </c>
      <c r="I317" t="inlineStr">
        <is>
          <t>Not Started</t>
        </is>
      </c>
      <c r="K317" s="234" t="n"/>
      <c r="L317" t="inlineStr">
        <is>
          <t>Open</t>
        </is>
      </c>
    </row>
    <row r="318">
      <c r="A318">
        <f>IF('Job Cards'!A43="","",'Job Cards'!K43)</f>
        <v/>
      </c>
      <c r="B318">
        <f>IF(A318="","",'Job Cards'!A43)</f>
        <v/>
      </c>
      <c r="C318">
        <f>IF(A318="","",'Job Cards'!B43)</f>
        <v/>
      </c>
      <c r="D318">
        <f>IF(A318="","",'Job Cards'!D43)</f>
        <v/>
      </c>
      <c r="E318">
        <f>IF(A318="","",'Job Cards'!E43)</f>
        <v/>
      </c>
      <c r="F318" t="inlineStr">
        <is>
          <t>Drivetrain assembly</t>
        </is>
      </c>
      <c r="G318" t="n">
        <v>30</v>
      </c>
      <c r="H318" t="inlineStr">
        <is>
          <t>Drivetrain assembly</t>
        </is>
      </c>
      <c r="I318" t="inlineStr">
        <is>
          <t>Not Started</t>
        </is>
      </c>
      <c r="K318" s="234" t="n"/>
      <c r="L318" t="inlineStr">
        <is>
          <t>Open</t>
        </is>
      </c>
    </row>
    <row r="319">
      <c r="A319">
        <f>IF('Job Cards'!A43="","",'Job Cards'!K43)</f>
        <v/>
      </c>
      <c r="B319">
        <f>IF(A319="","",'Job Cards'!A43)</f>
        <v/>
      </c>
      <c r="C319">
        <f>IF(A319="","",'Job Cards'!B43)</f>
        <v/>
      </c>
      <c r="D319">
        <f>IF(A319="","",'Job Cards'!D43)</f>
        <v/>
      </c>
      <c r="E319">
        <f>IF(A319="","",'Job Cards'!E43)</f>
        <v/>
      </c>
      <c r="F319" t="inlineStr">
        <is>
          <t>Cockpit &amp; controls</t>
        </is>
      </c>
      <c r="G319" t="n">
        <v>40</v>
      </c>
      <c r="H319" t="inlineStr">
        <is>
          <t>Cockpit &amp; controls</t>
        </is>
      </c>
      <c r="I319" t="inlineStr">
        <is>
          <t>Not Started</t>
        </is>
      </c>
      <c r="K319" s="234" t="n"/>
      <c r="L319" t="inlineStr">
        <is>
          <t>Open</t>
        </is>
      </c>
    </row>
    <row r="320">
      <c r="A320">
        <f>IF('Job Cards'!A43="","",'Job Cards'!K43)</f>
        <v/>
      </c>
      <c r="B320">
        <f>IF(A320="","",'Job Cards'!A43)</f>
        <v/>
      </c>
      <c r="C320">
        <f>IF(A320="","",'Job Cards'!B43)</f>
        <v/>
      </c>
      <c r="D320">
        <f>IF(A320="","",'Job Cards'!D43)</f>
        <v/>
      </c>
      <c r="E320">
        <f>IF(A320="","",'Job Cards'!E43)</f>
        <v/>
      </c>
      <c r="F320" t="inlineStr">
        <is>
          <t>Wheel / tyre fitment</t>
        </is>
      </c>
      <c r="G320" t="n">
        <v>50</v>
      </c>
      <c r="H320" t="inlineStr">
        <is>
          <t>Wheel / tyre fitment</t>
        </is>
      </c>
      <c r="I320" t="inlineStr">
        <is>
          <t>Not Started</t>
        </is>
      </c>
      <c r="K320" s="234" t="n"/>
      <c r="L320" t="inlineStr">
        <is>
          <t>Open</t>
        </is>
      </c>
    </row>
    <row r="321">
      <c r="A321">
        <f>IF('Job Cards'!A43="","",'Job Cards'!K43)</f>
        <v/>
      </c>
      <c r="B321">
        <f>IF(A321="","",'Job Cards'!A43)</f>
        <v/>
      </c>
      <c r="C321">
        <f>IF(A321="","",'Job Cards'!B43)</f>
        <v/>
      </c>
      <c r="D321">
        <f>IF(A321="","",'Job Cards'!D43)</f>
        <v/>
      </c>
      <c r="E321">
        <f>IF(A321="","",'Job Cards'!E43)</f>
        <v/>
      </c>
      <c r="F321" t="inlineStr">
        <is>
          <t>Torque &amp; fit inspection</t>
        </is>
      </c>
      <c r="G321" t="n">
        <v>60</v>
      </c>
      <c r="H321" t="inlineStr">
        <is>
          <t>Torque &amp; fit inspection</t>
        </is>
      </c>
      <c r="I321" t="inlineStr">
        <is>
          <t>Not Started</t>
        </is>
      </c>
      <c r="K321" s="234" t="n"/>
      <c r="L321" t="inlineStr">
        <is>
          <t>Open</t>
        </is>
      </c>
    </row>
    <row r="322">
      <c r="A322">
        <f>IF('Job Cards'!A43="","",'Job Cards'!K43)</f>
        <v/>
      </c>
      <c r="B322">
        <f>IF(A322="","",'Job Cards'!A43)</f>
        <v/>
      </c>
      <c r="C322">
        <f>IF(A322="","",'Job Cards'!B43)</f>
        <v/>
      </c>
      <c r="D322">
        <f>IF(A322="","",'Job Cards'!D43)</f>
        <v/>
      </c>
      <c r="E322">
        <f>IF(A322="","",'Job Cards'!E43)</f>
        <v/>
      </c>
      <c r="F322" t="inlineStr">
        <is>
          <t>Final quality</t>
        </is>
      </c>
      <c r="G322" t="n">
        <v>70</v>
      </c>
      <c r="H322" t="inlineStr">
        <is>
          <t>Final quality</t>
        </is>
      </c>
      <c r="I322" t="inlineStr">
        <is>
          <t>Not Started</t>
        </is>
      </c>
      <c r="K322" s="234" t="n"/>
      <c r="L322" t="inlineStr">
        <is>
          <t>Open</t>
        </is>
      </c>
    </row>
    <row r="323">
      <c r="A323">
        <f>IF('Job Cards'!A43="","",'Job Cards'!K43)</f>
        <v/>
      </c>
      <c r="B323">
        <f>IF(A323="","",'Job Cards'!A43)</f>
        <v/>
      </c>
      <c r="C323">
        <f>IF(A323="","",'Job Cards'!B43)</f>
        <v/>
      </c>
      <c r="D323">
        <f>IF(A323="","",'Job Cards'!D43)</f>
        <v/>
      </c>
      <c r="E323">
        <f>IF(A323="","",'Job Cards'!E43)</f>
        <v/>
      </c>
      <c r="F323" t="inlineStr">
        <is>
          <t>Pack &amp; release</t>
        </is>
      </c>
      <c r="G323" t="n">
        <v>80</v>
      </c>
      <c r="H323" t="inlineStr">
        <is>
          <t>Pack &amp; release</t>
        </is>
      </c>
      <c r="I323" t="inlineStr">
        <is>
          <t>Not Started</t>
        </is>
      </c>
      <c r="K323" s="234" t="n"/>
      <c r="L323" t="inlineStr">
        <is>
          <t>Open</t>
        </is>
      </c>
    </row>
    <row r="324">
      <c r="A324">
        <f>IF('Job Cards'!A44="","",'Job Cards'!K44)</f>
        <v/>
      </c>
      <c r="B324">
        <f>IF(A324="","",'Job Cards'!A44)</f>
        <v/>
      </c>
      <c r="C324">
        <f>IF(A324="","",'Job Cards'!B44)</f>
        <v/>
      </c>
      <c r="D324">
        <f>IF(A324="","",'Job Cards'!D44)</f>
        <v/>
      </c>
      <c r="E324">
        <f>IF(A324="","",'Job Cards'!E44)</f>
        <v/>
      </c>
      <c r="F324" t="inlineStr">
        <is>
          <t>Kitting</t>
        </is>
      </c>
      <c r="G324" t="n">
        <v>10</v>
      </c>
      <c r="H324" t="inlineStr">
        <is>
          <t>Kitting</t>
        </is>
      </c>
      <c r="I324" t="inlineStr">
        <is>
          <t>Not Started</t>
        </is>
      </c>
      <c r="K324" s="234" t="n"/>
      <c r="L324" t="inlineStr">
        <is>
          <t>Open</t>
        </is>
      </c>
    </row>
    <row r="325">
      <c r="A325">
        <f>IF('Job Cards'!A44="","",'Job Cards'!K44)</f>
        <v/>
      </c>
      <c r="B325">
        <f>IF(A325="","",'Job Cards'!A44)</f>
        <v/>
      </c>
      <c r="C325">
        <f>IF(A325="","",'Job Cards'!B44)</f>
        <v/>
      </c>
      <c r="D325">
        <f>IF(A325="","",'Job Cards'!D44)</f>
        <v/>
      </c>
      <c r="E325">
        <f>IF(A325="","",'Job Cards'!E44)</f>
        <v/>
      </c>
      <c r="F325" t="inlineStr">
        <is>
          <t>Frame / frameset receipt</t>
        </is>
      </c>
      <c r="G325" t="n">
        <v>20</v>
      </c>
      <c r="H325" t="inlineStr">
        <is>
          <t>Frame / frameset receipt</t>
        </is>
      </c>
      <c r="I325" t="inlineStr">
        <is>
          <t>Not Started</t>
        </is>
      </c>
      <c r="K325" s="234" t="n"/>
      <c r="L325" t="inlineStr">
        <is>
          <t>Open</t>
        </is>
      </c>
    </row>
    <row r="326">
      <c r="A326">
        <f>IF('Job Cards'!A44="","",'Job Cards'!K44)</f>
        <v/>
      </c>
      <c r="B326">
        <f>IF(A326="","",'Job Cards'!A44)</f>
        <v/>
      </c>
      <c r="C326">
        <f>IF(A326="","",'Job Cards'!B44)</f>
        <v/>
      </c>
      <c r="D326">
        <f>IF(A326="","",'Job Cards'!D44)</f>
        <v/>
      </c>
      <c r="E326">
        <f>IF(A326="","",'Job Cards'!E44)</f>
        <v/>
      </c>
      <c r="F326" t="inlineStr">
        <is>
          <t>Drivetrain assembly</t>
        </is>
      </c>
      <c r="G326" t="n">
        <v>30</v>
      </c>
      <c r="H326" t="inlineStr">
        <is>
          <t>Drivetrain assembly</t>
        </is>
      </c>
      <c r="I326" t="inlineStr">
        <is>
          <t>Not Started</t>
        </is>
      </c>
      <c r="K326" s="234" t="n"/>
      <c r="L326" t="inlineStr">
        <is>
          <t>Open</t>
        </is>
      </c>
    </row>
    <row r="327">
      <c r="A327">
        <f>IF('Job Cards'!A44="","",'Job Cards'!K44)</f>
        <v/>
      </c>
      <c r="B327">
        <f>IF(A327="","",'Job Cards'!A44)</f>
        <v/>
      </c>
      <c r="C327">
        <f>IF(A327="","",'Job Cards'!B44)</f>
        <v/>
      </c>
      <c r="D327">
        <f>IF(A327="","",'Job Cards'!D44)</f>
        <v/>
      </c>
      <c r="E327">
        <f>IF(A327="","",'Job Cards'!E44)</f>
        <v/>
      </c>
      <c r="F327" t="inlineStr">
        <is>
          <t>Cockpit &amp; controls</t>
        </is>
      </c>
      <c r="G327" t="n">
        <v>40</v>
      </c>
      <c r="H327" t="inlineStr">
        <is>
          <t>Cockpit &amp; controls</t>
        </is>
      </c>
      <c r="I327" t="inlineStr">
        <is>
          <t>Not Started</t>
        </is>
      </c>
      <c r="K327" s="234" t="n"/>
      <c r="L327" t="inlineStr">
        <is>
          <t>Open</t>
        </is>
      </c>
    </row>
    <row r="328">
      <c r="A328">
        <f>IF('Job Cards'!A44="","",'Job Cards'!K44)</f>
        <v/>
      </c>
      <c r="B328">
        <f>IF(A328="","",'Job Cards'!A44)</f>
        <v/>
      </c>
      <c r="C328">
        <f>IF(A328="","",'Job Cards'!B44)</f>
        <v/>
      </c>
      <c r="D328">
        <f>IF(A328="","",'Job Cards'!D44)</f>
        <v/>
      </c>
      <c r="E328">
        <f>IF(A328="","",'Job Cards'!E44)</f>
        <v/>
      </c>
      <c r="F328" t="inlineStr">
        <is>
          <t>Wheel / tyre fitment</t>
        </is>
      </c>
      <c r="G328" t="n">
        <v>50</v>
      </c>
      <c r="H328" t="inlineStr">
        <is>
          <t>Wheel / tyre fitment</t>
        </is>
      </c>
      <c r="I328" t="inlineStr">
        <is>
          <t>Not Started</t>
        </is>
      </c>
      <c r="K328" s="234" t="n"/>
      <c r="L328" t="inlineStr">
        <is>
          <t>Open</t>
        </is>
      </c>
    </row>
    <row r="329">
      <c r="A329">
        <f>IF('Job Cards'!A44="","",'Job Cards'!K44)</f>
        <v/>
      </c>
      <c r="B329">
        <f>IF(A329="","",'Job Cards'!A44)</f>
        <v/>
      </c>
      <c r="C329">
        <f>IF(A329="","",'Job Cards'!B44)</f>
        <v/>
      </c>
      <c r="D329">
        <f>IF(A329="","",'Job Cards'!D44)</f>
        <v/>
      </c>
      <c r="E329">
        <f>IF(A329="","",'Job Cards'!E44)</f>
        <v/>
      </c>
      <c r="F329" t="inlineStr">
        <is>
          <t>Torque &amp; fit inspection</t>
        </is>
      </c>
      <c r="G329" t="n">
        <v>60</v>
      </c>
      <c r="H329" t="inlineStr">
        <is>
          <t>Torque &amp; fit inspection</t>
        </is>
      </c>
      <c r="I329" t="inlineStr">
        <is>
          <t>Not Started</t>
        </is>
      </c>
      <c r="K329" s="234" t="n"/>
      <c r="L329" t="inlineStr">
        <is>
          <t>Open</t>
        </is>
      </c>
    </row>
    <row r="330">
      <c r="A330">
        <f>IF('Job Cards'!A44="","",'Job Cards'!K44)</f>
        <v/>
      </c>
      <c r="B330">
        <f>IF(A330="","",'Job Cards'!A44)</f>
        <v/>
      </c>
      <c r="C330">
        <f>IF(A330="","",'Job Cards'!B44)</f>
        <v/>
      </c>
      <c r="D330">
        <f>IF(A330="","",'Job Cards'!D44)</f>
        <v/>
      </c>
      <c r="E330">
        <f>IF(A330="","",'Job Cards'!E44)</f>
        <v/>
      </c>
      <c r="F330" t="inlineStr">
        <is>
          <t>Final quality</t>
        </is>
      </c>
      <c r="G330" t="n">
        <v>70</v>
      </c>
      <c r="H330" t="inlineStr">
        <is>
          <t>Final quality</t>
        </is>
      </c>
      <c r="I330" t="inlineStr">
        <is>
          <t>Not Started</t>
        </is>
      </c>
      <c r="K330" s="234" t="n"/>
      <c r="L330" t="inlineStr">
        <is>
          <t>Open</t>
        </is>
      </c>
    </row>
    <row r="331">
      <c r="A331">
        <f>IF('Job Cards'!A44="","",'Job Cards'!K44)</f>
        <v/>
      </c>
      <c r="B331">
        <f>IF(A331="","",'Job Cards'!A44)</f>
        <v/>
      </c>
      <c r="C331">
        <f>IF(A331="","",'Job Cards'!B44)</f>
        <v/>
      </c>
      <c r="D331">
        <f>IF(A331="","",'Job Cards'!D44)</f>
        <v/>
      </c>
      <c r="E331">
        <f>IF(A331="","",'Job Cards'!E44)</f>
        <v/>
      </c>
      <c r="F331" t="inlineStr">
        <is>
          <t>Pack &amp; release</t>
        </is>
      </c>
      <c r="G331" t="n">
        <v>80</v>
      </c>
      <c r="H331" t="inlineStr">
        <is>
          <t>Pack &amp; release</t>
        </is>
      </c>
      <c r="I331" t="inlineStr">
        <is>
          <t>Not Started</t>
        </is>
      </c>
      <c r="K331" s="234" t="n"/>
      <c r="L331" t="inlineStr">
        <is>
          <t>Open</t>
        </is>
      </c>
    </row>
    <row r="332">
      <c r="A332">
        <f>IF('Job Cards'!A45="","",'Job Cards'!K45)</f>
        <v/>
      </c>
      <c r="B332">
        <f>IF(A332="","",'Job Cards'!A45)</f>
        <v/>
      </c>
      <c r="C332">
        <f>IF(A332="","",'Job Cards'!B45)</f>
        <v/>
      </c>
      <c r="D332">
        <f>IF(A332="","",'Job Cards'!D45)</f>
        <v/>
      </c>
      <c r="E332">
        <f>IF(A332="","",'Job Cards'!E45)</f>
        <v/>
      </c>
      <c r="F332" t="inlineStr">
        <is>
          <t>Kitting</t>
        </is>
      </c>
      <c r="G332" t="n">
        <v>10</v>
      </c>
      <c r="H332" t="inlineStr">
        <is>
          <t>Kitting</t>
        </is>
      </c>
      <c r="I332" t="inlineStr">
        <is>
          <t>Not Started</t>
        </is>
      </c>
      <c r="K332" s="234" t="n"/>
      <c r="L332" t="inlineStr">
        <is>
          <t>Open</t>
        </is>
      </c>
    </row>
    <row r="333">
      <c r="A333">
        <f>IF('Job Cards'!A45="","",'Job Cards'!K45)</f>
        <v/>
      </c>
      <c r="B333">
        <f>IF(A333="","",'Job Cards'!A45)</f>
        <v/>
      </c>
      <c r="C333">
        <f>IF(A333="","",'Job Cards'!B45)</f>
        <v/>
      </c>
      <c r="D333">
        <f>IF(A333="","",'Job Cards'!D45)</f>
        <v/>
      </c>
      <c r="E333">
        <f>IF(A333="","",'Job Cards'!E45)</f>
        <v/>
      </c>
      <c r="F333" t="inlineStr">
        <is>
          <t>Frame / frameset receipt</t>
        </is>
      </c>
      <c r="G333" t="n">
        <v>20</v>
      </c>
      <c r="H333" t="inlineStr">
        <is>
          <t>Frame / frameset receipt</t>
        </is>
      </c>
      <c r="I333" t="inlineStr">
        <is>
          <t>Not Started</t>
        </is>
      </c>
      <c r="K333" s="234" t="n"/>
      <c r="L333" t="inlineStr">
        <is>
          <t>Open</t>
        </is>
      </c>
    </row>
    <row r="334">
      <c r="A334">
        <f>IF('Job Cards'!A45="","",'Job Cards'!K45)</f>
        <v/>
      </c>
      <c r="B334">
        <f>IF(A334="","",'Job Cards'!A45)</f>
        <v/>
      </c>
      <c r="C334">
        <f>IF(A334="","",'Job Cards'!B45)</f>
        <v/>
      </c>
      <c r="D334">
        <f>IF(A334="","",'Job Cards'!D45)</f>
        <v/>
      </c>
      <c r="E334">
        <f>IF(A334="","",'Job Cards'!E45)</f>
        <v/>
      </c>
      <c r="F334" t="inlineStr">
        <is>
          <t>Drivetrain assembly</t>
        </is>
      </c>
      <c r="G334" t="n">
        <v>30</v>
      </c>
      <c r="H334" t="inlineStr">
        <is>
          <t>Drivetrain assembly</t>
        </is>
      </c>
      <c r="I334" t="inlineStr">
        <is>
          <t>Not Started</t>
        </is>
      </c>
      <c r="K334" s="234" t="n"/>
      <c r="L334" t="inlineStr">
        <is>
          <t>Open</t>
        </is>
      </c>
    </row>
    <row r="335">
      <c r="A335">
        <f>IF('Job Cards'!A45="","",'Job Cards'!K45)</f>
        <v/>
      </c>
      <c r="B335">
        <f>IF(A335="","",'Job Cards'!A45)</f>
        <v/>
      </c>
      <c r="C335">
        <f>IF(A335="","",'Job Cards'!B45)</f>
        <v/>
      </c>
      <c r="D335">
        <f>IF(A335="","",'Job Cards'!D45)</f>
        <v/>
      </c>
      <c r="E335">
        <f>IF(A335="","",'Job Cards'!E45)</f>
        <v/>
      </c>
      <c r="F335" t="inlineStr">
        <is>
          <t>Cockpit &amp; controls</t>
        </is>
      </c>
      <c r="G335" t="n">
        <v>40</v>
      </c>
      <c r="H335" t="inlineStr">
        <is>
          <t>Cockpit &amp; controls</t>
        </is>
      </c>
      <c r="I335" t="inlineStr">
        <is>
          <t>Not Started</t>
        </is>
      </c>
      <c r="K335" s="234" t="n"/>
      <c r="L335" t="inlineStr">
        <is>
          <t>Open</t>
        </is>
      </c>
    </row>
    <row r="336">
      <c r="A336">
        <f>IF('Job Cards'!A45="","",'Job Cards'!K45)</f>
        <v/>
      </c>
      <c r="B336">
        <f>IF(A336="","",'Job Cards'!A45)</f>
        <v/>
      </c>
      <c r="C336">
        <f>IF(A336="","",'Job Cards'!B45)</f>
        <v/>
      </c>
      <c r="D336">
        <f>IF(A336="","",'Job Cards'!D45)</f>
        <v/>
      </c>
      <c r="E336">
        <f>IF(A336="","",'Job Cards'!E45)</f>
        <v/>
      </c>
      <c r="F336" t="inlineStr">
        <is>
          <t>Wheel / tyre fitment</t>
        </is>
      </c>
      <c r="G336" t="n">
        <v>50</v>
      </c>
      <c r="H336" t="inlineStr">
        <is>
          <t>Wheel / tyre fitment</t>
        </is>
      </c>
      <c r="I336" t="inlineStr">
        <is>
          <t>Not Started</t>
        </is>
      </c>
      <c r="K336" s="234" t="n"/>
      <c r="L336" t="inlineStr">
        <is>
          <t>Open</t>
        </is>
      </c>
    </row>
    <row r="337">
      <c r="A337">
        <f>IF('Job Cards'!A45="","",'Job Cards'!K45)</f>
        <v/>
      </c>
      <c r="B337">
        <f>IF(A337="","",'Job Cards'!A45)</f>
        <v/>
      </c>
      <c r="C337">
        <f>IF(A337="","",'Job Cards'!B45)</f>
        <v/>
      </c>
      <c r="D337">
        <f>IF(A337="","",'Job Cards'!D45)</f>
        <v/>
      </c>
      <c r="E337">
        <f>IF(A337="","",'Job Cards'!E45)</f>
        <v/>
      </c>
      <c r="F337" t="inlineStr">
        <is>
          <t>Torque &amp; fit inspection</t>
        </is>
      </c>
      <c r="G337" t="n">
        <v>60</v>
      </c>
      <c r="H337" t="inlineStr">
        <is>
          <t>Torque &amp; fit inspection</t>
        </is>
      </c>
      <c r="I337" t="inlineStr">
        <is>
          <t>Not Started</t>
        </is>
      </c>
      <c r="K337" s="234" t="n"/>
      <c r="L337" t="inlineStr">
        <is>
          <t>Open</t>
        </is>
      </c>
    </row>
    <row r="338">
      <c r="A338">
        <f>IF('Job Cards'!A45="","",'Job Cards'!K45)</f>
        <v/>
      </c>
      <c r="B338">
        <f>IF(A338="","",'Job Cards'!A45)</f>
        <v/>
      </c>
      <c r="C338">
        <f>IF(A338="","",'Job Cards'!B45)</f>
        <v/>
      </c>
      <c r="D338">
        <f>IF(A338="","",'Job Cards'!D45)</f>
        <v/>
      </c>
      <c r="E338">
        <f>IF(A338="","",'Job Cards'!E45)</f>
        <v/>
      </c>
      <c r="F338" t="inlineStr">
        <is>
          <t>Final quality</t>
        </is>
      </c>
      <c r="G338" t="n">
        <v>70</v>
      </c>
      <c r="H338" t="inlineStr">
        <is>
          <t>Final quality</t>
        </is>
      </c>
      <c r="I338" t="inlineStr">
        <is>
          <t>Not Started</t>
        </is>
      </c>
      <c r="K338" s="234" t="n"/>
      <c r="L338" t="inlineStr">
        <is>
          <t>Open</t>
        </is>
      </c>
    </row>
    <row r="339">
      <c r="A339">
        <f>IF('Job Cards'!A45="","",'Job Cards'!K45)</f>
        <v/>
      </c>
      <c r="B339">
        <f>IF(A339="","",'Job Cards'!A45)</f>
        <v/>
      </c>
      <c r="C339">
        <f>IF(A339="","",'Job Cards'!B45)</f>
        <v/>
      </c>
      <c r="D339">
        <f>IF(A339="","",'Job Cards'!D45)</f>
        <v/>
      </c>
      <c r="E339">
        <f>IF(A339="","",'Job Cards'!E45)</f>
        <v/>
      </c>
      <c r="F339" t="inlineStr">
        <is>
          <t>Pack &amp; release</t>
        </is>
      </c>
      <c r="G339" t="n">
        <v>80</v>
      </c>
      <c r="H339" t="inlineStr">
        <is>
          <t>Pack &amp; release</t>
        </is>
      </c>
      <c r="I339" t="inlineStr">
        <is>
          <t>Not Started</t>
        </is>
      </c>
      <c r="K339" s="234" t="n"/>
      <c r="L339" t="inlineStr">
        <is>
          <t>Open</t>
        </is>
      </c>
    </row>
    <row r="340">
      <c r="A340">
        <f>IF('Job Cards'!A46="","",'Job Cards'!K46)</f>
        <v/>
      </c>
      <c r="B340">
        <f>IF(A340="","",'Job Cards'!A46)</f>
        <v/>
      </c>
      <c r="C340">
        <f>IF(A340="","",'Job Cards'!B46)</f>
        <v/>
      </c>
      <c r="D340">
        <f>IF(A340="","",'Job Cards'!D46)</f>
        <v/>
      </c>
      <c r="E340">
        <f>IF(A340="","",'Job Cards'!E46)</f>
        <v/>
      </c>
      <c r="F340" t="inlineStr">
        <is>
          <t>Kitting</t>
        </is>
      </c>
      <c r="G340" t="n">
        <v>10</v>
      </c>
      <c r="H340" t="inlineStr">
        <is>
          <t>Kitting</t>
        </is>
      </c>
      <c r="I340" t="inlineStr">
        <is>
          <t>Not Started</t>
        </is>
      </c>
      <c r="K340" s="234" t="n"/>
      <c r="L340" t="inlineStr">
        <is>
          <t>Open</t>
        </is>
      </c>
    </row>
    <row r="341">
      <c r="A341">
        <f>IF('Job Cards'!A46="","",'Job Cards'!K46)</f>
        <v/>
      </c>
      <c r="B341">
        <f>IF(A341="","",'Job Cards'!A46)</f>
        <v/>
      </c>
      <c r="C341">
        <f>IF(A341="","",'Job Cards'!B46)</f>
        <v/>
      </c>
      <c r="D341">
        <f>IF(A341="","",'Job Cards'!D46)</f>
        <v/>
      </c>
      <c r="E341">
        <f>IF(A341="","",'Job Cards'!E46)</f>
        <v/>
      </c>
      <c r="F341" t="inlineStr">
        <is>
          <t>Frame / frameset receipt</t>
        </is>
      </c>
      <c r="G341" t="n">
        <v>20</v>
      </c>
      <c r="H341" t="inlineStr">
        <is>
          <t>Frame / frameset receipt</t>
        </is>
      </c>
      <c r="I341" t="inlineStr">
        <is>
          <t>Not Started</t>
        </is>
      </c>
      <c r="K341" s="234" t="n"/>
      <c r="L341" t="inlineStr">
        <is>
          <t>Open</t>
        </is>
      </c>
    </row>
    <row r="342">
      <c r="A342">
        <f>IF('Job Cards'!A46="","",'Job Cards'!K46)</f>
        <v/>
      </c>
      <c r="B342">
        <f>IF(A342="","",'Job Cards'!A46)</f>
        <v/>
      </c>
      <c r="C342">
        <f>IF(A342="","",'Job Cards'!B46)</f>
        <v/>
      </c>
      <c r="D342">
        <f>IF(A342="","",'Job Cards'!D46)</f>
        <v/>
      </c>
      <c r="E342">
        <f>IF(A342="","",'Job Cards'!E46)</f>
        <v/>
      </c>
      <c r="F342" t="inlineStr">
        <is>
          <t>Drivetrain assembly</t>
        </is>
      </c>
      <c r="G342" t="n">
        <v>30</v>
      </c>
      <c r="H342" t="inlineStr">
        <is>
          <t>Drivetrain assembly</t>
        </is>
      </c>
      <c r="I342" t="inlineStr">
        <is>
          <t>Not Started</t>
        </is>
      </c>
      <c r="K342" s="234" t="n"/>
      <c r="L342" t="inlineStr">
        <is>
          <t>Open</t>
        </is>
      </c>
    </row>
    <row r="343">
      <c r="A343">
        <f>IF('Job Cards'!A46="","",'Job Cards'!K46)</f>
        <v/>
      </c>
      <c r="B343">
        <f>IF(A343="","",'Job Cards'!A46)</f>
        <v/>
      </c>
      <c r="C343">
        <f>IF(A343="","",'Job Cards'!B46)</f>
        <v/>
      </c>
      <c r="D343">
        <f>IF(A343="","",'Job Cards'!D46)</f>
        <v/>
      </c>
      <c r="E343">
        <f>IF(A343="","",'Job Cards'!E46)</f>
        <v/>
      </c>
      <c r="F343" t="inlineStr">
        <is>
          <t>Cockpit &amp; controls</t>
        </is>
      </c>
      <c r="G343" t="n">
        <v>40</v>
      </c>
      <c r="H343" t="inlineStr">
        <is>
          <t>Cockpit &amp; controls</t>
        </is>
      </c>
      <c r="I343" t="inlineStr">
        <is>
          <t>Not Started</t>
        </is>
      </c>
      <c r="K343" s="234" t="n"/>
      <c r="L343" t="inlineStr">
        <is>
          <t>Open</t>
        </is>
      </c>
    </row>
    <row r="344">
      <c r="A344">
        <f>IF('Job Cards'!A46="","",'Job Cards'!K46)</f>
        <v/>
      </c>
      <c r="B344">
        <f>IF(A344="","",'Job Cards'!A46)</f>
        <v/>
      </c>
      <c r="C344">
        <f>IF(A344="","",'Job Cards'!B46)</f>
        <v/>
      </c>
      <c r="D344">
        <f>IF(A344="","",'Job Cards'!D46)</f>
        <v/>
      </c>
      <c r="E344">
        <f>IF(A344="","",'Job Cards'!E46)</f>
        <v/>
      </c>
      <c r="F344" t="inlineStr">
        <is>
          <t>Wheel / tyre fitment</t>
        </is>
      </c>
      <c r="G344" t="n">
        <v>50</v>
      </c>
      <c r="H344" t="inlineStr">
        <is>
          <t>Wheel / tyre fitment</t>
        </is>
      </c>
      <c r="I344" t="inlineStr">
        <is>
          <t>Not Started</t>
        </is>
      </c>
      <c r="K344" s="234" t="n"/>
      <c r="L344" t="inlineStr">
        <is>
          <t>Open</t>
        </is>
      </c>
    </row>
    <row r="345">
      <c r="A345">
        <f>IF('Job Cards'!A46="","",'Job Cards'!K46)</f>
        <v/>
      </c>
      <c r="B345">
        <f>IF(A345="","",'Job Cards'!A46)</f>
        <v/>
      </c>
      <c r="C345">
        <f>IF(A345="","",'Job Cards'!B46)</f>
        <v/>
      </c>
      <c r="D345">
        <f>IF(A345="","",'Job Cards'!D46)</f>
        <v/>
      </c>
      <c r="E345">
        <f>IF(A345="","",'Job Cards'!E46)</f>
        <v/>
      </c>
      <c r="F345" t="inlineStr">
        <is>
          <t>Torque &amp; fit inspection</t>
        </is>
      </c>
      <c r="G345" t="n">
        <v>60</v>
      </c>
      <c r="H345" t="inlineStr">
        <is>
          <t>Torque &amp; fit inspection</t>
        </is>
      </c>
      <c r="I345" t="inlineStr">
        <is>
          <t>Not Started</t>
        </is>
      </c>
      <c r="K345" s="234" t="n"/>
      <c r="L345" t="inlineStr">
        <is>
          <t>Open</t>
        </is>
      </c>
    </row>
    <row r="346">
      <c r="A346">
        <f>IF('Job Cards'!A46="","",'Job Cards'!K46)</f>
        <v/>
      </c>
      <c r="B346">
        <f>IF(A346="","",'Job Cards'!A46)</f>
        <v/>
      </c>
      <c r="C346">
        <f>IF(A346="","",'Job Cards'!B46)</f>
        <v/>
      </c>
      <c r="D346">
        <f>IF(A346="","",'Job Cards'!D46)</f>
        <v/>
      </c>
      <c r="E346">
        <f>IF(A346="","",'Job Cards'!E46)</f>
        <v/>
      </c>
      <c r="F346" t="inlineStr">
        <is>
          <t>Final quality</t>
        </is>
      </c>
      <c r="G346" t="n">
        <v>70</v>
      </c>
      <c r="H346" t="inlineStr">
        <is>
          <t>Final quality</t>
        </is>
      </c>
      <c r="I346" t="inlineStr">
        <is>
          <t>Not Started</t>
        </is>
      </c>
      <c r="K346" s="234" t="n"/>
      <c r="L346" t="inlineStr">
        <is>
          <t>Open</t>
        </is>
      </c>
    </row>
    <row r="347">
      <c r="A347">
        <f>IF('Job Cards'!A46="","",'Job Cards'!K46)</f>
        <v/>
      </c>
      <c r="B347">
        <f>IF(A347="","",'Job Cards'!A46)</f>
        <v/>
      </c>
      <c r="C347">
        <f>IF(A347="","",'Job Cards'!B46)</f>
        <v/>
      </c>
      <c r="D347">
        <f>IF(A347="","",'Job Cards'!D46)</f>
        <v/>
      </c>
      <c r="E347">
        <f>IF(A347="","",'Job Cards'!E46)</f>
        <v/>
      </c>
      <c r="F347" t="inlineStr">
        <is>
          <t>Pack &amp; release</t>
        </is>
      </c>
      <c r="G347" t="n">
        <v>80</v>
      </c>
      <c r="H347" t="inlineStr">
        <is>
          <t>Pack &amp; release</t>
        </is>
      </c>
      <c r="I347" t="inlineStr">
        <is>
          <t>Not Started</t>
        </is>
      </c>
      <c r="K347" s="234" t="n"/>
      <c r="L347" t="inlineStr">
        <is>
          <t>Open</t>
        </is>
      </c>
    </row>
    <row r="348">
      <c r="A348">
        <f>IF('Job Cards'!A47="","",'Job Cards'!K47)</f>
        <v/>
      </c>
      <c r="B348">
        <f>IF(A348="","",'Job Cards'!A47)</f>
        <v/>
      </c>
      <c r="C348">
        <f>IF(A348="","",'Job Cards'!B47)</f>
        <v/>
      </c>
      <c r="D348">
        <f>IF(A348="","",'Job Cards'!D47)</f>
        <v/>
      </c>
      <c r="E348">
        <f>IF(A348="","",'Job Cards'!E47)</f>
        <v/>
      </c>
      <c r="F348" t="inlineStr">
        <is>
          <t>Kitting</t>
        </is>
      </c>
      <c r="G348" t="n">
        <v>10</v>
      </c>
      <c r="H348" t="inlineStr">
        <is>
          <t>Kitting</t>
        </is>
      </c>
      <c r="I348" t="inlineStr">
        <is>
          <t>Not Started</t>
        </is>
      </c>
      <c r="K348" s="234" t="n"/>
      <c r="L348" t="inlineStr">
        <is>
          <t>Open</t>
        </is>
      </c>
    </row>
    <row r="349">
      <c r="A349">
        <f>IF('Job Cards'!A47="","",'Job Cards'!K47)</f>
        <v/>
      </c>
      <c r="B349">
        <f>IF(A349="","",'Job Cards'!A47)</f>
        <v/>
      </c>
      <c r="C349">
        <f>IF(A349="","",'Job Cards'!B47)</f>
        <v/>
      </c>
      <c r="D349">
        <f>IF(A349="","",'Job Cards'!D47)</f>
        <v/>
      </c>
      <c r="E349">
        <f>IF(A349="","",'Job Cards'!E47)</f>
        <v/>
      </c>
      <c r="F349" t="inlineStr">
        <is>
          <t>Frame / frameset receipt</t>
        </is>
      </c>
      <c r="G349" t="n">
        <v>20</v>
      </c>
      <c r="H349" t="inlineStr">
        <is>
          <t>Frame / frameset receipt</t>
        </is>
      </c>
      <c r="I349" t="inlineStr">
        <is>
          <t>Not Started</t>
        </is>
      </c>
      <c r="K349" s="234" t="n"/>
      <c r="L349" t="inlineStr">
        <is>
          <t>Open</t>
        </is>
      </c>
    </row>
    <row r="350">
      <c r="A350">
        <f>IF('Job Cards'!A47="","",'Job Cards'!K47)</f>
        <v/>
      </c>
      <c r="B350">
        <f>IF(A350="","",'Job Cards'!A47)</f>
        <v/>
      </c>
      <c r="C350">
        <f>IF(A350="","",'Job Cards'!B47)</f>
        <v/>
      </c>
      <c r="D350">
        <f>IF(A350="","",'Job Cards'!D47)</f>
        <v/>
      </c>
      <c r="E350">
        <f>IF(A350="","",'Job Cards'!E47)</f>
        <v/>
      </c>
      <c r="F350" t="inlineStr">
        <is>
          <t>Drivetrain assembly</t>
        </is>
      </c>
      <c r="G350" t="n">
        <v>30</v>
      </c>
      <c r="H350" t="inlineStr">
        <is>
          <t>Drivetrain assembly</t>
        </is>
      </c>
      <c r="I350" t="inlineStr">
        <is>
          <t>Not Started</t>
        </is>
      </c>
      <c r="K350" s="234" t="n"/>
      <c r="L350" t="inlineStr">
        <is>
          <t>Open</t>
        </is>
      </c>
    </row>
    <row r="351">
      <c r="A351">
        <f>IF('Job Cards'!A47="","",'Job Cards'!K47)</f>
        <v/>
      </c>
      <c r="B351">
        <f>IF(A351="","",'Job Cards'!A47)</f>
        <v/>
      </c>
      <c r="C351">
        <f>IF(A351="","",'Job Cards'!B47)</f>
        <v/>
      </c>
      <c r="D351">
        <f>IF(A351="","",'Job Cards'!D47)</f>
        <v/>
      </c>
      <c r="E351">
        <f>IF(A351="","",'Job Cards'!E47)</f>
        <v/>
      </c>
      <c r="F351" t="inlineStr">
        <is>
          <t>Cockpit &amp; controls</t>
        </is>
      </c>
      <c r="G351" t="n">
        <v>40</v>
      </c>
      <c r="H351" t="inlineStr">
        <is>
          <t>Cockpit &amp; controls</t>
        </is>
      </c>
      <c r="I351" t="inlineStr">
        <is>
          <t>Not Started</t>
        </is>
      </c>
      <c r="K351" s="234" t="n"/>
      <c r="L351" t="inlineStr">
        <is>
          <t>Open</t>
        </is>
      </c>
    </row>
    <row r="352">
      <c r="A352">
        <f>IF('Job Cards'!A47="","",'Job Cards'!K47)</f>
        <v/>
      </c>
      <c r="B352">
        <f>IF(A352="","",'Job Cards'!A47)</f>
        <v/>
      </c>
      <c r="C352">
        <f>IF(A352="","",'Job Cards'!B47)</f>
        <v/>
      </c>
      <c r="D352">
        <f>IF(A352="","",'Job Cards'!D47)</f>
        <v/>
      </c>
      <c r="E352">
        <f>IF(A352="","",'Job Cards'!E47)</f>
        <v/>
      </c>
      <c r="F352" t="inlineStr">
        <is>
          <t>Wheel / tyre fitment</t>
        </is>
      </c>
      <c r="G352" t="n">
        <v>50</v>
      </c>
      <c r="H352" t="inlineStr">
        <is>
          <t>Wheel / tyre fitment</t>
        </is>
      </c>
      <c r="I352" t="inlineStr">
        <is>
          <t>Not Started</t>
        </is>
      </c>
      <c r="K352" s="234" t="n"/>
      <c r="L352" t="inlineStr">
        <is>
          <t>Open</t>
        </is>
      </c>
    </row>
    <row r="353">
      <c r="A353">
        <f>IF('Job Cards'!A47="","",'Job Cards'!K47)</f>
        <v/>
      </c>
      <c r="B353">
        <f>IF(A353="","",'Job Cards'!A47)</f>
        <v/>
      </c>
      <c r="C353">
        <f>IF(A353="","",'Job Cards'!B47)</f>
        <v/>
      </c>
      <c r="D353">
        <f>IF(A353="","",'Job Cards'!D47)</f>
        <v/>
      </c>
      <c r="E353">
        <f>IF(A353="","",'Job Cards'!E47)</f>
        <v/>
      </c>
      <c r="F353" t="inlineStr">
        <is>
          <t>Torque &amp; fit inspection</t>
        </is>
      </c>
      <c r="G353" t="n">
        <v>60</v>
      </c>
      <c r="H353" t="inlineStr">
        <is>
          <t>Torque &amp; fit inspection</t>
        </is>
      </c>
      <c r="I353" t="inlineStr">
        <is>
          <t>Not Started</t>
        </is>
      </c>
      <c r="K353" s="234" t="n"/>
      <c r="L353" t="inlineStr">
        <is>
          <t>Open</t>
        </is>
      </c>
    </row>
    <row r="354">
      <c r="A354">
        <f>IF('Job Cards'!A47="","",'Job Cards'!K47)</f>
        <v/>
      </c>
      <c r="B354">
        <f>IF(A354="","",'Job Cards'!A47)</f>
        <v/>
      </c>
      <c r="C354">
        <f>IF(A354="","",'Job Cards'!B47)</f>
        <v/>
      </c>
      <c r="D354">
        <f>IF(A354="","",'Job Cards'!D47)</f>
        <v/>
      </c>
      <c r="E354">
        <f>IF(A354="","",'Job Cards'!E47)</f>
        <v/>
      </c>
      <c r="F354" t="inlineStr">
        <is>
          <t>Final quality</t>
        </is>
      </c>
      <c r="G354" t="n">
        <v>70</v>
      </c>
      <c r="H354" t="inlineStr">
        <is>
          <t>Final quality</t>
        </is>
      </c>
      <c r="I354" t="inlineStr">
        <is>
          <t>Not Started</t>
        </is>
      </c>
      <c r="K354" s="234" t="n"/>
      <c r="L354" t="inlineStr">
        <is>
          <t>Open</t>
        </is>
      </c>
    </row>
    <row r="355">
      <c r="A355">
        <f>IF('Job Cards'!A47="","",'Job Cards'!K47)</f>
        <v/>
      </c>
      <c r="B355">
        <f>IF(A355="","",'Job Cards'!A47)</f>
        <v/>
      </c>
      <c r="C355">
        <f>IF(A355="","",'Job Cards'!B47)</f>
        <v/>
      </c>
      <c r="D355">
        <f>IF(A355="","",'Job Cards'!D47)</f>
        <v/>
      </c>
      <c r="E355">
        <f>IF(A355="","",'Job Cards'!E47)</f>
        <v/>
      </c>
      <c r="F355" t="inlineStr">
        <is>
          <t>Pack &amp; release</t>
        </is>
      </c>
      <c r="G355" t="n">
        <v>80</v>
      </c>
      <c r="H355" t="inlineStr">
        <is>
          <t>Pack &amp; release</t>
        </is>
      </c>
      <c r="I355" t="inlineStr">
        <is>
          <t>Not Started</t>
        </is>
      </c>
      <c r="K355" s="234" t="n"/>
      <c r="L355" t="inlineStr">
        <is>
          <t>Open</t>
        </is>
      </c>
    </row>
    <row r="356">
      <c r="A356">
        <f>IF('Job Cards'!A48="","",'Job Cards'!K48)</f>
        <v/>
      </c>
      <c r="B356">
        <f>IF(A356="","",'Job Cards'!A48)</f>
        <v/>
      </c>
      <c r="C356">
        <f>IF(A356="","",'Job Cards'!B48)</f>
        <v/>
      </c>
      <c r="D356">
        <f>IF(A356="","",'Job Cards'!D48)</f>
        <v/>
      </c>
      <c r="E356">
        <f>IF(A356="","",'Job Cards'!E48)</f>
        <v/>
      </c>
      <c r="F356" t="inlineStr">
        <is>
          <t>Kitting</t>
        </is>
      </c>
      <c r="G356" t="n">
        <v>10</v>
      </c>
      <c r="H356" t="inlineStr">
        <is>
          <t>Kitting</t>
        </is>
      </c>
      <c r="I356" t="inlineStr">
        <is>
          <t>Not Started</t>
        </is>
      </c>
      <c r="K356" s="234" t="n"/>
      <c r="L356" t="inlineStr">
        <is>
          <t>Open</t>
        </is>
      </c>
    </row>
    <row r="357">
      <c r="A357">
        <f>IF('Job Cards'!A48="","",'Job Cards'!K48)</f>
        <v/>
      </c>
      <c r="B357">
        <f>IF(A357="","",'Job Cards'!A48)</f>
        <v/>
      </c>
      <c r="C357">
        <f>IF(A357="","",'Job Cards'!B48)</f>
        <v/>
      </c>
      <c r="D357">
        <f>IF(A357="","",'Job Cards'!D48)</f>
        <v/>
      </c>
      <c r="E357">
        <f>IF(A357="","",'Job Cards'!E48)</f>
        <v/>
      </c>
      <c r="F357" t="inlineStr">
        <is>
          <t>Frame / frameset receipt</t>
        </is>
      </c>
      <c r="G357" t="n">
        <v>20</v>
      </c>
      <c r="H357" t="inlineStr">
        <is>
          <t>Frame / frameset receipt</t>
        </is>
      </c>
      <c r="I357" t="inlineStr">
        <is>
          <t>Not Started</t>
        </is>
      </c>
      <c r="K357" s="234" t="n"/>
      <c r="L357" t="inlineStr">
        <is>
          <t>Open</t>
        </is>
      </c>
    </row>
    <row r="358">
      <c r="A358">
        <f>IF('Job Cards'!A48="","",'Job Cards'!K48)</f>
        <v/>
      </c>
      <c r="B358">
        <f>IF(A358="","",'Job Cards'!A48)</f>
        <v/>
      </c>
      <c r="C358">
        <f>IF(A358="","",'Job Cards'!B48)</f>
        <v/>
      </c>
      <c r="D358">
        <f>IF(A358="","",'Job Cards'!D48)</f>
        <v/>
      </c>
      <c r="E358">
        <f>IF(A358="","",'Job Cards'!E48)</f>
        <v/>
      </c>
      <c r="F358" t="inlineStr">
        <is>
          <t>Drivetrain assembly</t>
        </is>
      </c>
      <c r="G358" t="n">
        <v>30</v>
      </c>
      <c r="H358" t="inlineStr">
        <is>
          <t>Drivetrain assembly</t>
        </is>
      </c>
      <c r="I358" t="inlineStr">
        <is>
          <t>Not Started</t>
        </is>
      </c>
      <c r="K358" s="234" t="n"/>
      <c r="L358" t="inlineStr">
        <is>
          <t>Open</t>
        </is>
      </c>
    </row>
    <row r="359">
      <c r="A359">
        <f>IF('Job Cards'!A48="","",'Job Cards'!K48)</f>
        <v/>
      </c>
      <c r="B359">
        <f>IF(A359="","",'Job Cards'!A48)</f>
        <v/>
      </c>
      <c r="C359">
        <f>IF(A359="","",'Job Cards'!B48)</f>
        <v/>
      </c>
      <c r="D359">
        <f>IF(A359="","",'Job Cards'!D48)</f>
        <v/>
      </c>
      <c r="E359">
        <f>IF(A359="","",'Job Cards'!E48)</f>
        <v/>
      </c>
      <c r="F359" t="inlineStr">
        <is>
          <t>Cockpit &amp; controls</t>
        </is>
      </c>
      <c r="G359" t="n">
        <v>40</v>
      </c>
      <c r="H359" t="inlineStr">
        <is>
          <t>Cockpit &amp; controls</t>
        </is>
      </c>
      <c r="I359" t="inlineStr">
        <is>
          <t>Not Started</t>
        </is>
      </c>
      <c r="K359" s="234" t="n"/>
      <c r="L359" t="inlineStr">
        <is>
          <t>Open</t>
        </is>
      </c>
    </row>
    <row r="360">
      <c r="A360">
        <f>IF('Job Cards'!A48="","",'Job Cards'!K48)</f>
        <v/>
      </c>
      <c r="B360">
        <f>IF(A360="","",'Job Cards'!A48)</f>
        <v/>
      </c>
      <c r="C360">
        <f>IF(A360="","",'Job Cards'!B48)</f>
        <v/>
      </c>
      <c r="D360">
        <f>IF(A360="","",'Job Cards'!D48)</f>
        <v/>
      </c>
      <c r="E360">
        <f>IF(A360="","",'Job Cards'!E48)</f>
        <v/>
      </c>
      <c r="F360" t="inlineStr">
        <is>
          <t>Wheel / tyre fitment</t>
        </is>
      </c>
      <c r="G360" t="n">
        <v>50</v>
      </c>
      <c r="H360" t="inlineStr">
        <is>
          <t>Wheel / tyre fitment</t>
        </is>
      </c>
      <c r="I360" t="inlineStr">
        <is>
          <t>Not Started</t>
        </is>
      </c>
      <c r="K360" s="234" t="n"/>
      <c r="L360" t="inlineStr">
        <is>
          <t>Open</t>
        </is>
      </c>
    </row>
    <row r="361">
      <c r="A361">
        <f>IF('Job Cards'!A48="","",'Job Cards'!K48)</f>
        <v/>
      </c>
      <c r="B361">
        <f>IF(A361="","",'Job Cards'!A48)</f>
        <v/>
      </c>
      <c r="C361">
        <f>IF(A361="","",'Job Cards'!B48)</f>
        <v/>
      </c>
      <c r="D361">
        <f>IF(A361="","",'Job Cards'!D48)</f>
        <v/>
      </c>
      <c r="E361">
        <f>IF(A361="","",'Job Cards'!E48)</f>
        <v/>
      </c>
      <c r="F361" t="inlineStr">
        <is>
          <t>Torque &amp; fit inspection</t>
        </is>
      </c>
      <c r="G361" t="n">
        <v>60</v>
      </c>
      <c r="H361" t="inlineStr">
        <is>
          <t>Torque &amp; fit inspection</t>
        </is>
      </c>
      <c r="I361" t="inlineStr">
        <is>
          <t>Not Started</t>
        </is>
      </c>
      <c r="K361" s="234" t="n"/>
      <c r="L361" t="inlineStr">
        <is>
          <t>Open</t>
        </is>
      </c>
    </row>
    <row r="362">
      <c r="A362">
        <f>IF('Job Cards'!A48="","",'Job Cards'!K48)</f>
        <v/>
      </c>
      <c r="B362">
        <f>IF(A362="","",'Job Cards'!A48)</f>
        <v/>
      </c>
      <c r="C362">
        <f>IF(A362="","",'Job Cards'!B48)</f>
        <v/>
      </c>
      <c r="D362">
        <f>IF(A362="","",'Job Cards'!D48)</f>
        <v/>
      </c>
      <c r="E362">
        <f>IF(A362="","",'Job Cards'!E48)</f>
        <v/>
      </c>
      <c r="F362" t="inlineStr">
        <is>
          <t>Final quality</t>
        </is>
      </c>
      <c r="G362" t="n">
        <v>70</v>
      </c>
      <c r="H362" t="inlineStr">
        <is>
          <t>Final quality</t>
        </is>
      </c>
      <c r="I362" t="inlineStr">
        <is>
          <t>Not Started</t>
        </is>
      </c>
      <c r="K362" s="234" t="n"/>
      <c r="L362" t="inlineStr">
        <is>
          <t>Open</t>
        </is>
      </c>
    </row>
    <row r="363">
      <c r="A363">
        <f>IF('Job Cards'!A48="","",'Job Cards'!K48)</f>
        <v/>
      </c>
      <c r="B363">
        <f>IF(A363="","",'Job Cards'!A48)</f>
        <v/>
      </c>
      <c r="C363">
        <f>IF(A363="","",'Job Cards'!B48)</f>
        <v/>
      </c>
      <c r="D363">
        <f>IF(A363="","",'Job Cards'!D48)</f>
        <v/>
      </c>
      <c r="E363">
        <f>IF(A363="","",'Job Cards'!E48)</f>
        <v/>
      </c>
      <c r="F363" t="inlineStr">
        <is>
          <t>Pack &amp; release</t>
        </is>
      </c>
      <c r="G363" t="n">
        <v>80</v>
      </c>
      <c r="H363" t="inlineStr">
        <is>
          <t>Pack &amp; release</t>
        </is>
      </c>
      <c r="I363" t="inlineStr">
        <is>
          <t>Not Started</t>
        </is>
      </c>
      <c r="K363" s="234" t="n"/>
      <c r="L363" t="inlineStr">
        <is>
          <t>Open</t>
        </is>
      </c>
    </row>
    <row r="364">
      <c r="A364">
        <f>IF('Job Cards'!A49="","",'Job Cards'!K49)</f>
        <v/>
      </c>
      <c r="B364">
        <f>IF(A364="","",'Job Cards'!A49)</f>
        <v/>
      </c>
      <c r="C364">
        <f>IF(A364="","",'Job Cards'!B49)</f>
        <v/>
      </c>
      <c r="D364">
        <f>IF(A364="","",'Job Cards'!D49)</f>
        <v/>
      </c>
      <c r="E364">
        <f>IF(A364="","",'Job Cards'!E49)</f>
        <v/>
      </c>
      <c r="F364" t="inlineStr">
        <is>
          <t>Kitting</t>
        </is>
      </c>
      <c r="G364" t="n">
        <v>10</v>
      </c>
      <c r="H364" t="inlineStr">
        <is>
          <t>Kitting</t>
        </is>
      </c>
      <c r="I364" t="inlineStr">
        <is>
          <t>Not Started</t>
        </is>
      </c>
      <c r="K364" s="234" t="n"/>
      <c r="L364" t="inlineStr">
        <is>
          <t>Open</t>
        </is>
      </c>
    </row>
    <row r="365">
      <c r="A365">
        <f>IF('Job Cards'!A49="","",'Job Cards'!K49)</f>
        <v/>
      </c>
      <c r="B365">
        <f>IF(A365="","",'Job Cards'!A49)</f>
        <v/>
      </c>
      <c r="C365">
        <f>IF(A365="","",'Job Cards'!B49)</f>
        <v/>
      </c>
      <c r="D365">
        <f>IF(A365="","",'Job Cards'!D49)</f>
        <v/>
      </c>
      <c r="E365">
        <f>IF(A365="","",'Job Cards'!E49)</f>
        <v/>
      </c>
      <c r="F365" t="inlineStr">
        <is>
          <t>Frame / frameset receipt</t>
        </is>
      </c>
      <c r="G365" t="n">
        <v>20</v>
      </c>
      <c r="H365" t="inlineStr">
        <is>
          <t>Frame / frameset receipt</t>
        </is>
      </c>
      <c r="I365" t="inlineStr">
        <is>
          <t>Not Started</t>
        </is>
      </c>
      <c r="K365" s="234" t="n"/>
      <c r="L365" t="inlineStr">
        <is>
          <t>Open</t>
        </is>
      </c>
    </row>
    <row r="366">
      <c r="A366">
        <f>IF('Job Cards'!A49="","",'Job Cards'!K49)</f>
        <v/>
      </c>
      <c r="B366">
        <f>IF(A366="","",'Job Cards'!A49)</f>
        <v/>
      </c>
      <c r="C366">
        <f>IF(A366="","",'Job Cards'!B49)</f>
        <v/>
      </c>
      <c r="D366">
        <f>IF(A366="","",'Job Cards'!D49)</f>
        <v/>
      </c>
      <c r="E366">
        <f>IF(A366="","",'Job Cards'!E49)</f>
        <v/>
      </c>
      <c r="F366" t="inlineStr">
        <is>
          <t>Drivetrain assembly</t>
        </is>
      </c>
      <c r="G366" t="n">
        <v>30</v>
      </c>
      <c r="H366" t="inlineStr">
        <is>
          <t>Drivetrain assembly</t>
        </is>
      </c>
      <c r="I366" t="inlineStr">
        <is>
          <t>Not Started</t>
        </is>
      </c>
      <c r="K366" s="234" t="n"/>
      <c r="L366" t="inlineStr">
        <is>
          <t>Open</t>
        </is>
      </c>
    </row>
    <row r="367">
      <c r="A367">
        <f>IF('Job Cards'!A49="","",'Job Cards'!K49)</f>
        <v/>
      </c>
      <c r="B367">
        <f>IF(A367="","",'Job Cards'!A49)</f>
        <v/>
      </c>
      <c r="C367">
        <f>IF(A367="","",'Job Cards'!B49)</f>
        <v/>
      </c>
      <c r="D367">
        <f>IF(A367="","",'Job Cards'!D49)</f>
        <v/>
      </c>
      <c r="E367">
        <f>IF(A367="","",'Job Cards'!E49)</f>
        <v/>
      </c>
      <c r="F367" t="inlineStr">
        <is>
          <t>Cockpit &amp; controls</t>
        </is>
      </c>
      <c r="G367" t="n">
        <v>40</v>
      </c>
      <c r="H367" t="inlineStr">
        <is>
          <t>Cockpit &amp; controls</t>
        </is>
      </c>
      <c r="I367" t="inlineStr">
        <is>
          <t>Not Started</t>
        </is>
      </c>
      <c r="K367" s="234" t="n"/>
      <c r="L367" t="inlineStr">
        <is>
          <t>Open</t>
        </is>
      </c>
    </row>
    <row r="368">
      <c r="A368">
        <f>IF('Job Cards'!A49="","",'Job Cards'!K49)</f>
        <v/>
      </c>
      <c r="B368">
        <f>IF(A368="","",'Job Cards'!A49)</f>
        <v/>
      </c>
      <c r="C368">
        <f>IF(A368="","",'Job Cards'!B49)</f>
        <v/>
      </c>
      <c r="D368">
        <f>IF(A368="","",'Job Cards'!D49)</f>
        <v/>
      </c>
      <c r="E368">
        <f>IF(A368="","",'Job Cards'!E49)</f>
        <v/>
      </c>
      <c r="F368" t="inlineStr">
        <is>
          <t>Wheel / tyre fitment</t>
        </is>
      </c>
      <c r="G368" t="n">
        <v>50</v>
      </c>
      <c r="H368" t="inlineStr">
        <is>
          <t>Wheel / tyre fitment</t>
        </is>
      </c>
      <c r="I368" t="inlineStr">
        <is>
          <t>Not Started</t>
        </is>
      </c>
      <c r="K368" s="234" t="n"/>
      <c r="L368" t="inlineStr">
        <is>
          <t>Open</t>
        </is>
      </c>
    </row>
    <row r="369">
      <c r="A369">
        <f>IF('Job Cards'!A49="","",'Job Cards'!K49)</f>
        <v/>
      </c>
      <c r="B369">
        <f>IF(A369="","",'Job Cards'!A49)</f>
        <v/>
      </c>
      <c r="C369">
        <f>IF(A369="","",'Job Cards'!B49)</f>
        <v/>
      </c>
      <c r="D369">
        <f>IF(A369="","",'Job Cards'!D49)</f>
        <v/>
      </c>
      <c r="E369">
        <f>IF(A369="","",'Job Cards'!E49)</f>
        <v/>
      </c>
      <c r="F369" t="inlineStr">
        <is>
          <t>Torque &amp; fit inspection</t>
        </is>
      </c>
      <c r="G369" t="n">
        <v>60</v>
      </c>
      <c r="H369" t="inlineStr">
        <is>
          <t>Torque &amp; fit inspection</t>
        </is>
      </c>
      <c r="I369" t="inlineStr">
        <is>
          <t>Not Started</t>
        </is>
      </c>
      <c r="K369" s="234" t="n"/>
      <c r="L369" t="inlineStr">
        <is>
          <t>Open</t>
        </is>
      </c>
    </row>
    <row r="370">
      <c r="A370">
        <f>IF('Job Cards'!A49="","",'Job Cards'!K49)</f>
        <v/>
      </c>
      <c r="B370">
        <f>IF(A370="","",'Job Cards'!A49)</f>
        <v/>
      </c>
      <c r="C370">
        <f>IF(A370="","",'Job Cards'!B49)</f>
        <v/>
      </c>
      <c r="D370">
        <f>IF(A370="","",'Job Cards'!D49)</f>
        <v/>
      </c>
      <c r="E370">
        <f>IF(A370="","",'Job Cards'!E49)</f>
        <v/>
      </c>
      <c r="F370" t="inlineStr">
        <is>
          <t>Final quality</t>
        </is>
      </c>
      <c r="G370" t="n">
        <v>70</v>
      </c>
      <c r="H370" t="inlineStr">
        <is>
          <t>Final quality</t>
        </is>
      </c>
      <c r="I370" t="inlineStr">
        <is>
          <t>Not Started</t>
        </is>
      </c>
      <c r="K370" s="234" t="n"/>
      <c r="L370" t="inlineStr">
        <is>
          <t>Open</t>
        </is>
      </c>
    </row>
    <row r="371">
      <c r="A371">
        <f>IF('Job Cards'!A49="","",'Job Cards'!K49)</f>
        <v/>
      </c>
      <c r="B371">
        <f>IF(A371="","",'Job Cards'!A49)</f>
        <v/>
      </c>
      <c r="C371">
        <f>IF(A371="","",'Job Cards'!B49)</f>
        <v/>
      </c>
      <c r="D371">
        <f>IF(A371="","",'Job Cards'!D49)</f>
        <v/>
      </c>
      <c r="E371">
        <f>IF(A371="","",'Job Cards'!E49)</f>
        <v/>
      </c>
      <c r="F371" t="inlineStr">
        <is>
          <t>Pack &amp; release</t>
        </is>
      </c>
      <c r="G371" t="n">
        <v>80</v>
      </c>
      <c r="H371" t="inlineStr">
        <is>
          <t>Pack &amp; release</t>
        </is>
      </c>
      <c r="I371" t="inlineStr">
        <is>
          <t>Not Started</t>
        </is>
      </c>
      <c r="K371" s="234" t="n"/>
      <c r="L371" t="inlineStr">
        <is>
          <t>Open</t>
        </is>
      </c>
    </row>
    <row r="372">
      <c r="A372">
        <f>IF('Job Cards'!A50="","",'Job Cards'!K50)</f>
        <v/>
      </c>
      <c r="B372">
        <f>IF(A372="","",'Job Cards'!A50)</f>
        <v/>
      </c>
      <c r="C372">
        <f>IF(A372="","",'Job Cards'!B50)</f>
        <v/>
      </c>
      <c r="D372">
        <f>IF(A372="","",'Job Cards'!D50)</f>
        <v/>
      </c>
      <c r="E372">
        <f>IF(A372="","",'Job Cards'!E50)</f>
        <v/>
      </c>
      <c r="F372" t="inlineStr">
        <is>
          <t>Kitting</t>
        </is>
      </c>
      <c r="G372" t="n">
        <v>10</v>
      </c>
      <c r="H372" t="inlineStr">
        <is>
          <t>Kitting</t>
        </is>
      </c>
      <c r="I372" t="inlineStr">
        <is>
          <t>Not Started</t>
        </is>
      </c>
      <c r="K372" s="234" t="n"/>
      <c r="L372" t="inlineStr">
        <is>
          <t>Open</t>
        </is>
      </c>
    </row>
    <row r="373">
      <c r="A373">
        <f>IF('Job Cards'!A50="","",'Job Cards'!K50)</f>
        <v/>
      </c>
      <c r="B373">
        <f>IF(A373="","",'Job Cards'!A50)</f>
        <v/>
      </c>
      <c r="C373">
        <f>IF(A373="","",'Job Cards'!B50)</f>
        <v/>
      </c>
      <c r="D373">
        <f>IF(A373="","",'Job Cards'!D50)</f>
        <v/>
      </c>
      <c r="E373">
        <f>IF(A373="","",'Job Cards'!E50)</f>
        <v/>
      </c>
      <c r="F373" t="inlineStr">
        <is>
          <t>Frame / frameset receipt</t>
        </is>
      </c>
      <c r="G373" t="n">
        <v>20</v>
      </c>
      <c r="H373" t="inlineStr">
        <is>
          <t>Frame / frameset receipt</t>
        </is>
      </c>
      <c r="I373" t="inlineStr">
        <is>
          <t>Not Started</t>
        </is>
      </c>
      <c r="K373" s="234" t="n"/>
      <c r="L373" t="inlineStr">
        <is>
          <t>Open</t>
        </is>
      </c>
    </row>
    <row r="374">
      <c r="A374">
        <f>IF('Job Cards'!A50="","",'Job Cards'!K50)</f>
        <v/>
      </c>
      <c r="B374">
        <f>IF(A374="","",'Job Cards'!A50)</f>
        <v/>
      </c>
      <c r="C374">
        <f>IF(A374="","",'Job Cards'!B50)</f>
        <v/>
      </c>
      <c r="D374">
        <f>IF(A374="","",'Job Cards'!D50)</f>
        <v/>
      </c>
      <c r="E374">
        <f>IF(A374="","",'Job Cards'!E50)</f>
        <v/>
      </c>
      <c r="F374" t="inlineStr">
        <is>
          <t>Drivetrain assembly</t>
        </is>
      </c>
      <c r="G374" t="n">
        <v>30</v>
      </c>
      <c r="H374" t="inlineStr">
        <is>
          <t>Drivetrain assembly</t>
        </is>
      </c>
      <c r="I374" t="inlineStr">
        <is>
          <t>Not Started</t>
        </is>
      </c>
      <c r="K374" s="234" t="n"/>
      <c r="L374" t="inlineStr">
        <is>
          <t>Open</t>
        </is>
      </c>
    </row>
    <row r="375">
      <c r="A375">
        <f>IF('Job Cards'!A50="","",'Job Cards'!K50)</f>
        <v/>
      </c>
      <c r="B375">
        <f>IF(A375="","",'Job Cards'!A50)</f>
        <v/>
      </c>
      <c r="C375">
        <f>IF(A375="","",'Job Cards'!B50)</f>
        <v/>
      </c>
      <c r="D375">
        <f>IF(A375="","",'Job Cards'!D50)</f>
        <v/>
      </c>
      <c r="E375">
        <f>IF(A375="","",'Job Cards'!E50)</f>
        <v/>
      </c>
      <c r="F375" t="inlineStr">
        <is>
          <t>Cockpit &amp; controls</t>
        </is>
      </c>
      <c r="G375" t="n">
        <v>40</v>
      </c>
      <c r="H375" t="inlineStr">
        <is>
          <t>Cockpit &amp; controls</t>
        </is>
      </c>
      <c r="I375" t="inlineStr">
        <is>
          <t>Not Started</t>
        </is>
      </c>
      <c r="K375" s="234" t="n"/>
      <c r="L375" t="inlineStr">
        <is>
          <t>Open</t>
        </is>
      </c>
    </row>
    <row r="376">
      <c r="A376">
        <f>IF('Job Cards'!A50="","",'Job Cards'!K50)</f>
        <v/>
      </c>
      <c r="B376">
        <f>IF(A376="","",'Job Cards'!A50)</f>
        <v/>
      </c>
      <c r="C376">
        <f>IF(A376="","",'Job Cards'!B50)</f>
        <v/>
      </c>
      <c r="D376">
        <f>IF(A376="","",'Job Cards'!D50)</f>
        <v/>
      </c>
      <c r="E376">
        <f>IF(A376="","",'Job Cards'!E50)</f>
        <v/>
      </c>
      <c r="F376" t="inlineStr">
        <is>
          <t>Wheel / tyre fitment</t>
        </is>
      </c>
      <c r="G376" t="n">
        <v>50</v>
      </c>
      <c r="H376" t="inlineStr">
        <is>
          <t>Wheel / tyre fitment</t>
        </is>
      </c>
      <c r="I376" t="inlineStr">
        <is>
          <t>Not Started</t>
        </is>
      </c>
      <c r="K376" s="234" t="n"/>
      <c r="L376" t="inlineStr">
        <is>
          <t>Open</t>
        </is>
      </c>
    </row>
    <row r="377">
      <c r="A377">
        <f>IF('Job Cards'!A50="","",'Job Cards'!K50)</f>
        <v/>
      </c>
      <c r="B377">
        <f>IF(A377="","",'Job Cards'!A50)</f>
        <v/>
      </c>
      <c r="C377">
        <f>IF(A377="","",'Job Cards'!B50)</f>
        <v/>
      </c>
      <c r="D377">
        <f>IF(A377="","",'Job Cards'!D50)</f>
        <v/>
      </c>
      <c r="E377">
        <f>IF(A377="","",'Job Cards'!E50)</f>
        <v/>
      </c>
      <c r="F377" t="inlineStr">
        <is>
          <t>Torque &amp; fit inspection</t>
        </is>
      </c>
      <c r="G377" t="n">
        <v>60</v>
      </c>
      <c r="H377" t="inlineStr">
        <is>
          <t>Torque &amp; fit inspection</t>
        </is>
      </c>
      <c r="I377" t="inlineStr">
        <is>
          <t>Not Started</t>
        </is>
      </c>
      <c r="K377" s="234" t="n"/>
      <c r="L377" t="inlineStr">
        <is>
          <t>Open</t>
        </is>
      </c>
    </row>
    <row r="378">
      <c r="A378">
        <f>IF('Job Cards'!A50="","",'Job Cards'!K50)</f>
        <v/>
      </c>
      <c r="B378">
        <f>IF(A378="","",'Job Cards'!A50)</f>
        <v/>
      </c>
      <c r="C378">
        <f>IF(A378="","",'Job Cards'!B50)</f>
        <v/>
      </c>
      <c r="D378">
        <f>IF(A378="","",'Job Cards'!D50)</f>
        <v/>
      </c>
      <c r="E378">
        <f>IF(A378="","",'Job Cards'!E50)</f>
        <v/>
      </c>
      <c r="F378" t="inlineStr">
        <is>
          <t>Final quality</t>
        </is>
      </c>
      <c r="G378" t="n">
        <v>70</v>
      </c>
      <c r="H378" t="inlineStr">
        <is>
          <t>Final quality</t>
        </is>
      </c>
      <c r="I378" t="inlineStr">
        <is>
          <t>Not Started</t>
        </is>
      </c>
      <c r="K378" s="234" t="n"/>
      <c r="L378" t="inlineStr">
        <is>
          <t>Open</t>
        </is>
      </c>
    </row>
    <row r="379">
      <c r="A379">
        <f>IF('Job Cards'!A50="","",'Job Cards'!K50)</f>
        <v/>
      </c>
      <c r="B379">
        <f>IF(A379="","",'Job Cards'!A50)</f>
        <v/>
      </c>
      <c r="C379">
        <f>IF(A379="","",'Job Cards'!B50)</f>
        <v/>
      </c>
      <c r="D379">
        <f>IF(A379="","",'Job Cards'!D50)</f>
        <v/>
      </c>
      <c r="E379">
        <f>IF(A379="","",'Job Cards'!E50)</f>
        <v/>
      </c>
      <c r="F379" t="inlineStr">
        <is>
          <t>Pack &amp; release</t>
        </is>
      </c>
      <c r="G379" t="n">
        <v>80</v>
      </c>
      <c r="H379" t="inlineStr">
        <is>
          <t>Pack &amp; release</t>
        </is>
      </c>
      <c r="I379" t="inlineStr">
        <is>
          <t>Not Started</t>
        </is>
      </c>
      <c r="K379" s="234" t="n"/>
      <c r="L379" t="inlineStr">
        <is>
          <t>Open</t>
        </is>
      </c>
    </row>
    <row r="380">
      <c r="A380">
        <f>IF('Job Cards'!A51="","",'Job Cards'!K51)</f>
        <v/>
      </c>
      <c r="B380">
        <f>IF(A380="","",'Job Cards'!A51)</f>
        <v/>
      </c>
      <c r="C380">
        <f>IF(A380="","",'Job Cards'!B51)</f>
        <v/>
      </c>
      <c r="D380">
        <f>IF(A380="","",'Job Cards'!D51)</f>
        <v/>
      </c>
      <c r="E380">
        <f>IF(A380="","",'Job Cards'!E51)</f>
        <v/>
      </c>
      <c r="F380" t="inlineStr">
        <is>
          <t>Kitting</t>
        </is>
      </c>
      <c r="G380" t="n">
        <v>10</v>
      </c>
      <c r="H380" t="inlineStr">
        <is>
          <t>Kitting</t>
        </is>
      </c>
      <c r="I380" t="inlineStr">
        <is>
          <t>Not Started</t>
        </is>
      </c>
      <c r="K380" s="234" t="n"/>
      <c r="L380" t="inlineStr">
        <is>
          <t>Open</t>
        </is>
      </c>
    </row>
    <row r="381">
      <c r="A381">
        <f>IF('Job Cards'!A51="","",'Job Cards'!K51)</f>
        <v/>
      </c>
      <c r="B381">
        <f>IF(A381="","",'Job Cards'!A51)</f>
        <v/>
      </c>
      <c r="C381">
        <f>IF(A381="","",'Job Cards'!B51)</f>
        <v/>
      </c>
      <c r="D381">
        <f>IF(A381="","",'Job Cards'!D51)</f>
        <v/>
      </c>
      <c r="E381">
        <f>IF(A381="","",'Job Cards'!E51)</f>
        <v/>
      </c>
      <c r="F381" t="inlineStr">
        <is>
          <t>Frame / frameset receipt</t>
        </is>
      </c>
      <c r="G381" t="n">
        <v>20</v>
      </c>
      <c r="H381" t="inlineStr">
        <is>
          <t>Frame / frameset receipt</t>
        </is>
      </c>
      <c r="I381" t="inlineStr">
        <is>
          <t>Not Started</t>
        </is>
      </c>
      <c r="K381" s="234" t="n"/>
      <c r="L381" t="inlineStr">
        <is>
          <t>Open</t>
        </is>
      </c>
    </row>
    <row r="382">
      <c r="A382">
        <f>IF('Job Cards'!A51="","",'Job Cards'!K51)</f>
        <v/>
      </c>
      <c r="B382">
        <f>IF(A382="","",'Job Cards'!A51)</f>
        <v/>
      </c>
      <c r="C382">
        <f>IF(A382="","",'Job Cards'!B51)</f>
        <v/>
      </c>
      <c r="D382">
        <f>IF(A382="","",'Job Cards'!D51)</f>
        <v/>
      </c>
      <c r="E382">
        <f>IF(A382="","",'Job Cards'!E51)</f>
        <v/>
      </c>
      <c r="F382" t="inlineStr">
        <is>
          <t>Drivetrain assembly</t>
        </is>
      </c>
      <c r="G382" t="n">
        <v>30</v>
      </c>
      <c r="H382" t="inlineStr">
        <is>
          <t>Drivetrain assembly</t>
        </is>
      </c>
      <c r="I382" t="inlineStr">
        <is>
          <t>Not Started</t>
        </is>
      </c>
      <c r="K382" s="234" t="n"/>
      <c r="L382" t="inlineStr">
        <is>
          <t>Open</t>
        </is>
      </c>
    </row>
    <row r="383">
      <c r="A383">
        <f>IF('Job Cards'!A51="","",'Job Cards'!K51)</f>
        <v/>
      </c>
      <c r="B383">
        <f>IF(A383="","",'Job Cards'!A51)</f>
        <v/>
      </c>
      <c r="C383">
        <f>IF(A383="","",'Job Cards'!B51)</f>
        <v/>
      </c>
      <c r="D383">
        <f>IF(A383="","",'Job Cards'!D51)</f>
        <v/>
      </c>
      <c r="E383">
        <f>IF(A383="","",'Job Cards'!E51)</f>
        <v/>
      </c>
      <c r="F383" t="inlineStr">
        <is>
          <t>Cockpit &amp; controls</t>
        </is>
      </c>
      <c r="G383" t="n">
        <v>40</v>
      </c>
      <c r="H383" t="inlineStr">
        <is>
          <t>Cockpit &amp; controls</t>
        </is>
      </c>
      <c r="I383" t="inlineStr">
        <is>
          <t>Not Started</t>
        </is>
      </c>
      <c r="K383" s="234" t="n"/>
      <c r="L383" t="inlineStr">
        <is>
          <t>Open</t>
        </is>
      </c>
    </row>
    <row r="384">
      <c r="A384">
        <f>IF('Job Cards'!A51="","",'Job Cards'!K51)</f>
        <v/>
      </c>
      <c r="B384">
        <f>IF(A384="","",'Job Cards'!A51)</f>
        <v/>
      </c>
      <c r="C384">
        <f>IF(A384="","",'Job Cards'!B51)</f>
        <v/>
      </c>
      <c r="D384">
        <f>IF(A384="","",'Job Cards'!D51)</f>
        <v/>
      </c>
      <c r="E384">
        <f>IF(A384="","",'Job Cards'!E51)</f>
        <v/>
      </c>
      <c r="F384" t="inlineStr">
        <is>
          <t>Wheel / tyre fitment</t>
        </is>
      </c>
      <c r="G384" t="n">
        <v>50</v>
      </c>
      <c r="H384" t="inlineStr">
        <is>
          <t>Wheel / tyre fitment</t>
        </is>
      </c>
      <c r="I384" t="inlineStr">
        <is>
          <t>Not Started</t>
        </is>
      </c>
      <c r="K384" s="234" t="n"/>
      <c r="L384" t="inlineStr">
        <is>
          <t>Open</t>
        </is>
      </c>
    </row>
    <row r="385">
      <c r="A385">
        <f>IF('Job Cards'!A51="","",'Job Cards'!K51)</f>
        <v/>
      </c>
      <c r="B385">
        <f>IF(A385="","",'Job Cards'!A51)</f>
        <v/>
      </c>
      <c r="C385">
        <f>IF(A385="","",'Job Cards'!B51)</f>
        <v/>
      </c>
      <c r="D385">
        <f>IF(A385="","",'Job Cards'!D51)</f>
        <v/>
      </c>
      <c r="E385">
        <f>IF(A385="","",'Job Cards'!E51)</f>
        <v/>
      </c>
      <c r="F385" t="inlineStr">
        <is>
          <t>Torque &amp; fit inspection</t>
        </is>
      </c>
      <c r="G385" t="n">
        <v>60</v>
      </c>
      <c r="H385" t="inlineStr">
        <is>
          <t>Torque &amp; fit inspection</t>
        </is>
      </c>
      <c r="I385" t="inlineStr">
        <is>
          <t>Not Started</t>
        </is>
      </c>
      <c r="K385" s="234" t="n"/>
      <c r="L385" t="inlineStr">
        <is>
          <t>Open</t>
        </is>
      </c>
    </row>
    <row r="386">
      <c r="A386">
        <f>IF('Job Cards'!A51="","",'Job Cards'!K51)</f>
        <v/>
      </c>
      <c r="B386">
        <f>IF(A386="","",'Job Cards'!A51)</f>
        <v/>
      </c>
      <c r="C386">
        <f>IF(A386="","",'Job Cards'!B51)</f>
        <v/>
      </c>
      <c r="D386">
        <f>IF(A386="","",'Job Cards'!D51)</f>
        <v/>
      </c>
      <c r="E386">
        <f>IF(A386="","",'Job Cards'!E51)</f>
        <v/>
      </c>
      <c r="F386" t="inlineStr">
        <is>
          <t>Final quality</t>
        </is>
      </c>
      <c r="G386" t="n">
        <v>70</v>
      </c>
      <c r="H386" t="inlineStr">
        <is>
          <t>Final quality</t>
        </is>
      </c>
      <c r="I386" t="inlineStr">
        <is>
          <t>Not Started</t>
        </is>
      </c>
      <c r="K386" s="234" t="n"/>
      <c r="L386" t="inlineStr">
        <is>
          <t>Open</t>
        </is>
      </c>
    </row>
    <row r="387">
      <c r="A387">
        <f>IF('Job Cards'!A51="","",'Job Cards'!K51)</f>
        <v/>
      </c>
      <c r="B387">
        <f>IF(A387="","",'Job Cards'!A51)</f>
        <v/>
      </c>
      <c r="C387">
        <f>IF(A387="","",'Job Cards'!B51)</f>
        <v/>
      </c>
      <c r="D387">
        <f>IF(A387="","",'Job Cards'!D51)</f>
        <v/>
      </c>
      <c r="E387">
        <f>IF(A387="","",'Job Cards'!E51)</f>
        <v/>
      </c>
      <c r="F387" t="inlineStr">
        <is>
          <t>Pack &amp; release</t>
        </is>
      </c>
      <c r="G387" t="n">
        <v>80</v>
      </c>
      <c r="H387" t="inlineStr">
        <is>
          <t>Pack &amp; release</t>
        </is>
      </c>
      <c r="I387" t="inlineStr">
        <is>
          <t>Not Started</t>
        </is>
      </c>
      <c r="K387" s="234" t="n"/>
      <c r="L387" t="inlineStr">
        <is>
          <t>Open</t>
        </is>
      </c>
    </row>
    <row r="388">
      <c r="A388">
        <f>IF('Job Cards'!A52="","",'Job Cards'!K52)</f>
        <v/>
      </c>
      <c r="B388">
        <f>IF(A388="","",'Job Cards'!A52)</f>
        <v/>
      </c>
      <c r="C388">
        <f>IF(A388="","",'Job Cards'!B52)</f>
        <v/>
      </c>
      <c r="D388">
        <f>IF(A388="","",'Job Cards'!D52)</f>
        <v/>
      </c>
      <c r="E388">
        <f>IF(A388="","",'Job Cards'!E52)</f>
        <v/>
      </c>
      <c r="F388" t="inlineStr">
        <is>
          <t>Kitting</t>
        </is>
      </c>
      <c r="G388" t="n">
        <v>10</v>
      </c>
      <c r="H388" t="inlineStr">
        <is>
          <t>Kitting</t>
        </is>
      </c>
      <c r="I388" t="inlineStr">
        <is>
          <t>Not Started</t>
        </is>
      </c>
      <c r="K388" s="234" t="n"/>
      <c r="L388" t="inlineStr">
        <is>
          <t>Open</t>
        </is>
      </c>
    </row>
    <row r="389">
      <c r="A389">
        <f>IF('Job Cards'!A52="","",'Job Cards'!K52)</f>
        <v/>
      </c>
      <c r="B389">
        <f>IF(A389="","",'Job Cards'!A52)</f>
        <v/>
      </c>
      <c r="C389">
        <f>IF(A389="","",'Job Cards'!B52)</f>
        <v/>
      </c>
      <c r="D389">
        <f>IF(A389="","",'Job Cards'!D52)</f>
        <v/>
      </c>
      <c r="E389">
        <f>IF(A389="","",'Job Cards'!E52)</f>
        <v/>
      </c>
      <c r="F389" t="inlineStr">
        <is>
          <t>Frame / frameset receipt</t>
        </is>
      </c>
      <c r="G389" t="n">
        <v>20</v>
      </c>
      <c r="H389" t="inlineStr">
        <is>
          <t>Frame / frameset receipt</t>
        </is>
      </c>
      <c r="I389" t="inlineStr">
        <is>
          <t>Not Started</t>
        </is>
      </c>
      <c r="K389" s="234" t="n"/>
      <c r="L389" t="inlineStr">
        <is>
          <t>Open</t>
        </is>
      </c>
    </row>
    <row r="390">
      <c r="A390">
        <f>IF('Job Cards'!A52="","",'Job Cards'!K52)</f>
        <v/>
      </c>
      <c r="B390">
        <f>IF(A390="","",'Job Cards'!A52)</f>
        <v/>
      </c>
      <c r="C390">
        <f>IF(A390="","",'Job Cards'!B52)</f>
        <v/>
      </c>
      <c r="D390">
        <f>IF(A390="","",'Job Cards'!D52)</f>
        <v/>
      </c>
      <c r="E390">
        <f>IF(A390="","",'Job Cards'!E52)</f>
        <v/>
      </c>
      <c r="F390" t="inlineStr">
        <is>
          <t>Drivetrain assembly</t>
        </is>
      </c>
      <c r="G390" t="n">
        <v>30</v>
      </c>
      <c r="H390" t="inlineStr">
        <is>
          <t>Drivetrain assembly</t>
        </is>
      </c>
      <c r="I390" t="inlineStr">
        <is>
          <t>Not Started</t>
        </is>
      </c>
      <c r="K390" s="234" t="n"/>
      <c r="L390" t="inlineStr">
        <is>
          <t>Open</t>
        </is>
      </c>
    </row>
    <row r="391">
      <c r="A391">
        <f>IF('Job Cards'!A52="","",'Job Cards'!K52)</f>
        <v/>
      </c>
      <c r="B391">
        <f>IF(A391="","",'Job Cards'!A52)</f>
        <v/>
      </c>
      <c r="C391">
        <f>IF(A391="","",'Job Cards'!B52)</f>
        <v/>
      </c>
      <c r="D391">
        <f>IF(A391="","",'Job Cards'!D52)</f>
        <v/>
      </c>
      <c r="E391">
        <f>IF(A391="","",'Job Cards'!E52)</f>
        <v/>
      </c>
      <c r="F391" t="inlineStr">
        <is>
          <t>Cockpit &amp; controls</t>
        </is>
      </c>
      <c r="G391" t="n">
        <v>40</v>
      </c>
      <c r="H391" t="inlineStr">
        <is>
          <t>Cockpit &amp; controls</t>
        </is>
      </c>
      <c r="I391" t="inlineStr">
        <is>
          <t>Not Started</t>
        </is>
      </c>
      <c r="K391" s="234" t="n"/>
      <c r="L391" t="inlineStr">
        <is>
          <t>Open</t>
        </is>
      </c>
    </row>
    <row r="392">
      <c r="A392">
        <f>IF('Job Cards'!A52="","",'Job Cards'!K52)</f>
        <v/>
      </c>
      <c r="B392">
        <f>IF(A392="","",'Job Cards'!A52)</f>
        <v/>
      </c>
      <c r="C392">
        <f>IF(A392="","",'Job Cards'!B52)</f>
        <v/>
      </c>
      <c r="D392">
        <f>IF(A392="","",'Job Cards'!D52)</f>
        <v/>
      </c>
      <c r="E392">
        <f>IF(A392="","",'Job Cards'!E52)</f>
        <v/>
      </c>
      <c r="F392" t="inlineStr">
        <is>
          <t>Wheel / tyre fitment</t>
        </is>
      </c>
      <c r="G392" t="n">
        <v>50</v>
      </c>
      <c r="H392" t="inlineStr">
        <is>
          <t>Wheel / tyre fitment</t>
        </is>
      </c>
      <c r="I392" t="inlineStr">
        <is>
          <t>Not Started</t>
        </is>
      </c>
      <c r="K392" s="234" t="n"/>
      <c r="L392" t="inlineStr">
        <is>
          <t>Open</t>
        </is>
      </c>
    </row>
    <row r="393">
      <c r="A393">
        <f>IF('Job Cards'!A52="","",'Job Cards'!K52)</f>
        <v/>
      </c>
      <c r="B393">
        <f>IF(A393="","",'Job Cards'!A52)</f>
        <v/>
      </c>
      <c r="C393">
        <f>IF(A393="","",'Job Cards'!B52)</f>
        <v/>
      </c>
      <c r="D393">
        <f>IF(A393="","",'Job Cards'!D52)</f>
        <v/>
      </c>
      <c r="E393">
        <f>IF(A393="","",'Job Cards'!E52)</f>
        <v/>
      </c>
      <c r="F393" t="inlineStr">
        <is>
          <t>Torque &amp; fit inspection</t>
        </is>
      </c>
      <c r="G393" t="n">
        <v>60</v>
      </c>
      <c r="H393" t="inlineStr">
        <is>
          <t>Torque &amp; fit inspection</t>
        </is>
      </c>
      <c r="I393" t="inlineStr">
        <is>
          <t>Not Started</t>
        </is>
      </c>
      <c r="K393" s="234" t="n"/>
      <c r="L393" t="inlineStr">
        <is>
          <t>Open</t>
        </is>
      </c>
    </row>
    <row r="394">
      <c r="A394">
        <f>IF('Job Cards'!A52="","",'Job Cards'!K52)</f>
        <v/>
      </c>
      <c r="B394">
        <f>IF(A394="","",'Job Cards'!A52)</f>
        <v/>
      </c>
      <c r="C394">
        <f>IF(A394="","",'Job Cards'!B52)</f>
        <v/>
      </c>
      <c r="D394">
        <f>IF(A394="","",'Job Cards'!D52)</f>
        <v/>
      </c>
      <c r="E394">
        <f>IF(A394="","",'Job Cards'!E52)</f>
        <v/>
      </c>
      <c r="F394" t="inlineStr">
        <is>
          <t>Final quality</t>
        </is>
      </c>
      <c r="G394" t="n">
        <v>70</v>
      </c>
      <c r="H394" t="inlineStr">
        <is>
          <t>Final quality</t>
        </is>
      </c>
      <c r="I394" t="inlineStr">
        <is>
          <t>Not Started</t>
        </is>
      </c>
      <c r="K394" s="234" t="n"/>
      <c r="L394" t="inlineStr">
        <is>
          <t>Open</t>
        </is>
      </c>
    </row>
    <row r="395">
      <c r="A395">
        <f>IF('Job Cards'!A52="","",'Job Cards'!K52)</f>
        <v/>
      </c>
      <c r="B395">
        <f>IF(A395="","",'Job Cards'!A52)</f>
        <v/>
      </c>
      <c r="C395">
        <f>IF(A395="","",'Job Cards'!B52)</f>
        <v/>
      </c>
      <c r="D395">
        <f>IF(A395="","",'Job Cards'!D52)</f>
        <v/>
      </c>
      <c r="E395">
        <f>IF(A395="","",'Job Cards'!E52)</f>
        <v/>
      </c>
      <c r="F395" t="inlineStr">
        <is>
          <t>Pack &amp; release</t>
        </is>
      </c>
      <c r="G395" t="n">
        <v>80</v>
      </c>
      <c r="H395" t="inlineStr">
        <is>
          <t>Pack &amp; release</t>
        </is>
      </c>
      <c r="I395" t="inlineStr">
        <is>
          <t>Not Started</t>
        </is>
      </c>
      <c r="K395" s="234" t="n"/>
      <c r="L395" t="inlineStr">
        <is>
          <t>Open</t>
        </is>
      </c>
    </row>
    <row r="396">
      <c r="A396">
        <f>IF('Job Cards'!A53="","",'Job Cards'!K53)</f>
        <v/>
      </c>
      <c r="B396">
        <f>IF(A396="","",'Job Cards'!A53)</f>
        <v/>
      </c>
      <c r="C396">
        <f>IF(A396="","",'Job Cards'!B53)</f>
        <v/>
      </c>
      <c r="D396">
        <f>IF(A396="","",'Job Cards'!D53)</f>
        <v/>
      </c>
      <c r="E396">
        <f>IF(A396="","",'Job Cards'!E53)</f>
        <v/>
      </c>
      <c r="F396" t="inlineStr">
        <is>
          <t>Kitting</t>
        </is>
      </c>
      <c r="G396" t="n">
        <v>10</v>
      </c>
      <c r="H396" t="inlineStr">
        <is>
          <t>Kitting</t>
        </is>
      </c>
      <c r="I396" t="inlineStr">
        <is>
          <t>Not Started</t>
        </is>
      </c>
      <c r="K396" s="234" t="n"/>
      <c r="L396" t="inlineStr">
        <is>
          <t>Open</t>
        </is>
      </c>
    </row>
    <row r="397">
      <c r="A397">
        <f>IF('Job Cards'!A53="","",'Job Cards'!K53)</f>
        <v/>
      </c>
      <c r="B397">
        <f>IF(A397="","",'Job Cards'!A53)</f>
        <v/>
      </c>
      <c r="C397">
        <f>IF(A397="","",'Job Cards'!B53)</f>
        <v/>
      </c>
      <c r="D397">
        <f>IF(A397="","",'Job Cards'!D53)</f>
        <v/>
      </c>
      <c r="E397">
        <f>IF(A397="","",'Job Cards'!E53)</f>
        <v/>
      </c>
      <c r="F397" t="inlineStr">
        <is>
          <t>Frame / frameset receipt</t>
        </is>
      </c>
      <c r="G397" t="n">
        <v>20</v>
      </c>
      <c r="H397" t="inlineStr">
        <is>
          <t>Frame / frameset receipt</t>
        </is>
      </c>
      <c r="I397" t="inlineStr">
        <is>
          <t>Not Started</t>
        </is>
      </c>
      <c r="K397" s="234" t="n"/>
      <c r="L397" t="inlineStr">
        <is>
          <t>Open</t>
        </is>
      </c>
    </row>
    <row r="398">
      <c r="A398">
        <f>IF('Job Cards'!A53="","",'Job Cards'!K53)</f>
        <v/>
      </c>
      <c r="B398">
        <f>IF(A398="","",'Job Cards'!A53)</f>
        <v/>
      </c>
      <c r="C398">
        <f>IF(A398="","",'Job Cards'!B53)</f>
        <v/>
      </c>
      <c r="D398">
        <f>IF(A398="","",'Job Cards'!D53)</f>
        <v/>
      </c>
      <c r="E398">
        <f>IF(A398="","",'Job Cards'!E53)</f>
        <v/>
      </c>
      <c r="F398" t="inlineStr">
        <is>
          <t>Drivetrain assembly</t>
        </is>
      </c>
      <c r="G398" t="n">
        <v>30</v>
      </c>
      <c r="H398" t="inlineStr">
        <is>
          <t>Drivetrain assembly</t>
        </is>
      </c>
      <c r="I398" t="inlineStr">
        <is>
          <t>Not Started</t>
        </is>
      </c>
      <c r="K398" s="234" t="n"/>
      <c r="L398" t="inlineStr">
        <is>
          <t>Open</t>
        </is>
      </c>
    </row>
    <row r="399">
      <c r="A399">
        <f>IF('Job Cards'!A53="","",'Job Cards'!K53)</f>
        <v/>
      </c>
      <c r="B399">
        <f>IF(A399="","",'Job Cards'!A53)</f>
        <v/>
      </c>
      <c r="C399">
        <f>IF(A399="","",'Job Cards'!B53)</f>
        <v/>
      </c>
      <c r="D399">
        <f>IF(A399="","",'Job Cards'!D53)</f>
        <v/>
      </c>
      <c r="E399">
        <f>IF(A399="","",'Job Cards'!E53)</f>
        <v/>
      </c>
      <c r="F399" t="inlineStr">
        <is>
          <t>Cockpit &amp; controls</t>
        </is>
      </c>
      <c r="G399" t="n">
        <v>40</v>
      </c>
      <c r="H399" t="inlineStr">
        <is>
          <t>Cockpit &amp; controls</t>
        </is>
      </c>
      <c r="I399" t="inlineStr">
        <is>
          <t>Not Started</t>
        </is>
      </c>
      <c r="K399" s="234" t="n"/>
      <c r="L399" t="inlineStr">
        <is>
          <t>Open</t>
        </is>
      </c>
    </row>
    <row r="400">
      <c r="A400">
        <f>IF('Job Cards'!A53="","",'Job Cards'!K53)</f>
        <v/>
      </c>
      <c r="B400">
        <f>IF(A400="","",'Job Cards'!A53)</f>
        <v/>
      </c>
      <c r="C400">
        <f>IF(A400="","",'Job Cards'!B53)</f>
        <v/>
      </c>
      <c r="D400">
        <f>IF(A400="","",'Job Cards'!D53)</f>
        <v/>
      </c>
      <c r="E400">
        <f>IF(A400="","",'Job Cards'!E53)</f>
        <v/>
      </c>
      <c r="F400" t="inlineStr">
        <is>
          <t>Wheel / tyre fitment</t>
        </is>
      </c>
      <c r="G400" t="n">
        <v>50</v>
      </c>
      <c r="H400" t="inlineStr">
        <is>
          <t>Wheel / tyre fitment</t>
        </is>
      </c>
      <c r="I400" t="inlineStr">
        <is>
          <t>Not Started</t>
        </is>
      </c>
      <c r="K400" s="234" t="n"/>
      <c r="L400" t="inlineStr">
        <is>
          <t>Open</t>
        </is>
      </c>
    </row>
    <row r="401">
      <c r="A401">
        <f>IF('Job Cards'!A53="","",'Job Cards'!K53)</f>
        <v/>
      </c>
      <c r="B401">
        <f>IF(A401="","",'Job Cards'!A53)</f>
        <v/>
      </c>
      <c r="C401">
        <f>IF(A401="","",'Job Cards'!B53)</f>
        <v/>
      </c>
      <c r="D401">
        <f>IF(A401="","",'Job Cards'!D53)</f>
        <v/>
      </c>
      <c r="E401">
        <f>IF(A401="","",'Job Cards'!E53)</f>
        <v/>
      </c>
      <c r="F401" t="inlineStr">
        <is>
          <t>Torque &amp; fit inspection</t>
        </is>
      </c>
      <c r="G401" t="n">
        <v>60</v>
      </c>
      <c r="H401" t="inlineStr">
        <is>
          <t>Torque &amp; fit inspection</t>
        </is>
      </c>
      <c r="I401" t="inlineStr">
        <is>
          <t>Not Started</t>
        </is>
      </c>
      <c r="K401" s="234" t="n"/>
      <c r="L401" t="inlineStr">
        <is>
          <t>Open</t>
        </is>
      </c>
    </row>
    <row r="402">
      <c r="A402">
        <f>IF('Job Cards'!A53="","",'Job Cards'!K53)</f>
        <v/>
      </c>
      <c r="B402">
        <f>IF(A402="","",'Job Cards'!A53)</f>
        <v/>
      </c>
      <c r="C402">
        <f>IF(A402="","",'Job Cards'!B53)</f>
        <v/>
      </c>
      <c r="D402">
        <f>IF(A402="","",'Job Cards'!D53)</f>
        <v/>
      </c>
      <c r="E402">
        <f>IF(A402="","",'Job Cards'!E53)</f>
        <v/>
      </c>
      <c r="F402" t="inlineStr">
        <is>
          <t>Final quality</t>
        </is>
      </c>
      <c r="G402" t="n">
        <v>70</v>
      </c>
      <c r="H402" t="inlineStr">
        <is>
          <t>Final quality</t>
        </is>
      </c>
      <c r="I402" t="inlineStr">
        <is>
          <t>Not Started</t>
        </is>
      </c>
      <c r="K402" s="234" t="n"/>
      <c r="L402" t="inlineStr">
        <is>
          <t>Open</t>
        </is>
      </c>
    </row>
    <row r="403">
      <c r="A403">
        <f>IF('Job Cards'!A53="","",'Job Cards'!K53)</f>
        <v/>
      </c>
      <c r="B403">
        <f>IF(A403="","",'Job Cards'!A53)</f>
        <v/>
      </c>
      <c r="C403">
        <f>IF(A403="","",'Job Cards'!B53)</f>
        <v/>
      </c>
      <c r="D403">
        <f>IF(A403="","",'Job Cards'!D53)</f>
        <v/>
      </c>
      <c r="E403">
        <f>IF(A403="","",'Job Cards'!E53)</f>
        <v/>
      </c>
      <c r="F403" t="inlineStr">
        <is>
          <t>Pack &amp; release</t>
        </is>
      </c>
      <c r="G403" t="n">
        <v>80</v>
      </c>
      <c r="H403" t="inlineStr">
        <is>
          <t>Pack &amp; release</t>
        </is>
      </c>
      <c r="I403" t="inlineStr">
        <is>
          <t>Not Started</t>
        </is>
      </c>
      <c r="K403" s="234" t="n"/>
      <c r="L403" t="inlineStr">
        <is>
          <t>Open</t>
        </is>
      </c>
    </row>
  </sheetData>
  <mergeCells count="1">
    <mergeCell ref="A1:N1"/>
  </mergeCells>
  <dataValidations count="2">
    <dataValidation sqref="I4:I403" showDropDown="0" showInputMessage="0" showErrorMessage="0" allowBlank="0" type="list">
      <formula1>"Not Started,In Progress,Complete,Hold,N/A"</formula1>
    </dataValidation>
    <dataValidation sqref="L4:L403" showDropDown="0" showInputMessage="0" showErrorMessage="0" allowBlank="0" type="list">
      <formula1>"Open,Pass,Fail,N/A"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3.80000019073486"/>
  <cols>
    <col width="21" customWidth="1" style="88" min="1" max="1"/>
    <col width="16" customWidth="1" style="88" min="2" max="2"/>
    <col width="7.09765625" customWidth="1" style="72" min="3" max="3"/>
    <col width="8.296875" customWidth="1" style="72" min="4" max="4"/>
    <col width="16.09765625" customWidth="1" style="72" min="5" max="5"/>
    <col width="10.3984375" customWidth="1" style="72" min="6" max="6"/>
    <col width="11.796875" customWidth="1" style="72" min="7" max="7"/>
    <col width="13.3984375" customWidth="1" style="72" min="8" max="8"/>
    <col width="14.59765625" customWidth="1" style="72" min="9" max="9"/>
    <col width="16" customWidth="1" style="88" min="10" max="11"/>
    <col width="12" customWidth="1" style="88" min="12" max="12"/>
    <col width="16" customWidth="1" style="88" min="13" max="26"/>
  </cols>
  <sheetData>
    <row r="1" ht="21" customHeight="1" s="88">
      <c r="A1" s="180" t="inlineStr">
        <is>
          <t>Procurement Plan · planned demand + committed demand + ATP + open PO reconciliation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3" ht="27.60000038146973" customFormat="1" customHeight="1" s="93">
      <c r="A3" s="199" t="inlineStr">
        <is>
          <t>SKU</t>
        </is>
      </c>
      <c r="B3" s="199" t="inlineStr">
        <is>
          <t>Item</t>
        </is>
      </c>
      <c r="C3" s="199" t="inlineStr">
        <is>
          <t>MSL</t>
        </is>
      </c>
      <c r="D3" s="199" t="inlineStr">
        <is>
          <t>ATP</t>
        </is>
      </c>
      <c r="E3" s="199" t="inlineStr">
        <is>
          <t>36M Planned Qty</t>
        </is>
      </c>
      <c r="F3" s="199" t="inlineStr">
        <is>
          <t>Committed Qty</t>
        </is>
      </c>
      <c r="G3" s="199" t="inlineStr">
        <is>
          <t>Open PO Qty</t>
        </is>
      </c>
      <c r="H3" s="199" t="inlineStr">
        <is>
          <t>Gross Requirement</t>
        </is>
      </c>
      <c r="I3" s="199" t="inlineStr">
        <is>
          <t>Net Buy Qty</t>
        </is>
      </c>
      <c r="J3" s="199" t="inlineStr">
        <is>
          <t>Unit Price ₹</t>
        </is>
      </c>
      <c r="K3" s="199" t="inlineStr">
        <is>
          <t>Net Buy Value ₹</t>
        </is>
      </c>
      <c r="L3" s="199" t="inlineStr">
        <is>
          <t>Priority</t>
        </is>
      </c>
      <c r="M3" s="199" t="inlineStr">
        <is>
          <t>Decision</t>
        </is>
      </c>
      <c r="N3" s="193" t="inlineStr">
        <is>
          <t>Lead-time flag</t>
        </is>
      </c>
      <c r="O3" s="193" t="inlineStr">
        <is>
          <t>36M Net Buy Cash ₹</t>
        </is>
      </c>
    </row>
    <row r="4">
      <c r="A4">
        <f>'Master Inventory'!A4</f>
        <v/>
      </c>
      <c r="B4">
        <f>'Master Inventory'!C4</f>
        <v/>
      </c>
      <c r="C4" s="72">
        <f>'Master Inventory'!E4</f>
        <v/>
      </c>
      <c r="D4" s="72">
        <f>'Master Inventory'!J4</f>
        <v/>
      </c>
      <c r="E4" s="72">
        <f>SUMIFS('BOM Mapping'!$J$4:$J$23,'BOM Mapping'!$C$4:$C$23,$A4,'BOM Mapping'!$I$4:$I$23,"Approved")*SUM('Monthly Materials'!$D$6:$D$41)+SUMIFS('BOM Mapping'!$K$4:$K$23,'BOM Mapping'!$D$4:$D$23,$A4,'BOM Mapping'!$I$4:$I$23,"Approved")*SUM('Monthly Materials'!$E$6:$E$41)+SUMIFS('BOM Mapping'!$L$4:$L$23,'BOM Mapping'!$E$4:$E$23,$A4,'BOM Mapping'!$I$4:$I$23,"Approved")*SUM('Monthly Materials'!$F$6:$F$41)</f>
        <v/>
      </c>
      <c r="F4" s="72">
        <f>SUMPRODUCT(('Sales Orders'!$E$4:$E$203="Longitude")*('Sales Orders'!$J$4:$J$203="Confirmed")*'Sales Orders'!$G$4:$G$203)*SUMIFS('BOM Mapping'!$J$4:$J$23,'BOM Mapping'!$C$4:$C$23,$A4)+SUMPRODUCT(('Sales Orders'!$E$4:$E$203="Latitude")*('Sales Orders'!$J$4:$J$203="Confirmed")*'Sales Orders'!$G$4:$G$203)*SUMIFS('BOM Mapping'!$K$4:$K$23,'BOM Mapping'!$D$4:$D$23,$A4)+SUMPRODUCT(('Sales Orders'!$E$4:$E$203="Altitude")*('Sales Orders'!$J$4:$J$203="Confirmed")*'Sales Orders'!$G$4:$G$203)*SUMIFS('BOM Mapping'!$L$4:$L$23,'BOM Mapping'!$E$4:$E$23,$A4)</f>
        <v/>
      </c>
      <c r="G4" s="73" t="n">
        <v>0</v>
      </c>
      <c r="H4" s="72">
        <f>MAX(E4,F4)+C4</f>
        <v/>
      </c>
      <c r="I4" s="72">
        <f>MAX(0,H4-D4-G4)</f>
        <v/>
      </c>
      <c r="J4" s="236">
        <f>'Master Inventory'!D4</f>
        <v/>
      </c>
      <c r="K4" s="236">
        <f>I4*J4</f>
        <v/>
      </c>
      <c r="L4">
        <f>IF(F4&gt;0,"P1 COMMITTED",IF(E4&gt;0,"P2 PLAN",IF(C4&gt;0,"P3 MSL","NONE")))</f>
        <v/>
      </c>
      <c r="M4">
        <f>IF(I4&gt;0,"BUY / RFQ","NO BUY")</f>
        <v/>
      </c>
      <c r="N4">
        <f>IF(I4=0,"",IF(IFERROR(VLOOKUP(A4,'Component Catalogue'!$G$5:$T$76,10,FALSE),1)&gt;1,"PLAN EARLY","NORMAL"))</f>
        <v/>
      </c>
      <c r="O4">
        <f>K4</f>
        <v/>
      </c>
    </row>
    <row r="5">
      <c r="A5">
        <f>'Master Inventory'!A5</f>
        <v/>
      </c>
      <c r="B5">
        <f>'Master Inventory'!C5</f>
        <v/>
      </c>
      <c r="C5" s="72">
        <f>'Master Inventory'!E5</f>
        <v/>
      </c>
      <c r="D5" s="72">
        <f>'Master Inventory'!J5</f>
        <v/>
      </c>
      <c r="E5" s="72">
        <f>SUMIFS('BOM Mapping'!$J$4:$J$23,'BOM Mapping'!$C$4:$C$23,$A5,'BOM Mapping'!$I$4:$I$23,"Approved")*SUM('Monthly Materials'!$D$6:$D$41)+SUMIFS('BOM Mapping'!$K$4:$K$23,'BOM Mapping'!$D$4:$D$23,$A5,'BOM Mapping'!$I$4:$I$23,"Approved")*SUM('Monthly Materials'!$E$6:$E$41)+SUMIFS('BOM Mapping'!$L$4:$L$23,'BOM Mapping'!$E$4:$E$23,$A5,'BOM Mapping'!$I$4:$I$23,"Approved")*SUM('Monthly Materials'!$F$6:$F$41)</f>
        <v/>
      </c>
      <c r="F5" s="72">
        <f>SUMPRODUCT(('Sales Orders'!$E$4:$E$203="Longitude")*('Sales Orders'!$J$4:$J$203="Confirmed")*'Sales Orders'!$G$4:$G$203)*SUMIFS('BOM Mapping'!$J$4:$J$23,'BOM Mapping'!$C$4:$C$23,$A5)+SUMPRODUCT(('Sales Orders'!$E$4:$E$203="Latitude")*('Sales Orders'!$J$4:$J$203="Confirmed")*'Sales Orders'!$G$4:$G$203)*SUMIFS('BOM Mapping'!$K$4:$K$23,'BOM Mapping'!$D$4:$D$23,$A5)+SUMPRODUCT(('Sales Orders'!$E$4:$E$203="Altitude")*('Sales Orders'!$J$4:$J$203="Confirmed")*'Sales Orders'!$G$4:$G$203)*SUMIFS('BOM Mapping'!$L$4:$L$23,'BOM Mapping'!$E$4:$E$23,$A5)</f>
        <v/>
      </c>
      <c r="G5" s="73" t="n">
        <v>0</v>
      </c>
      <c r="H5" s="72">
        <f>MAX(E5,F5)+C5</f>
        <v/>
      </c>
      <c r="I5" s="72">
        <f>MAX(0,H5-D5-G5)</f>
        <v/>
      </c>
      <c r="J5" s="236">
        <f>'Master Inventory'!D5</f>
        <v/>
      </c>
      <c r="K5" s="236">
        <f>I5*J5</f>
        <v/>
      </c>
      <c r="L5">
        <f>IF(F5&gt;0,"P1 COMMITTED",IF(E5&gt;0,"P2 PLAN",IF(C5&gt;0,"P3 MSL","NONE")))</f>
        <v/>
      </c>
      <c r="M5">
        <f>IF(I5&gt;0,"BUY / RFQ","NO BUY")</f>
        <v/>
      </c>
      <c r="N5">
        <f>IF(I5=0,"",IF(IFERROR(VLOOKUP(A5,'Component Catalogue'!$G$5:$T$76,10,FALSE),1)&gt;1,"PLAN EARLY","NORMAL"))</f>
        <v/>
      </c>
      <c r="O5">
        <f>K5</f>
        <v/>
      </c>
    </row>
    <row r="6">
      <c r="A6">
        <f>'Master Inventory'!A6</f>
        <v/>
      </c>
      <c r="B6">
        <f>'Master Inventory'!C6</f>
        <v/>
      </c>
      <c r="C6" s="72">
        <f>'Master Inventory'!E6</f>
        <v/>
      </c>
      <c r="D6" s="72">
        <f>'Master Inventory'!J6</f>
        <v/>
      </c>
      <c r="E6" s="72">
        <f>SUMIFS('BOM Mapping'!$J$4:$J$23,'BOM Mapping'!$C$4:$C$23,$A6,'BOM Mapping'!$I$4:$I$23,"Approved")*SUM('Monthly Materials'!$D$6:$D$41)+SUMIFS('BOM Mapping'!$K$4:$K$23,'BOM Mapping'!$D$4:$D$23,$A6,'BOM Mapping'!$I$4:$I$23,"Approved")*SUM('Monthly Materials'!$E$6:$E$41)+SUMIFS('BOM Mapping'!$L$4:$L$23,'BOM Mapping'!$E$4:$E$23,$A6,'BOM Mapping'!$I$4:$I$23,"Approved")*SUM('Monthly Materials'!$F$6:$F$41)</f>
        <v/>
      </c>
      <c r="F6" s="72">
        <f>SUMPRODUCT(('Sales Orders'!$E$4:$E$203="Longitude")*('Sales Orders'!$J$4:$J$203="Confirmed")*'Sales Orders'!$G$4:$G$203)*SUMIFS('BOM Mapping'!$J$4:$J$23,'BOM Mapping'!$C$4:$C$23,$A6)+SUMPRODUCT(('Sales Orders'!$E$4:$E$203="Latitude")*('Sales Orders'!$J$4:$J$203="Confirmed")*'Sales Orders'!$G$4:$G$203)*SUMIFS('BOM Mapping'!$K$4:$K$23,'BOM Mapping'!$D$4:$D$23,$A6)+SUMPRODUCT(('Sales Orders'!$E$4:$E$203="Altitude")*('Sales Orders'!$J$4:$J$203="Confirmed")*'Sales Orders'!$G$4:$G$203)*SUMIFS('BOM Mapping'!$L$4:$L$23,'BOM Mapping'!$E$4:$E$23,$A6)</f>
        <v/>
      </c>
      <c r="G6" s="73" t="n">
        <v>0</v>
      </c>
      <c r="H6" s="72">
        <f>MAX(E6,F6)+C6</f>
        <v/>
      </c>
      <c r="I6" s="72">
        <f>MAX(0,H6-D6-G6)</f>
        <v/>
      </c>
      <c r="J6" s="236">
        <f>'Master Inventory'!D6</f>
        <v/>
      </c>
      <c r="K6" s="236">
        <f>I6*J6</f>
        <v/>
      </c>
      <c r="L6">
        <f>IF(F6&gt;0,"P1 COMMITTED",IF(E6&gt;0,"P2 PLAN",IF(C6&gt;0,"P3 MSL","NONE")))</f>
        <v/>
      </c>
      <c r="M6">
        <f>IF(I6&gt;0,"BUY / RFQ","NO BUY")</f>
        <v/>
      </c>
      <c r="N6">
        <f>IF(I6=0,"",IF(IFERROR(VLOOKUP(A6,'Component Catalogue'!$G$5:$T$76,10,FALSE),1)&gt;1,"PLAN EARLY","NORMAL"))</f>
        <v/>
      </c>
      <c r="O6">
        <f>K6</f>
        <v/>
      </c>
    </row>
    <row r="7">
      <c r="A7">
        <f>'Master Inventory'!A7</f>
        <v/>
      </c>
      <c r="B7">
        <f>'Master Inventory'!C7</f>
        <v/>
      </c>
      <c r="C7" s="72">
        <f>'Master Inventory'!E7</f>
        <v/>
      </c>
      <c r="D7" s="72">
        <f>'Master Inventory'!J7</f>
        <v/>
      </c>
      <c r="E7" s="72">
        <f>SUMIFS('BOM Mapping'!$J$4:$J$23,'BOM Mapping'!$C$4:$C$23,$A7,'BOM Mapping'!$I$4:$I$23,"Approved")*SUM('Monthly Materials'!$D$6:$D$41)+SUMIFS('BOM Mapping'!$K$4:$K$23,'BOM Mapping'!$D$4:$D$23,$A7,'BOM Mapping'!$I$4:$I$23,"Approved")*SUM('Monthly Materials'!$E$6:$E$41)+SUMIFS('BOM Mapping'!$L$4:$L$23,'BOM Mapping'!$E$4:$E$23,$A7,'BOM Mapping'!$I$4:$I$23,"Approved")*SUM('Monthly Materials'!$F$6:$F$41)</f>
        <v/>
      </c>
      <c r="F7" s="72">
        <f>SUMPRODUCT(('Sales Orders'!$E$4:$E$203="Longitude")*('Sales Orders'!$J$4:$J$203="Confirmed")*'Sales Orders'!$G$4:$G$203)*SUMIFS('BOM Mapping'!$J$4:$J$23,'BOM Mapping'!$C$4:$C$23,$A7)+SUMPRODUCT(('Sales Orders'!$E$4:$E$203="Latitude")*('Sales Orders'!$J$4:$J$203="Confirmed")*'Sales Orders'!$G$4:$G$203)*SUMIFS('BOM Mapping'!$K$4:$K$23,'BOM Mapping'!$D$4:$D$23,$A7)+SUMPRODUCT(('Sales Orders'!$E$4:$E$203="Altitude")*('Sales Orders'!$J$4:$J$203="Confirmed")*'Sales Orders'!$G$4:$G$203)*SUMIFS('BOM Mapping'!$L$4:$L$23,'BOM Mapping'!$E$4:$E$23,$A7)</f>
        <v/>
      </c>
      <c r="G7" s="73" t="n">
        <v>0</v>
      </c>
      <c r="H7" s="72">
        <f>MAX(E7,F7)+C7</f>
        <v/>
      </c>
      <c r="I7" s="72">
        <f>MAX(0,H7-D7-G7)</f>
        <v/>
      </c>
      <c r="J7" s="236">
        <f>'Master Inventory'!D7</f>
        <v/>
      </c>
      <c r="K7" s="236">
        <f>I7*J7</f>
        <v/>
      </c>
      <c r="L7">
        <f>IF(F7&gt;0,"P1 COMMITTED",IF(E7&gt;0,"P2 PLAN",IF(C7&gt;0,"P3 MSL","NONE")))</f>
        <v/>
      </c>
      <c r="M7">
        <f>IF(I7&gt;0,"BUY / RFQ","NO BUY")</f>
        <v/>
      </c>
      <c r="N7">
        <f>IF(I7=0,"",IF(IFERROR(VLOOKUP(A7,'Component Catalogue'!$G$5:$T$76,10,FALSE),1)&gt;1,"PLAN EARLY","NORMAL"))</f>
        <v/>
      </c>
      <c r="O7">
        <f>K7</f>
        <v/>
      </c>
    </row>
    <row r="8">
      <c r="A8">
        <f>'Master Inventory'!A8</f>
        <v/>
      </c>
      <c r="B8">
        <f>'Master Inventory'!C8</f>
        <v/>
      </c>
      <c r="C8" s="72">
        <f>'Master Inventory'!E8</f>
        <v/>
      </c>
      <c r="D8" s="72">
        <f>'Master Inventory'!J8</f>
        <v/>
      </c>
      <c r="E8" s="72">
        <f>SUMIFS('BOM Mapping'!$J$4:$J$23,'BOM Mapping'!$C$4:$C$23,$A8,'BOM Mapping'!$I$4:$I$23,"Approved")*SUM('Monthly Materials'!$D$6:$D$41)+SUMIFS('BOM Mapping'!$K$4:$K$23,'BOM Mapping'!$D$4:$D$23,$A8,'BOM Mapping'!$I$4:$I$23,"Approved")*SUM('Monthly Materials'!$E$6:$E$41)+SUMIFS('BOM Mapping'!$L$4:$L$23,'BOM Mapping'!$E$4:$E$23,$A8,'BOM Mapping'!$I$4:$I$23,"Approved")*SUM('Monthly Materials'!$F$6:$F$41)</f>
        <v/>
      </c>
      <c r="F8" s="72">
        <f>SUMPRODUCT(('Sales Orders'!$E$4:$E$203="Longitude")*('Sales Orders'!$J$4:$J$203="Confirmed")*'Sales Orders'!$G$4:$G$203)*SUMIFS('BOM Mapping'!$J$4:$J$23,'BOM Mapping'!$C$4:$C$23,$A8)+SUMPRODUCT(('Sales Orders'!$E$4:$E$203="Latitude")*('Sales Orders'!$J$4:$J$203="Confirmed")*'Sales Orders'!$G$4:$G$203)*SUMIFS('BOM Mapping'!$K$4:$K$23,'BOM Mapping'!$D$4:$D$23,$A8)+SUMPRODUCT(('Sales Orders'!$E$4:$E$203="Altitude")*('Sales Orders'!$J$4:$J$203="Confirmed")*'Sales Orders'!$G$4:$G$203)*SUMIFS('BOM Mapping'!$L$4:$L$23,'BOM Mapping'!$E$4:$E$23,$A8)</f>
        <v/>
      </c>
      <c r="G8" s="73" t="n">
        <v>0</v>
      </c>
      <c r="H8" s="72">
        <f>MAX(E8,F8)+C8</f>
        <v/>
      </c>
      <c r="I8" s="72">
        <f>MAX(0,H8-D8-G8)</f>
        <v/>
      </c>
      <c r="J8" s="236">
        <f>'Master Inventory'!D8</f>
        <v/>
      </c>
      <c r="K8" s="236">
        <f>I8*J8</f>
        <v/>
      </c>
      <c r="L8">
        <f>IF(F8&gt;0,"P1 COMMITTED",IF(E8&gt;0,"P2 PLAN",IF(C8&gt;0,"P3 MSL","NONE")))</f>
        <v/>
      </c>
      <c r="M8">
        <f>IF(I8&gt;0,"BUY / RFQ","NO BUY")</f>
        <v/>
      </c>
      <c r="N8">
        <f>IF(I8=0,"",IF(IFERROR(VLOOKUP(A8,'Component Catalogue'!$G$5:$T$76,10,FALSE),1)&gt;1,"PLAN EARLY","NORMAL"))</f>
        <v/>
      </c>
      <c r="O8">
        <f>K8</f>
        <v/>
      </c>
    </row>
    <row r="9">
      <c r="A9">
        <f>'Master Inventory'!A9</f>
        <v/>
      </c>
      <c r="B9">
        <f>'Master Inventory'!C9</f>
        <v/>
      </c>
      <c r="C9" s="72">
        <f>'Master Inventory'!E9</f>
        <v/>
      </c>
      <c r="D9" s="72">
        <f>'Master Inventory'!J9</f>
        <v/>
      </c>
      <c r="E9" s="72">
        <f>SUMIFS('BOM Mapping'!$J$4:$J$23,'BOM Mapping'!$C$4:$C$23,$A9,'BOM Mapping'!$I$4:$I$23,"Approved")*SUM('Monthly Materials'!$D$6:$D$41)+SUMIFS('BOM Mapping'!$K$4:$K$23,'BOM Mapping'!$D$4:$D$23,$A9,'BOM Mapping'!$I$4:$I$23,"Approved")*SUM('Monthly Materials'!$E$6:$E$41)+SUMIFS('BOM Mapping'!$L$4:$L$23,'BOM Mapping'!$E$4:$E$23,$A9,'BOM Mapping'!$I$4:$I$23,"Approved")*SUM('Monthly Materials'!$F$6:$F$41)</f>
        <v/>
      </c>
      <c r="F9" s="72">
        <f>SUMPRODUCT(('Sales Orders'!$E$4:$E$203="Longitude")*('Sales Orders'!$J$4:$J$203="Confirmed")*'Sales Orders'!$G$4:$G$203)*SUMIFS('BOM Mapping'!$J$4:$J$23,'BOM Mapping'!$C$4:$C$23,$A9)+SUMPRODUCT(('Sales Orders'!$E$4:$E$203="Latitude")*('Sales Orders'!$J$4:$J$203="Confirmed")*'Sales Orders'!$G$4:$G$203)*SUMIFS('BOM Mapping'!$K$4:$K$23,'BOM Mapping'!$D$4:$D$23,$A9)+SUMPRODUCT(('Sales Orders'!$E$4:$E$203="Altitude")*('Sales Orders'!$J$4:$J$203="Confirmed")*'Sales Orders'!$G$4:$G$203)*SUMIFS('BOM Mapping'!$L$4:$L$23,'BOM Mapping'!$E$4:$E$23,$A9)</f>
        <v/>
      </c>
      <c r="G9" s="73" t="n">
        <v>0</v>
      </c>
      <c r="H9" s="72">
        <f>MAX(E9,F9)+C9</f>
        <v/>
      </c>
      <c r="I9" s="72">
        <f>MAX(0,H9-D9-G9)</f>
        <v/>
      </c>
      <c r="J9" s="236">
        <f>'Master Inventory'!D9</f>
        <v/>
      </c>
      <c r="K9" s="236">
        <f>I9*J9</f>
        <v/>
      </c>
      <c r="L9">
        <f>IF(F9&gt;0,"P1 COMMITTED",IF(E9&gt;0,"P2 PLAN",IF(C9&gt;0,"P3 MSL","NONE")))</f>
        <v/>
      </c>
      <c r="M9">
        <f>IF(I9&gt;0,"BUY / RFQ","NO BUY")</f>
        <v/>
      </c>
      <c r="N9">
        <f>IF(I9=0,"",IF(IFERROR(VLOOKUP(A9,'Component Catalogue'!$G$5:$T$76,10,FALSE),1)&gt;1,"PLAN EARLY","NORMAL"))</f>
        <v/>
      </c>
      <c r="O9">
        <f>K9</f>
        <v/>
      </c>
    </row>
    <row r="10">
      <c r="A10">
        <f>'Master Inventory'!A10</f>
        <v/>
      </c>
      <c r="B10">
        <f>'Master Inventory'!C10</f>
        <v/>
      </c>
      <c r="C10" s="72">
        <f>'Master Inventory'!E10</f>
        <v/>
      </c>
      <c r="D10" s="72">
        <f>'Master Inventory'!J10</f>
        <v/>
      </c>
      <c r="E10" s="72">
        <f>SUMIFS('BOM Mapping'!$J$4:$J$23,'BOM Mapping'!$C$4:$C$23,$A10,'BOM Mapping'!$I$4:$I$23,"Approved")*SUM('Monthly Materials'!$D$6:$D$41)+SUMIFS('BOM Mapping'!$K$4:$K$23,'BOM Mapping'!$D$4:$D$23,$A10,'BOM Mapping'!$I$4:$I$23,"Approved")*SUM('Monthly Materials'!$E$6:$E$41)+SUMIFS('BOM Mapping'!$L$4:$L$23,'BOM Mapping'!$E$4:$E$23,$A10,'BOM Mapping'!$I$4:$I$23,"Approved")*SUM('Monthly Materials'!$F$6:$F$41)</f>
        <v/>
      </c>
      <c r="F10" s="72">
        <f>SUMPRODUCT(('Sales Orders'!$E$4:$E$203="Longitude")*('Sales Orders'!$J$4:$J$203="Confirmed")*'Sales Orders'!$G$4:$G$203)*SUMIFS('BOM Mapping'!$J$4:$J$23,'BOM Mapping'!$C$4:$C$23,$A10)+SUMPRODUCT(('Sales Orders'!$E$4:$E$203="Latitude")*('Sales Orders'!$J$4:$J$203="Confirmed")*'Sales Orders'!$G$4:$G$203)*SUMIFS('BOM Mapping'!$K$4:$K$23,'BOM Mapping'!$D$4:$D$23,$A10)+SUMPRODUCT(('Sales Orders'!$E$4:$E$203="Altitude")*('Sales Orders'!$J$4:$J$203="Confirmed")*'Sales Orders'!$G$4:$G$203)*SUMIFS('BOM Mapping'!$L$4:$L$23,'BOM Mapping'!$E$4:$E$23,$A10)</f>
        <v/>
      </c>
      <c r="G10" s="73" t="n">
        <v>0</v>
      </c>
      <c r="H10" s="72">
        <f>MAX(E10,F10)+C10</f>
        <v/>
      </c>
      <c r="I10" s="72">
        <f>MAX(0,H10-D10-G10)</f>
        <v/>
      </c>
      <c r="J10" s="236">
        <f>'Master Inventory'!D10</f>
        <v/>
      </c>
      <c r="K10" s="236">
        <f>I10*J10</f>
        <v/>
      </c>
      <c r="L10">
        <f>IF(F10&gt;0,"P1 COMMITTED",IF(E10&gt;0,"P2 PLAN",IF(C10&gt;0,"P3 MSL","NONE")))</f>
        <v/>
      </c>
      <c r="M10">
        <f>IF(I10&gt;0,"BUY / RFQ","NO BUY")</f>
        <v/>
      </c>
      <c r="N10">
        <f>IF(I10=0,"",IF(IFERROR(VLOOKUP(A10,'Component Catalogue'!$G$5:$T$76,10,FALSE),1)&gt;1,"PLAN EARLY","NORMAL"))</f>
        <v/>
      </c>
      <c r="O10">
        <f>K10</f>
        <v/>
      </c>
    </row>
    <row r="11">
      <c r="A11">
        <f>'Master Inventory'!A11</f>
        <v/>
      </c>
      <c r="B11">
        <f>'Master Inventory'!C11</f>
        <v/>
      </c>
      <c r="C11" s="72">
        <f>'Master Inventory'!E11</f>
        <v/>
      </c>
      <c r="D11" s="72">
        <f>'Master Inventory'!J11</f>
        <v/>
      </c>
      <c r="E11" s="72">
        <f>SUMIFS('BOM Mapping'!$J$4:$J$23,'BOM Mapping'!$C$4:$C$23,$A11,'BOM Mapping'!$I$4:$I$23,"Approved")*SUM('Monthly Materials'!$D$6:$D$41)+SUMIFS('BOM Mapping'!$K$4:$K$23,'BOM Mapping'!$D$4:$D$23,$A11,'BOM Mapping'!$I$4:$I$23,"Approved")*SUM('Monthly Materials'!$E$6:$E$41)+SUMIFS('BOM Mapping'!$L$4:$L$23,'BOM Mapping'!$E$4:$E$23,$A11,'BOM Mapping'!$I$4:$I$23,"Approved")*SUM('Monthly Materials'!$F$6:$F$41)</f>
        <v/>
      </c>
      <c r="F11" s="72">
        <f>SUMPRODUCT(('Sales Orders'!$E$4:$E$203="Longitude")*('Sales Orders'!$J$4:$J$203="Confirmed")*'Sales Orders'!$G$4:$G$203)*SUMIFS('BOM Mapping'!$J$4:$J$23,'BOM Mapping'!$C$4:$C$23,$A11)+SUMPRODUCT(('Sales Orders'!$E$4:$E$203="Latitude")*('Sales Orders'!$J$4:$J$203="Confirmed")*'Sales Orders'!$G$4:$G$203)*SUMIFS('BOM Mapping'!$K$4:$K$23,'BOM Mapping'!$D$4:$D$23,$A11)+SUMPRODUCT(('Sales Orders'!$E$4:$E$203="Altitude")*('Sales Orders'!$J$4:$J$203="Confirmed")*'Sales Orders'!$G$4:$G$203)*SUMIFS('BOM Mapping'!$L$4:$L$23,'BOM Mapping'!$E$4:$E$23,$A11)</f>
        <v/>
      </c>
      <c r="G11" s="73" t="n">
        <v>0</v>
      </c>
      <c r="H11" s="72">
        <f>MAX(E11,F11)+C11</f>
        <v/>
      </c>
      <c r="I11" s="72">
        <f>MAX(0,H11-D11-G11)</f>
        <v/>
      </c>
      <c r="J11" s="236">
        <f>'Master Inventory'!D11</f>
        <v/>
      </c>
      <c r="K11" s="236">
        <f>I11*J11</f>
        <v/>
      </c>
      <c r="L11">
        <f>IF(F11&gt;0,"P1 COMMITTED",IF(E11&gt;0,"P2 PLAN",IF(C11&gt;0,"P3 MSL","NONE")))</f>
        <v/>
      </c>
      <c r="M11">
        <f>IF(I11&gt;0,"BUY / RFQ","NO BUY")</f>
        <v/>
      </c>
      <c r="N11">
        <f>IF(I11=0,"",IF(IFERROR(VLOOKUP(A11,'Component Catalogue'!$G$5:$T$76,10,FALSE),1)&gt;1,"PLAN EARLY","NORMAL"))</f>
        <v/>
      </c>
      <c r="O11">
        <f>K11</f>
        <v/>
      </c>
    </row>
    <row r="12">
      <c r="A12">
        <f>'Master Inventory'!A12</f>
        <v/>
      </c>
      <c r="B12">
        <f>'Master Inventory'!C12</f>
        <v/>
      </c>
      <c r="C12" s="72">
        <f>'Master Inventory'!E12</f>
        <v/>
      </c>
      <c r="D12" s="72">
        <f>'Master Inventory'!J12</f>
        <v/>
      </c>
      <c r="E12" s="72">
        <f>SUMIFS('BOM Mapping'!$J$4:$J$23,'BOM Mapping'!$C$4:$C$23,$A12,'BOM Mapping'!$I$4:$I$23,"Approved")*SUM('Monthly Materials'!$D$6:$D$41)+SUMIFS('BOM Mapping'!$K$4:$K$23,'BOM Mapping'!$D$4:$D$23,$A12,'BOM Mapping'!$I$4:$I$23,"Approved")*SUM('Monthly Materials'!$E$6:$E$41)+SUMIFS('BOM Mapping'!$L$4:$L$23,'BOM Mapping'!$E$4:$E$23,$A12,'BOM Mapping'!$I$4:$I$23,"Approved")*SUM('Monthly Materials'!$F$6:$F$41)</f>
        <v/>
      </c>
      <c r="F12" s="72">
        <f>SUMPRODUCT(('Sales Orders'!$E$4:$E$203="Longitude")*('Sales Orders'!$J$4:$J$203="Confirmed")*'Sales Orders'!$G$4:$G$203)*SUMIFS('BOM Mapping'!$J$4:$J$23,'BOM Mapping'!$C$4:$C$23,$A12)+SUMPRODUCT(('Sales Orders'!$E$4:$E$203="Latitude")*('Sales Orders'!$J$4:$J$203="Confirmed")*'Sales Orders'!$G$4:$G$203)*SUMIFS('BOM Mapping'!$K$4:$K$23,'BOM Mapping'!$D$4:$D$23,$A12)+SUMPRODUCT(('Sales Orders'!$E$4:$E$203="Altitude")*('Sales Orders'!$J$4:$J$203="Confirmed")*'Sales Orders'!$G$4:$G$203)*SUMIFS('BOM Mapping'!$L$4:$L$23,'BOM Mapping'!$E$4:$E$23,$A12)</f>
        <v/>
      </c>
      <c r="G12" s="73" t="n">
        <v>0</v>
      </c>
      <c r="H12" s="72">
        <f>MAX(E12,F12)+C12</f>
        <v/>
      </c>
      <c r="I12" s="72">
        <f>MAX(0,H12-D12-G12)</f>
        <v/>
      </c>
      <c r="J12" s="236">
        <f>'Master Inventory'!D12</f>
        <v/>
      </c>
      <c r="K12" s="236">
        <f>I12*J12</f>
        <v/>
      </c>
      <c r="L12">
        <f>IF(F12&gt;0,"P1 COMMITTED",IF(E12&gt;0,"P2 PLAN",IF(C12&gt;0,"P3 MSL","NONE")))</f>
        <v/>
      </c>
      <c r="M12">
        <f>IF(I12&gt;0,"BUY / RFQ","NO BUY")</f>
        <v/>
      </c>
      <c r="N12">
        <f>IF(I12=0,"",IF(IFERROR(VLOOKUP(A12,'Component Catalogue'!$G$5:$T$76,10,FALSE),1)&gt;1,"PLAN EARLY","NORMAL"))</f>
        <v/>
      </c>
      <c r="O12">
        <f>K12</f>
        <v/>
      </c>
    </row>
    <row r="13">
      <c r="A13">
        <f>'Master Inventory'!A13</f>
        <v/>
      </c>
      <c r="B13">
        <f>'Master Inventory'!C13</f>
        <v/>
      </c>
      <c r="C13" s="72">
        <f>'Master Inventory'!E13</f>
        <v/>
      </c>
      <c r="D13" s="72">
        <f>'Master Inventory'!J13</f>
        <v/>
      </c>
      <c r="E13" s="72">
        <f>SUMIFS('BOM Mapping'!$J$4:$J$23,'BOM Mapping'!$C$4:$C$23,$A13,'BOM Mapping'!$I$4:$I$23,"Approved")*SUM('Monthly Materials'!$D$6:$D$41)+SUMIFS('BOM Mapping'!$K$4:$K$23,'BOM Mapping'!$D$4:$D$23,$A13,'BOM Mapping'!$I$4:$I$23,"Approved")*SUM('Monthly Materials'!$E$6:$E$41)+SUMIFS('BOM Mapping'!$L$4:$L$23,'BOM Mapping'!$E$4:$E$23,$A13,'BOM Mapping'!$I$4:$I$23,"Approved")*SUM('Monthly Materials'!$F$6:$F$41)</f>
        <v/>
      </c>
      <c r="F13" s="72">
        <f>SUMPRODUCT(('Sales Orders'!$E$4:$E$203="Longitude")*('Sales Orders'!$J$4:$J$203="Confirmed")*'Sales Orders'!$G$4:$G$203)*SUMIFS('BOM Mapping'!$J$4:$J$23,'BOM Mapping'!$C$4:$C$23,$A13)+SUMPRODUCT(('Sales Orders'!$E$4:$E$203="Latitude")*('Sales Orders'!$J$4:$J$203="Confirmed")*'Sales Orders'!$G$4:$G$203)*SUMIFS('BOM Mapping'!$K$4:$K$23,'BOM Mapping'!$D$4:$D$23,$A13)+SUMPRODUCT(('Sales Orders'!$E$4:$E$203="Altitude")*('Sales Orders'!$J$4:$J$203="Confirmed")*'Sales Orders'!$G$4:$G$203)*SUMIFS('BOM Mapping'!$L$4:$L$23,'BOM Mapping'!$E$4:$E$23,$A13)</f>
        <v/>
      </c>
      <c r="G13" s="73" t="n">
        <v>0</v>
      </c>
      <c r="H13" s="72">
        <f>MAX(E13,F13)+C13</f>
        <v/>
      </c>
      <c r="I13" s="72">
        <f>MAX(0,H13-D13-G13)</f>
        <v/>
      </c>
      <c r="J13" s="236">
        <f>'Master Inventory'!D13</f>
        <v/>
      </c>
      <c r="K13" s="236">
        <f>I13*J13</f>
        <v/>
      </c>
      <c r="L13">
        <f>IF(F13&gt;0,"P1 COMMITTED",IF(E13&gt;0,"P2 PLAN",IF(C13&gt;0,"P3 MSL","NONE")))</f>
        <v/>
      </c>
      <c r="M13">
        <f>IF(I13&gt;0,"BUY / RFQ","NO BUY")</f>
        <v/>
      </c>
      <c r="N13">
        <f>IF(I13=0,"",IF(IFERROR(VLOOKUP(A13,'Component Catalogue'!$G$5:$T$76,10,FALSE),1)&gt;1,"PLAN EARLY","NORMAL"))</f>
        <v/>
      </c>
      <c r="O13">
        <f>K13</f>
        <v/>
      </c>
    </row>
    <row r="14">
      <c r="A14">
        <f>'Master Inventory'!A14</f>
        <v/>
      </c>
      <c r="B14">
        <f>'Master Inventory'!C14</f>
        <v/>
      </c>
      <c r="C14" s="72">
        <f>'Master Inventory'!E14</f>
        <v/>
      </c>
      <c r="D14" s="72">
        <f>'Master Inventory'!J14</f>
        <v/>
      </c>
      <c r="E14" s="72">
        <f>SUMIFS('BOM Mapping'!$J$4:$J$23,'BOM Mapping'!$C$4:$C$23,$A14,'BOM Mapping'!$I$4:$I$23,"Approved")*SUM('Monthly Materials'!$D$6:$D$41)+SUMIFS('BOM Mapping'!$K$4:$K$23,'BOM Mapping'!$D$4:$D$23,$A14,'BOM Mapping'!$I$4:$I$23,"Approved")*SUM('Monthly Materials'!$E$6:$E$41)+SUMIFS('BOM Mapping'!$L$4:$L$23,'BOM Mapping'!$E$4:$E$23,$A14,'BOM Mapping'!$I$4:$I$23,"Approved")*SUM('Monthly Materials'!$F$6:$F$41)</f>
        <v/>
      </c>
      <c r="F14" s="72">
        <f>SUMPRODUCT(('Sales Orders'!$E$4:$E$203="Longitude")*('Sales Orders'!$J$4:$J$203="Confirmed")*'Sales Orders'!$G$4:$G$203)*SUMIFS('BOM Mapping'!$J$4:$J$23,'BOM Mapping'!$C$4:$C$23,$A14)+SUMPRODUCT(('Sales Orders'!$E$4:$E$203="Latitude")*('Sales Orders'!$J$4:$J$203="Confirmed")*'Sales Orders'!$G$4:$G$203)*SUMIFS('BOM Mapping'!$K$4:$K$23,'BOM Mapping'!$D$4:$D$23,$A14)+SUMPRODUCT(('Sales Orders'!$E$4:$E$203="Altitude")*('Sales Orders'!$J$4:$J$203="Confirmed")*'Sales Orders'!$G$4:$G$203)*SUMIFS('BOM Mapping'!$L$4:$L$23,'BOM Mapping'!$E$4:$E$23,$A14)</f>
        <v/>
      </c>
      <c r="G14" s="73" t="n">
        <v>0</v>
      </c>
      <c r="H14" s="72">
        <f>MAX(E14,F14)+C14</f>
        <v/>
      </c>
      <c r="I14" s="72">
        <f>MAX(0,H14-D14-G14)</f>
        <v/>
      </c>
      <c r="J14" s="236">
        <f>'Master Inventory'!D14</f>
        <v/>
      </c>
      <c r="K14" s="236">
        <f>I14*J14</f>
        <v/>
      </c>
      <c r="L14">
        <f>IF(F14&gt;0,"P1 COMMITTED",IF(E14&gt;0,"P2 PLAN",IF(C14&gt;0,"P3 MSL","NONE")))</f>
        <v/>
      </c>
      <c r="M14">
        <f>IF(I14&gt;0,"BUY / RFQ","NO BUY")</f>
        <v/>
      </c>
      <c r="N14">
        <f>IF(I14=0,"",IF(IFERROR(VLOOKUP(A14,'Component Catalogue'!$G$5:$T$76,10,FALSE),1)&gt;1,"PLAN EARLY","NORMAL"))</f>
        <v/>
      </c>
      <c r="O14">
        <f>K14</f>
        <v/>
      </c>
    </row>
    <row r="15">
      <c r="A15">
        <f>'Master Inventory'!A15</f>
        <v/>
      </c>
      <c r="B15">
        <f>'Master Inventory'!C15</f>
        <v/>
      </c>
      <c r="C15" s="72">
        <f>'Master Inventory'!E15</f>
        <v/>
      </c>
      <c r="D15" s="72">
        <f>'Master Inventory'!J15</f>
        <v/>
      </c>
      <c r="E15" s="72">
        <f>SUMIFS('BOM Mapping'!$J$4:$J$23,'BOM Mapping'!$C$4:$C$23,$A15,'BOM Mapping'!$I$4:$I$23,"Approved")*SUM('Monthly Materials'!$D$6:$D$41)+SUMIFS('BOM Mapping'!$K$4:$K$23,'BOM Mapping'!$D$4:$D$23,$A15,'BOM Mapping'!$I$4:$I$23,"Approved")*SUM('Monthly Materials'!$E$6:$E$41)+SUMIFS('BOM Mapping'!$L$4:$L$23,'BOM Mapping'!$E$4:$E$23,$A15,'BOM Mapping'!$I$4:$I$23,"Approved")*SUM('Monthly Materials'!$F$6:$F$41)</f>
        <v/>
      </c>
      <c r="F15" s="72">
        <f>SUMPRODUCT(('Sales Orders'!$E$4:$E$203="Longitude")*('Sales Orders'!$J$4:$J$203="Confirmed")*'Sales Orders'!$G$4:$G$203)*SUMIFS('BOM Mapping'!$J$4:$J$23,'BOM Mapping'!$C$4:$C$23,$A15)+SUMPRODUCT(('Sales Orders'!$E$4:$E$203="Latitude")*('Sales Orders'!$J$4:$J$203="Confirmed")*'Sales Orders'!$G$4:$G$203)*SUMIFS('BOM Mapping'!$K$4:$K$23,'BOM Mapping'!$D$4:$D$23,$A15)+SUMPRODUCT(('Sales Orders'!$E$4:$E$203="Altitude")*('Sales Orders'!$J$4:$J$203="Confirmed")*'Sales Orders'!$G$4:$G$203)*SUMIFS('BOM Mapping'!$L$4:$L$23,'BOM Mapping'!$E$4:$E$23,$A15)</f>
        <v/>
      </c>
      <c r="G15" s="73" t="n">
        <v>0</v>
      </c>
      <c r="H15" s="72">
        <f>MAX(E15,F15)+C15</f>
        <v/>
      </c>
      <c r="I15" s="72">
        <f>MAX(0,H15-D15-G15)</f>
        <v/>
      </c>
      <c r="J15" s="236">
        <f>'Master Inventory'!D15</f>
        <v/>
      </c>
      <c r="K15" s="236">
        <f>I15*J15</f>
        <v/>
      </c>
      <c r="L15">
        <f>IF(F15&gt;0,"P1 COMMITTED",IF(E15&gt;0,"P2 PLAN",IF(C15&gt;0,"P3 MSL","NONE")))</f>
        <v/>
      </c>
      <c r="M15">
        <f>IF(I15&gt;0,"BUY / RFQ","NO BUY")</f>
        <v/>
      </c>
      <c r="N15">
        <f>IF(I15=0,"",IF(IFERROR(VLOOKUP(A15,'Component Catalogue'!$G$5:$T$76,10,FALSE),1)&gt;1,"PLAN EARLY","NORMAL"))</f>
        <v/>
      </c>
      <c r="O15">
        <f>K15</f>
        <v/>
      </c>
    </row>
    <row r="16">
      <c r="A16">
        <f>'Master Inventory'!A16</f>
        <v/>
      </c>
      <c r="B16">
        <f>'Master Inventory'!C16</f>
        <v/>
      </c>
      <c r="C16" s="72">
        <f>'Master Inventory'!E16</f>
        <v/>
      </c>
      <c r="D16" s="72">
        <f>'Master Inventory'!J16</f>
        <v/>
      </c>
      <c r="E16" s="72">
        <f>SUMIFS('BOM Mapping'!$J$4:$J$23,'BOM Mapping'!$C$4:$C$23,$A16,'BOM Mapping'!$I$4:$I$23,"Approved")*SUM('Monthly Materials'!$D$6:$D$41)+SUMIFS('BOM Mapping'!$K$4:$K$23,'BOM Mapping'!$D$4:$D$23,$A16,'BOM Mapping'!$I$4:$I$23,"Approved")*SUM('Monthly Materials'!$E$6:$E$41)+SUMIFS('BOM Mapping'!$L$4:$L$23,'BOM Mapping'!$E$4:$E$23,$A16,'BOM Mapping'!$I$4:$I$23,"Approved")*SUM('Monthly Materials'!$F$6:$F$41)</f>
        <v/>
      </c>
      <c r="F16" s="72">
        <f>SUMPRODUCT(('Sales Orders'!$E$4:$E$203="Longitude")*('Sales Orders'!$J$4:$J$203="Confirmed")*'Sales Orders'!$G$4:$G$203)*SUMIFS('BOM Mapping'!$J$4:$J$23,'BOM Mapping'!$C$4:$C$23,$A16)+SUMPRODUCT(('Sales Orders'!$E$4:$E$203="Latitude")*('Sales Orders'!$J$4:$J$203="Confirmed")*'Sales Orders'!$G$4:$G$203)*SUMIFS('BOM Mapping'!$K$4:$K$23,'BOM Mapping'!$D$4:$D$23,$A16)+SUMPRODUCT(('Sales Orders'!$E$4:$E$203="Altitude")*('Sales Orders'!$J$4:$J$203="Confirmed")*'Sales Orders'!$G$4:$G$203)*SUMIFS('BOM Mapping'!$L$4:$L$23,'BOM Mapping'!$E$4:$E$23,$A16)</f>
        <v/>
      </c>
      <c r="G16" s="73" t="n">
        <v>0</v>
      </c>
      <c r="H16" s="72">
        <f>MAX(E16,F16)+C16</f>
        <v/>
      </c>
      <c r="I16" s="72">
        <f>MAX(0,H16-D16-G16)</f>
        <v/>
      </c>
      <c r="J16" s="236">
        <f>'Master Inventory'!D16</f>
        <v/>
      </c>
      <c r="K16" s="236">
        <f>I16*J16</f>
        <v/>
      </c>
      <c r="L16">
        <f>IF(F16&gt;0,"P1 COMMITTED",IF(E16&gt;0,"P2 PLAN",IF(C16&gt;0,"P3 MSL","NONE")))</f>
        <v/>
      </c>
      <c r="M16">
        <f>IF(I16&gt;0,"BUY / RFQ","NO BUY")</f>
        <v/>
      </c>
      <c r="N16">
        <f>IF(I16=0,"",IF(IFERROR(VLOOKUP(A16,'Component Catalogue'!$G$5:$T$76,10,FALSE),1)&gt;1,"PLAN EARLY","NORMAL"))</f>
        <v/>
      </c>
      <c r="O16">
        <f>K16</f>
        <v/>
      </c>
    </row>
    <row r="17">
      <c r="A17">
        <f>'Master Inventory'!A17</f>
        <v/>
      </c>
      <c r="B17">
        <f>'Master Inventory'!C17</f>
        <v/>
      </c>
      <c r="C17" s="72">
        <f>'Master Inventory'!E17</f>
        <v/>
      </c>
      <c r="D17" s="72">
        <f>'Master Inventory'!J17</f>
        <v/>
      </c>
      <c r="E17" s="72">
        <f>SUMIFS('BOM Mapping'!$J$4:$J$23,'BOM Mapping'!$C$4:$C$23,$A17,'BOM Mapping'!$I$4:$I$23,"Approved")*SUM('Monthly Materials'!$D$6:$D$41)+SUMIFS('BOM Mapping'!$K$4:$K$23,'BOM Mapping'!$D$4:$D$23,$A17,'BOM Mapping'!$I$4:$I$23,"Approved")*SUM('Monthly Materials'!$E$6:$E$41)+SUMIFS('BOM Mapping'!$L$4:$L$23,'BOM Mapping'!$E$4:$E$23,$A17,'BOM Mapping'!$I$4:$I$23,"Approved")*SUM('Monthly Materials'!$F$6:$F$41)</f>
        <v/>
      </c>
      <c r="F17" s="72">
        <f>SUMPRODUCT(('Sales Orders'!$E$4:$E$203="Longitude")*('Sales Orders'!$J$4:$J$203="Confirmed")*'Sales Orders'!$G$4:$G$203)*SUMIFS('BOM Mapping'!$J$4:$J$23,'BOM Mapping'!$C$4:$C$23,$A17)+SUMPRODUCT(('Sales Orders'!$E$4:$E$203="Latitude")*('Sales Orders'!$J$4:$J$203="Confirmed")*'Sales Orders'!$G$4:$G$203)*SUMIFS('BOM Mapping'!$K$4:$K$23,'BOM Mapping'!$D$4:$D$23,$A17)+SUMPRODUCT(('Sales Orders'!$E$4:$E$203="Altitude")*('Sales Orders'!$J$4:$J$203="Confirmed")*'Sales Orders'!$G$4:$G$203)*SUMIFS('BOM Mapping'!$L$4:$L$23,'BOM Mapping'!$E$4:$E$23,$A17)</f>
        <v/>
      </c>
      <c r="G17" s="73" t="n">
        <v>0</v>
      </c>
      <c r="H17" s="72">
        <f>MAX(E17,F17)+C17</f>
        <v/>
      </c>
      <c r="I17" s="72">
        <f>MAX(0,H17-D17-G17)</f>
        <v/>
      </c>
      <c r="J17" s="236">
        <f>'Master Inventory'!D17</f>
        <v/>
      </c>
      <c r="K17" s="236">
        <f>I17*J17</f>
        <v/>
      </c>
      <c r="L17">
        <f>IF(F17&gt;0,"P1 COMMITTED",IF(E17&gt;0,"P2 PLAN",IF(C17&gt;0,"P3 MSL","NONE")))</f>
        <v/>
      </c>
      <c r="M17">
        <f>IF(I17&gt;0,"BUY / RFQ","NO BUY")</f>
        <v/>
      </c>
      <c r="N17">
        <f>IF(I17=0,"",IF(IFERROR(VLOOKUP(A17,'Component Catalogue'!$G$5:$T$76,10,FALSE),1)&gt;1,"PLAN EARLY","NORMAL"))</f>
        <v/>
      </c>
      <c r="O17">
        <f>K17</f>
        <v/>
      </c>
    </row>
    <row r="18">
      <c r="A18">
        <f>'Master Inventory'!A18</f>
        <v/>
      </c>
      <c r="B18">
        <f>'Master Inventory'!C18</f>
        <v/>
      </c>
      <c r="C18" s="72">
        <f>'Master Inventory'!E18</f>
        <v/>
      </c>
      <c r="D18" s="72">
        <f>'Master Inventory'!J18</f>
        <v/>
      </c>
      <c r="E18" s="72">
        <f>SUMIFS('BOM Mapping'!$J$4:$J$23,'BOM Mapping'!$C$4:$C$23,$A18,'BOM Mapping'!$I$4:$I$23,"Approved")*SUM('Monthly Materials'!$D$6:$D$41)+SUMIFS('BOM Mapping'!$K$4:$K$23,'BOM Mapping'!$D$4:$D$23,$A18,'BOM Mapping'!$I$4:$I$23,"Approved")*SUM('Monthly Materials'!$E$6:$E$41)+SUMIFS('BOM Mapping'!$L$4:$L$23,'BOM Mapping'!$E$4:$E$23,$A18,'BOM Mapping'!$I$4:$I$23,"Approved")*SUM('Monthly Materials'!$F$6:$F$41)</f>
        <v/>
      </c>
      <c r="F18" s="72">
        <f>SUMPRODUCT(('Sales Orders'!$E$4:$E$203="Longitude")*('Sales Orders'!$J$4:$J$203="Confirmed")*'Sales Orders'!$G$4:$G$203)*SUMIFS('BOM Mapping'!$J$4:$J$23,'BOM Mapping'!$C$4:$C$23,$A18)+SUMPRODUCT(('Sales Orders'!$E$4:$E$203="Latitude")*('Sales Orders'!$J$4:$J$203="Confirmed")*'Sales Orders'!$G$4:$G$203)*SUMIFS('BOM Mapping'!$K$4:$K$23,'BOM Mapping'!$D$4:$D$23,$A18)+SUMPRODUCT(('Sales Orders'!$E$4:$E$203="Altitude")*('Sales Orders'!$J$4:$J$203="Confirmed")*'Sales Orders'!$G$4:$G$203)*SUMIFS('BOM Mapping'!$L$4:$L$23,'BOM Mapping'!$E$4:$E$23,$A18)</f>
        <v/>
      </c>
      <c r="G18" s="73" t="n">
        <v>0</v>
      </c>
      <c r="H18" s="72">
        <f>MAX(E18,F18)+C18</f>
        <v/>
      </c>
      <c r="I18" s="72">
        <f>MAX(0,H18-D18-G18)</f>
        <v/>
      </c>
      <c r="J18" s="236">
        <f>'Master Inventory'!D18</f>
        <v/>
      </c>
      <c r="K18" s="236">
        <f>I18*J18</f>
        <v/>
      </c>
      <c r="L18">
        <f>IF(F18&gt;0,"P1 COMMITTED",IF(E18&gt;0,"P2 PLAN",IF(C18&gt;0,"P3 MSL","NONE")))</f>
        <v/>
      </c>
      <c r="M18">
        <f>IF(I18&gt;0,"BUY / RFQ","NO BUY")</f>
        <v/>
      </c>
      <c r="N18">
        <f>IF(I18=0,"",IF(IFERROR(VLOOKUP(A18,'Component Catalogue'!$G$5:$T$76,10,FALSE),1)&gt;1,"PLAN EARLY","NORMAL"))</f>
        <v/>
      </c>
      <c r="O18">
        <f>K18</f>
        <v/>
      </c>
    </row>
    <row r="19">
      <c r="A19">
        <f>'Master Inventory'!A19</f>
        <v/>
      </c>
      <c r="B19">
        <f>'Master Inventory'!C19</f>
        <v/>
      </c>
      <c r="C19" s="72">
        <f>'Master Inventory'!E19</f>
        <v/>
      </c>
      <c r="D19" s="72">
        <f>'Master Inventory'!J19</f>
        <v/>
      </c>
      <c r="E19" s="72">
        <f>SUMIFS('BOM Mapping'!$J$4:$J$23,'BOM Mapping'!$C$4:$C$23,$A19,'BOM Mapping'!$I$4:$I$23,"Approved")*SUM('Monthly Materials'!$D$6:$D$41)+SUMIFS('BOM Mapping'!$K$4:$K$23,'BOM Mapping'!$D$4:$D$23,$A19,'BOM Mapping'!$I$4:$I$23,"Approved")*SUM('Monthly Materials'!$E$6:$E$41)+SUMIFS('BOM Mapping'!$L$4:$L$23,'BOM Mapping'!$E$4:$E$23,$A19,'BOM Mapping'!$I$4:$I$23,"Approved")*SUM('Monthly Materials'!$F$6:$F$41)</f>
        <v/>
      </c>
      <c r="F19" s="72">
        <f>SUMPRODUCT(('Sales Orders'!$E$4:$E$203="Longitude")*('Sales Orders'!$J$4:$J$203="Confirmed")*'Sales Orders'!$G$4:$G$203)*SUMIFS('BOM Mapping'!$J$4:$J$23,'BOM Mapping'!$C$4:$C$23,$A19)+SUMPRODUCT(('Sales Orders'!$E$4:$E$203="Latitude")*('Sales Orders'!$J$4:$J$203="Confirmed")*'Sales Orders'!$G$4:$G$203)*SUMIFS('BOM Mapping'!$K$4:$K$23,'BOM Mapping'!$D$4:$D$23,$A19)+SUMPRODUCT(('Sales Orders'!$E$4:$E$203="Altitude")*('Sales Orders'!$J$4:$J$203="Confirmed")*'Sales Orders'!$G$4:$G$203)*SUMIFS('BOM Mapping'!$L$4:$L$23,'BOM Mapping'!$E$4:$E$23,$A19)</f>
        <v/>
      </c>
      <c r="G19" s="73" t="n">
        <v>0</v>
      </c>
      <c r="H19" s="72">
        <f>MAX(E19,F19)+C19</f>
        <v/>
      </c>
      <c r="I19" s="72">
        <f>MAX(0,H19-D19-G19)</f>
        <v/>
      </c>
      <c r="J19" s="236">
        <f>'Master Inventory'!D19</f>
        <v/>
      </c>
      <c r="K19" s="236">
        <f>I19*J19</f>
        <v/>
      </c>
      <c r="L19">
        <f>IF(F19&gt;0,"P1 COMMITTED",IF(E19&gt;0,"P2 PLAN",IF(C19&gt;0,"P3 MSL","NONE")))</f>
        <v/>
      </c>
      <c r="M19">
        <f>IF(I19&gt;0,"BUY / RFQ","NO BUY")</f>
        <v/>
      </c>
      <c r="N19">
        <f>IF(I19=0,"",IF(IFERROR(VLOOKUP(A19,'Component Catalogue'!$G$5:$T$76,10,FALSE),1)&gt;1,"PLAN EARLY","NORMAL"))</f>
        <v/>
      </c>
      <c r="O19">
        <f>K19</f>
        <v/>
      </c>
    </row>
    <row r="20">
      <c r="A20">
        <f>'Master Inventory'!A20</f>
        <v/>
      </c>
      <c r="B20">
        <f>'Master Inventory'!C20</f>
        <v/>
      </c>
      <c r="C20" s="72">
        <f>'Master Inventory'!E20</f>
        <v/>
      </c>
      <c r="D20" s="72">
        <f>'Master Inventory'!J20</f>
        <v/>
      </c>
      <c r="E20" s="72">
        <f>SUMIFS('BOM Mapping'!$J$4:$J$23,'BOM Mapping'!$C$4:$C$23,$A20,'BOM Mapping'!$I$4:$I$23,"Approved")*SUM('Monthly Materials'!$D$6:$D$41)+SUMIFS('BOM Mapping'!$K$4:$K$23,'BOM Mapping'!$D$4:$D$23,$A20,'BOM Mapping'!$I$4:$I$23,"Approved")*SUM('Monthly Materials'!$E$6:$E$41)+SUMIFS('BOM Mapping'!$L$4:$L$23,'BOM Mapping'!$E$4:$E$23,$A20,'BOM Mapping'!$I$4:$I$23,"Approved")*SUM('Monthly Materials'!$F$6:$F$41)</f>
        <v/>
      </c>
      <c r="F20" s="72">
        <f>SUMPRODUCT(('Sales Orders'!$E$4:$E$203="Longitude")*('Sales Orders'!$J$4:$J$203="Confirmed")*'Sales Orders'!$G$4:$G$203)*SUMIFS('BOM Mapping'!$J$4:$J$23,'BOM Mapping'!$C$4:$C$23,$A20)+SUMPRODUCT(('Sales Orders'!$E$4:$E$203="Latitude")*('Sales Orders'!$J$4:$J$203="Confirmed")*'Sales Orders'!$G$4:$G$203)*SUMIFS('BOM Mapping'!$K$4:$K$23,'BOM Mapping'!$D$4:$D$23,$A20)+SUMPRODUCT(('Sales Orders'!$E$4:$E$203="Altitude")*('Sales Orders'!$J$4:$J$203="Confirmed")*'Sales Orders'!$G$4:$G$203)*SUMIFS('BOM Mapping'!$L$4:$L$23,'BOM Mapping'!$E$4:$E$23,$A20)</f>
        <v/>
      </c>
      <c r="G20" s="73" t="n">
        <v>0</v>
      </c>
      <c r="H20" s="72">
        <f>MAX(E20,F20)+C20</f>
        <v/>
      </c>
      <c r="I20" s="72">
        <f>MAX(0,H20-D20-G20)</f>
        <v/>
      </c>
      <c r="J20" s="236">
        <f>'Master Inventory'!D20</f>
        <v/>
      </c>
      <c r="K20" s="236">
        <f>I20*J20</f>
        <v/>
      </c>
      <c r="L20">
        <f>IF(F20&gt;0,"P1 COMMITTED",IF(E20&gt;0,"P2 PLAN",IF(C20&gt;0,"P3 MSL","NONE")))</f>
        <v/>
      </c>
      <c r="M20">
        <f>IF(I20&gt;0,"BUY / RFQ","NO BUY")</f>
        <v/>
      </c>
      <c r="N20">
        <f>IF(I20=0,"",IF(IFERROR(VLOOKUP(A20,'Component Catalogue'!$G$5:$T$76,10,FALSE),1)&gt;1,"PLAN EARLY","NORMAL"))</f>
        <v/>
      </c>
      <c r="O20">
        <f>K20</f>
        <v/>
      </c>
    </row>
    <row r="21">
      <c r="A21">
        <f>'Master Inventory'!A21</f>
        <v/>
      </c>
      <c r="B21">
        <f>'Master Inventory'!C21</f>
        <v/>
      </c>
      <c r="C21" s="72">
        <f>'Master Inventory'!E21</f>
        <v/>
      </c>
      <c r="D21" s="72">
        <f>'Master Inventory'!J21</f>
        <v/>
      </c>
      <c r="E21" s="72">
        <f>SUMIFS('BOM Mapping'!$J$4:$J$23,'BOM Mapping'!$C$4:$C$23,$A21,'BOM Mapping'!$I$4:$I$23,"Approved")*SUM('Monthly Materials'!$D$6:$D$41)+SUMIFS('BOM Mapping'!$K$4:$K$23,'BOM Mapping'!$D$4:$D$23,$A21,'BOM Mapping'!$I$4:$I$23,"Approved")*SUM('Monthly Materials'!$E$6:$E$41)+SUMIFS('BOM Mapping'!$L$4:$L$23,'BOM Mapping'!$E$4:$E$23,$A21,'BOM Mapping'!$I$4:$I$23,"Approved")*SUM('Monthly Materials'!$F$6:$F$41)</f>
        <v/>
      </c>
      <c r="F21" s="72">
        <f>SUMPRODUCT(('Sales Orders'!$E$4:$E$203="Longitude")*('Sales Orders'!$J$4:$J$203="Confirmed")*'Sales Orders'!$G$4:$G$203)*SUMIFS('BOM Mapping'!$J$4:$J$23,'BOM Mapping'!$C$4:$C$23,$A21)+SUMPRODUCT(('Sales Orders'!$E$4:$E$203="Latitude")*('Sales Orders'!$J$4:$J$203="Confirmed")*'Sales Orders'!$G$4:$G$203)*SUMIFS('BOM Mapping'!$K$4:$K$23,'BOM Mapping'!$D$4:$D$23,$A21)+SUMPRODUCT(('Sales Orders'!$E$4:$E$203="Altitude")*('Sales Orders'!$J$4:$J$203="Confirmed")*'Sales Orders'!$G$4:$G$203)*SUMIFS('BOM Mapping'!$L$4:$L$23,'BOM Mapping'!$E$4:$E$23,$A21)</f>
        <v/>
      </c>
      <c r="G21" s="73" t="n">
        <v>0</v>
      </c>
      <c r="H21" s="72">
        <f>MAX(E21,F21)+C21</f>
        <v/>
      </c>
      <c r="I21" s="72">
        <f>MAX(0,H21-D21-G21)</f>
        <v/>
      </c>
      <c r="J21" s="236">
        <f>'Master Inventory'!D21</f>
        <v/>
      </c>
      <c r="K21" s="236">
        <f>I21*J21</f>
        <v/>
      </c>
      <c r="L21">
        <f>IF(F21&gt;0,"P1 COMMITTED",IF(E21&gt;0,"P2 PLAN",IF(C21&gt;0,"P3 MSL","NONE")))</f>
        <v/>
      </c>
      <c r="M21">
        <f>IF(I21&gt;0,"BUY / RFQ","NO BUY")</f>
        <v/>
      </c>
      <c r="N21">
        <f>IF(I21=0,"",IF(IFERROR(VLOOKUP(A21,'Component Catalogue'!$G$5:$T$76,10,FALSE),1)&gt;1,"PLAN EARLY","NORMAL"))</f>
        <v/>
      </c>
      <c r="O21">
        <f>K21</f>
        <v/>
      </c>
    </row>
    <row r="22">
      <c r="A22">
        <f>'Master Inventory'!A22</f>
        <v/>
      </c>
      <c r="B22">
        <f>'Master Inventory'!C22</f>
        <v/>
      </c>
      <c r="C22" s="72">
        <f>'Master Inventory'!E22</f>
        <v/>
      </c>
      <c r="D22" s="72">
        <f>'Master Inventory'!J22</f>
        <v/>
      </c>
      <c r="E22" s="72">
        <f>SUMIFS('BOM Mapping'!$J$4:$J$23,'BOM Mapping'!$C$4:$C$23,$A22,'BOM Mapping'!$I$4:$I$23,"Approved")*SUM('Monthly Materials'!$D$6:$D$41)+SUMIFS('BOM Mapping'!$K$4:$K$23,'BOM Mapping'!$D$4:$D$23,$A22,'BOM Mapping'!$I$4:$I$23,"Approved")*SUM('Monthly Materials'!$E$6:$E$41)+SUMIFS('BOM Mapping'!$L$4:$L$23,'BOM Mapping'!$E$4:$E$23,$A22,'BOM Mapping'!$I$4:$I$23,"Approved")*SUM('Monthly Materials'!$F$6:$F$41)</f>
        <v/>
      </c>
      <c r="F22" s="72">
        <f>SUMPRODUCT(('Sales Orders'!$E$4:$E$203="Longitude")*('Sales Orders'!$J$4:$J$203="Confirmed")*'Sales Orders'!$G$4:$G$203)*SUMIFS('BOM Mapping'!$J$4:$J$23,'BOM Mapping'!$C$4:$C$23,$A22)+SUMPRODUCT(('Sales Orders'!$E$4:$E$203="Latitude")*('Sales Orders'!$J$4:$J$203="Confirmed")*'Sales Orders'!$G$4:$G$203)*SUMIFS('BOM Mapping'!$K$4:$K$23,'BOM Mapping'!$D$4:$D$23,$A22)+SUMPRODUCT(('Sales Orders'!$E$4:$E$203="Altitude")*('Sales Orders'!$J$4:$J$203="Confirmed")*'Sales Orders'!$G$4:$G$203)*SUMIFS('BOM Mapping'!$L$4:$L$23,'BOM Mapping'!$E$4:$E$23,$A22)</f>
        <v/>
      </c>
      <c r="G22" s="73" t="n">
        <v>0</v>
      </c>
      <c r="H22" s="72">
        <f>MAX(E22,F22)+C22</f>
        <v/>
      </c>
      <c r="I22" s="72">
        <f>MAX(0,H22-D22-G22)</f>
        <v/>
      </c>
      <c r="J22" s="236">
        <f>'Master Inventory'!D22</f>
        <v/>
      </c>
      <c r="K22" s="236">
        <f>I22*J22</f>
        <v/>
      </c>
      <c r="L22">
        <f>IF(F22&gt;0,"P1 COMMITTED",IF(E22&gt;0,"P2 PLAN",IF(C22&gt;0,"P3 MSL","NONE")))</f>
        <v/>
      </c>
      <c r="M22">
        <f>IF(I22&gt;0,"BUY / RFQ","NO BUY")</f>
        <v/>
      </c>
      <c r="N22">
        <f>IF(I22=0,"",IF(IFERROR(VLOOKUP(A22,'Component Catalogue'!$G$5:$T$76,10,FALSE),1)&gt;1,"PLAN EARLY","NORMAL"))</f>
        <v/>
      </c>
      <c r="O22">
        <f>K22</f>
        <v/>
      </c>
    </row>
    <row r="23">
      <c r="A23">
        <f>'Master Inventory'!A23</f>
        <v/>
      </c>
      <c r="B23">
        <f>'Master Inventory'!C23</f>
        <v/>
      </c>
      <c r="C23" s="72">
        <f>'Master Inventory'!E23</f>
        <v/>
      </c>
      <c r="D23" s="72">
        <f>'Master Inventory'!J23</f>
        <v/>
      </c>
      <c r="E23" s="72">
        <f>SUMIFS('BOM Mapping'!$J$4:$J$23,'BOM Mapping'!$C$4:$C$23,$A23,'BOM Mapping'!$I$4:$I$23,"Approved")*SUM('Monthly Materials'!$D$6:$D$41)+SUMIFS('BOM Mapping'!$K$4:$K$23,'BOM Mapping'!$D$4:$D$23,$A23,'BOM Mapping'!$I$4:$I$23,"Approved")*SUM('Monthly Materials'!$E$6:$E$41)+SUMIFS('BOM Mapping'!$L$4:$L$23,'BOM Mapping'!$E$4:$E$23,$A23,'BOM Mapping'!$I$4:$I$23,"Approved")*SUM('Monthly Materials'!$F$6:$F$41)</f>
        <v/>
      </c>
      <c r="F23" s="72">
        <f>SUMPRODUCT(('Sales Orders'!$E$4:$E$203="Longitude")*('Sales Orders'!$J$4:$J$203="Confirmed")*'Sales Orders'!$G$4:$G$203)*SUMIFS('BOM Mapping'!$J$4:$J$23,'BOM Mapping'!$C$4:$C$23,$A23)+SUMPRODUCT(('Sales Orders'!$E$4:$E$203="Latitude")*('Sales Orders'!$J$4:$J$203="Confirmed")*'Sales Orders'!$G$4:$G$203)*SUMIFS('BOM Mapping'!$K$4:$K$23,'BOM Mapping'!$D$4:$D$23,$A23)+SUMPRODUCT(('Sales Orders'!$E$4:$E$203="Altitude")*('Sales Orders'!$J$4:$J$203="Confirmed")*'Sales Orders'!$G$4:$G$203)*SUMIFS('BOM Mapping'!$L$4:$L$23,'BOM Mapping'!$E$4:$E$23,$A23)</f>
        <v/>
      </c>
      <c r="G23" s="73" t="n">
        <v>0</v>
      </c>
      <c r="H23" s="72">
        <f>MAX(E23,F23)+C23</f>
        <v/>
      </c>
      <c r="I23" s="72">
        <f>MAX(0,H23-D23-G23)</f>
        <v/>
      </c>
      <c r="J23" s="236">
        <f>'Master Inventory'!D23</f>
        <v/>
      </c>
      <c r="K23" s="236">
        <f>I23*J23</f>
        <v/>
      </c>
      <c r="L23">
        <f>IF(F23&gt;0,"P1 COMMITTED",IF(E23&gt;0,"P2 PLAN",IF(C23&gt;0,"P3 MSL","NONE")))</f>
        <v/>
      </c>
      <c r="M23">
        <f>IF(I23&gt;0,"BUY / RFQ","NO BUY")</f>
        <v/>
      </c>
      <c r="N23">
        <f>IF(I23=0,"",IF(IFERROR(VLOOKUP(A23,'Component Catalogue'!$G$5:$T$76,10,FALSE),1)&gt;1,"PLAN EARLY","NORMAL"))</f>
        <v/>
      </c>
      <c r="O23">
        <f>K23</f>
        <v/>
      </c>
    </row>
    <row r="24">
      <c r="A24">
        <f>'Master Inventory'!A24</f>
        <v/>
      </c>
      <c r="B24">
        <f>'Master Inventory'!C24</f>
        <v/>
      </c>
      <c r="C24" s="72">
        <f>'Master Inventory'!E24</f>
        <v/>
      </c>
      <c r="D24" s="72">
        <f>'Master Inventory'!J24</f>
        <v/>
      </c>
      <c r="E24" s="72">
        <f>SUMIFS('BOM Mapping'!$J$4:$J$23,'BOM Mapping'!$C$4:$C$23,$A24,'BOM Mapping'!$I$4:$I$23,"Approved")*SUM('Monthly Materials'!$D$6:$D$41)+SUMIFS('BOM Mapping'!$K$4:$K$23,'BOM Mapping'!$D$4:$D$23,$A24,'BOM Mapping'!$I$4:$I$23,"Approved")*SUM('Monthly Materials'!$E$6:$E$41)+SUMIFS('BOM Mapping'!$L$4:$L$23,'BOM Mapping'!$E$4:$E$23,$A24,'BOM Mapping'!$I$4:$I$23,"Approved")*SUM('Monthly Materials'!$F$6:$F$41)</f>
        <v/>
      </c>
      <c r="F24" s="72">
        <f>SUMPRODUCT(('Sales Orders'!$E$4:$E$203="Longitude")*('Sales Orders'!$J$4:$J$203="Confirmed")*'Sales Orders'!$G$4:$G$203)*SUMIFS('BOM Mapping'!$J$4:$J$23,'BOM Mapping'!$C$4:$C$23,$A24)+SUMPRODUCT(('Sales Orders'!$E$4:$E$203="Latitude")*('Sales Orders'!$J$4:$J$203="Confirmed")*'Sales Orders'!$G$4:$G$203)*SUMIFS('BOM Mapping'!$K$4:$K$23,'BOM Mapping'!$D$4:$D$23,$A24)+SUMPRODUCT(('Sales Orders'!$E$4:$E$203="Altitude")*('Sales Orders'!$J$4:$J$203="Confirmed")*'Sales Orders'!$G$4:$G$203)*SUMIFS('BOM Mapping'!$L$4:$L$23,'BOM Mapping'!$E$4:$E$23,$A24)</f>
        <v/>
      </c>
      <c r="G24" s="73" t="n">
        <v>0</v>
      </c>
      <c r="H24" s="72">
        <f>MAX(E24,F24)+C24</f>
        <v/>
      </c>
      <c r="I24" s="72">
        <f>MAX(0,H24-D24-G24)</f>
        <v/>
      </c>
      <c r="J24" s="236">
        <f>'Master Inventory'!D24</f>
        <v/>
      </c>
      <c r="K24" s="236">
        <f>I24*J24</f>
        <v/>
      </c>
      <c r="L24">
        <f>IF(F24&gt;0,"P1 COMMITTED",IF(E24&gt;0,"P2 PLAN",IF(C24&gt;0,"P3 MSL","NONE")))</f>
        <v/>
      </c>
      <c r="M24">
        <f>IF(I24&gt;0,"BUY / RFQ","NO BUY")</f>
        <v/>
      </c>
      <c r="N24">
        <f>IF(I24=0,"",IF(IFERROR(VLOOKUP(A24,'Component Catalogue'!$G$5:$T$76,10,FALSE),1)&gt;1,"PLAN EARLY","NORMAL"))</f>
        <v/>
      </c>
      <c r="O24">
        <f>K24</f>
        <v/>
      </c>
    </row>
    <row r="25">
      <c r="A25">
        <f>'Master Inventory'!A25</f>
        <v/>
      </c>
      <c r="B25">
        <f>'Master Inventory'!C25</f>
        <v/>
      </c>
      <c r="C25" s="72">
        <f>'Master Inventory'!E25</f>
        <v/>
      </c>
      <c r="D25" s="72">
        <f>'Master Inventory'!J25</f>
        <v/>
      </c>
      <c r="E25" s="72">
        <f>SUMIFS('BOM Mapping'!$J$4:$J$23,'BOM Mapping'!$C$4:$C$23,$A25,'BOM Mapping'!$I$4:$I$23,"Approved")*SUM('Monthly Materials'!$D$6:$D$41)+SUMIFS('BOM Mapping'!$K$4:$K$23,'BOM Mapping'!$D$4:$D$23,$A25,'BOM Mapping'!$I$4:$I$23,"Approved")*SUM('Monthly Materials'!$E$6:$E$41)+SUMIFS('BOM Mapping'!$L$4:$L$23,'BOM Mapping'!$E$4:$E$23,$A25,'BOM Mapping'!$I$4:$I$23,"Approved")*SUM('Monthly Materials'!$F$6:$F$41)</f>
        <v/>
      </c>
      <c r="F25" s="72">
        <f>SUMPRODUCT(('Sales Orders'!$E$4:$E$203="Longitude")*('Sales Orders'!$J$4:$J$203="Confirmed")*'Sales Orders'!$G$4:$G$203)*SUMIFS('BOM Mapping'!$J$4:$J$23,'BOM Mapping'!$C$4:$C$23,$A25)+SUMPRODUCT(('Sales Orders'!$E$4:$E$203="Latitude")*('Sales Orders'!$J$4:$J$203="Confirmed")*'Sales Orders'!$G$4:$G$203)*SUMIFS('BOM Mapping'!$K$4:$K$23,'BOM Mapping'!$D$4:$D$23,$A25)+SUMPRODUCT(('Sales Orders'!$E$4:$E$203="Altitude")*('Sales Orders'!$J$4:$J$203="Confirmed")*'Sales Orders'!$G$4:$G$203)*SUMIFS('BOM Mapping'!$L$4:$L$23,'BOM Mapping'!$E$4:$E$23,$A25)</f>
        <v/>
      </c>
      <c r="G25" s="73" t="n">
        <v>0</v>
      </c>
      <c r="H25" s="72">
        <f>MAX(E25,F25)+C25</f>
        <v/>
      </c>
      <c r="I25" s="72">
        <f>MAX(0,H25-D25-G25)</f>
        <v/>
      </c>
      <c r="J25" s="236">
        <f>'Master Inventory'!D25</f>
        <v/>
      </c>
      <c r="K25" s="236">
        <f>I25*J25</f>
        <v/>
      </c>
      <c r="L25">
        <f>IF(F25&gt;0,"P1 COMMITTED",IF(E25&gt;0,"P2 PLAN",IF(C25&gt;0,"P3 MSL","NONE")))</f>
        <v/>
      </c>
      <c r="M25">
        <f>IF(I25&gt;0,"BUY / RFQ","NO BUY")</f>
        <v/>
      </c>
      <c r="N25">
        <f>IF(I25=0,"",IF(IFERROR(VLOOKUP(A25,'Component Catalogue'!$G$5:$T$76,10,FALSE),1)&gt;1,"PLAN EARLY","NORMAL"))</f>
        <v/>
      </c>
      <c r="O25">
        <f>K25</f>
        <v/>
      </c>
    </row>
    <row r="26">
      <c r="A26">
        <f>'Master Inventory'!A26</f>
        <v/>
      </c>
      <c r="B26">
        <f>'Master Inventory'!C26</f>
        <v/>
      </c>
      <c r="C26" s="72">
        <f>'Master Inventory'!E26</f>
        <v/>
      </c>
      <c r="D26" s="72">
        <f>'Master Inventory'!J26</f>
        <v/>
      </c>
      <c r="E26" s="72">
        <f>SUMIFS('BOM Mapping'!$J$4:$J$23,'BOM Mapping'!$C$4:$C$23,$A26,'BOM Mapping'!$I$4:$I$23,"Approved")*SUM('Monthly Materials'!$D$6:$D$41)+SUMIFS('BOM Mapping'!$K$4:$K$23,'BOM Mapping'!$D$4:$D$23,$A26,'BOM Mapping'!$I$4:$I$23,"Approved")*SUM('Monthly Materials'!$E$6:$E$41)+SUMIFS('BOM Mapping'!$L$4:$L$23,'BOM Mapping'!$E$4:$E$23,$A26,'BOM Mapping'!$I$4:$I$23,"Approved")*SUM('Monthly Materials'!$F$6:$F$41)</f>
        <v/>
      </c>
      <c r="F26" s="72">
        <f>SUMPRODUCT(('Sales Orders'!$E$4:$E$203="Longitude")*('Sales Orders'!$J$4:$J$203="Confirmed")*'Sales Orders'!$G$4:$G$203)*SUMIFS('BOM Mapping'!$J$4:$J$23,'BOM Mapping'!$C$4:$C$23,$A26)+SUMPRODUCT(('Sales Orders'!$E$4:$E$203="Latitude")*('Sales Orders'!$J$4:$J$203="Confirmed")*'Sales Orders'!$G$4:$G$203)*SUMIFS('BOM Mapping'!$K$4:$K$23,'BOM Mapping'!$D$4:$D$23,$A26)+SUMPRODUCT(('Sales Orders'!$E$4:$E$203="Altitude")*('Sales Orders'!$J$4:$J$203="Confirmed")*'Sales Orders'!$G$4:$G$203)*SUMIFS('BOM Mapping'!$L$4:$L$23,'BOM Mapping'!$E$4:$E$23,$A26)</f>
        <v/>
      </c>
      <c r="G26" s="73" t="n">
        <v>0</v>
      </c>
      <c r="H26" s="72">
        <f>MAX(E26,F26)+C26</f>
        <v/>
      </c>
      <c r="I26" s="72">
        <f>MAX(0,H26-D26-G26)</f>
        <v/>
      </c>
      <c r="J26" s="236">
        <f>'Master Inventory'!D26</f>
        <v/>
      </c>
      <c r="K26" s="236">
        <f>I26*J26</f>
        <v/>
      </c>
      <c r="L26">
        <f>IF(F26&gt;0,"P1 COMMITTED",IF(E26&gt;0,"P2 PLAN",IF(C26&gt;0,"P3 MSL","NONE")))</f>
        <v/>
      </c>
      <c r="M26">
        <f>IF(I26&gt;0,"BUY / RFQ","NO BUY")</f>
        <v/>
      </c>
      <c r="N26">
        <f>IF(I26=0,"",IF(IFERROR(VLOOKUP(A26,'Component Catalogue'!$G$5:$T$76,10,FALSE),1)&gt;1,"PLAN EARLY","NORMAL"))</f>
        <v/>
      </c>
      <c r="O26">
        <f>K26</f>
        <v/>
      </c>
    </row>
    <row r="27">
      <c r="A27">
        <f>'Master Inventory'!A27</f>
        <v/>
      </c>
      <c r="B27">
        <f>'Master Inventory'!C27</f>
        <v/>
      </c>
      <c r="C27" s="72">
        <f>'Master Inventory'!E27</f>
        <v/>
      </c>
      <c r="D27" s="72">
        <f>'Master Inventory'!J27</f>
        <v/>
      </c>
      <c r="E27" s="72">
        <f>SUMIFS('BOM Mapping'!$J$4:$J$23,'BOM Mapping'!$C$4:$C$23,$A27,'BOM Mapping'!$I$4:$I$23,"Approved")*SUM('Monthly Materials'!$D$6:$D$41)+SUMIFS('BOM Mapping'!$K$4:$K$23,'BOM Mapping'!$D$4:$D$23,$A27,'BOM Mapping'!$I$4:$I$23,"Approved")*SUM('Monthly Materials'!$E$6:$E$41)+SUMIFS('BOM Mapping'!$L$4:$L$23,'BOM Mapping'!$E$4:$E$23,$A27,'BOM Mapping'!$I$4:$I$23,"Approved")*SUM('Monthly Materials'!$F$6:$F$41)</f>
        <v/>
      </c>
      <c r="F27" s="72">
        <f>SUMPRODUCT(('Sales Orders'!$E$4:$E$203="Longitude")*('Sales Orders'!$J$4:$J$203="Confirmed")*'Sales Orders'!$G$4:$G$203)*SUMIFS('BOM Mapping'!$J$4:$J$23,'BOM Mapping'!$C$4:$C$23,$A27)+SUMPRODUCT(('Sales Orders'!$E$4:$E$203="Latitude")*('Sales Orders'!$J$4:$J$203="Confirmed")*'Sales Orders'!$G$4:$G$203)*SUMIFS('BOM Mapping'!$K$4:$K$23,'BOM Mapping'!$D$4:$D$23,$A27)+SUMPRODUCT(('Sales Orders'!$E$4:$E$203="Altitude")*('Sales Orders'!$J$4:$J$203="Confirmed")*'Sales Orders'!$G$4:$G$203)*SUMIFS('BOM Mapping'!$L$4:$L$23,'BOM Mapping'!$E$4:$E$23,$A27)</f>
        <v/>
      </c>
      <c r="G27" s="73" t="n">
        <v>0</v>
      </c>
      <c r="H27" s="72">
        <f>MAX(E27,F27)+C27</f>
        <v/>
      </c>
      <c r="I27" s="72">
        <f>MAX(0,H27-D27-G27)</f>
        <v/>
      </c>
      <c r="J27" s="236">
        <f>'Master Inventory'!D27</f>
        <v/>
      </c>
      <c r="K27" s="236">
        <f>I27*J27</f>
        <v/>
      </c>
      <c r="L27">
        <f>IF(F27&gt;0,"P1 COMMITTED",IF(E27&gt;0,"P2 PLAN",IF(C27&gt;0,"P3 MSL","NONE")))</f>
        <v/>
      </c>
      <c r="M27">
        <f>IF(I27&gt;0,"BUY / RFQ","NO BUY")</f>
        <v/>
      </c>
      <c r="N27">
        <f>IF(I27=0,"",IF(IFERROR(VLOOKUP(A27,'Component Catalogue'!$G$5:$T$76,10,FALSE),1)&gt;1,"PLAN EARLY","NORMAL"))</f>
        <v/>
      </c>
      <c r="O27">
        <f>K27</f>
        <v/>
      </c>
    </row>
    <row r="28">
      <c r="A28">
        <f>'Master Inventory'!A28</f>
        <v/>
      </c>
      <c r="B28">
        <f>'Master Inventory'!C28</f>
        <v/>
      </c>
      <c r="C28" s="72">
        <f>'Master Inventory'!E28</f>
        <v/>
      </c>
      <c r="D28" s="72">
        <f>'Master Inventory'!J28</f>
        <v/>
      </c>
      <c r="E28" s="72">
        <f>SUMIFS('BOM Mapping'!$J$4:$J$23,'BOM Mapping'!$C$4:$C$23,$A28,'BOM Mapping'!$I$4:$I$23,"Approved")*SUM('Monthly Materials'!$D$6:$D$41)+SUMIFS('BOM Mapping'!$K$4:$K$23,'BOM Mapping'!$D$4:$D$23,$A28,'BOM Mapping'!$I$4:$I$23,"Approved")*SUM('Monthly Materials'!$E$6:$E$41)+SUMIFS('BOM Mapping'!$L$4:$L$23,'BOM Mapping'!$E$4:$E$23,$A28,'BOM Mapping'!$I$4:$I$23,"Approved")*SUM('Monthly Materials'!$F$6:$F$41)</f>
        <v/>
      </c>
      <c r="F28" s="72">
        <f>SUMPRODUCT(('Sales Orders'!$E$4:$E$203="Longitude")*('Sales Orders'!$J$4:$J$203="Confirmed")*'Sales Orders'!$G$4:$G$203)*SUMIFS('BOM Mapping'!$J$4:$J$23,'BOM Mapping'!$C$4:$C$23,$A28)+SUMPRODUCT(('Sales Orders'!$E$4:$E$203="Latitude")*('Sales Orders'!$J$4:$J$203="Confirmed")*'Sales Orders'!$G$4:$G$203)*SUMIFS('BOM Mapping'!$K$4:$K$23,'BOM Mapping'!$D$4:$D$23,$A28)+SUMPRODUCT(('Sales Orders'!$E$4:$E$203="Altitude")*('Sales Orders'!$J$4:$J$203="Confirmed")*'Sales Orders'!$G$4:$G$203)*SUMIFS('BOM Mapping'!$L$4:$L$23,'BOM Mapping'!$E$4:$E$23,$A28)</f>
        <v/>
      </c>
      <c r="G28" s="73" t="n">
        <v>0</v>
      </c>
      <c r="H28" s="72">
        <f>MAX(E28,F28)+C28</f>
        <v/>
      </c>
      <c r="I28" s="72">
        <f>MAX(0,H28-D28-G28)</f>
        <v/>
      </c>
      <c r="J28" s="236">
        <f>'Master Inventory'!D28</f>
        <v/>
      </c>
      <c r="K28" s="236">
        <f>I28*J28</f>
        <v/>
      </c>
      <c r="L28">
        <f>IF(F28&gt;0,"P1 COMMITTED",IF(E28&gt;0,"P2 PLAN",IF(C28&gt;0,"P3 MSL","NONE")))</f>
        <v/>
      </c>
      <c r="M28">
        <f>IF(I28&gt;0,"BUY / RFQ","NO BUY")</f>
        <v/>
      </c>
      <c r="N28">
        <f>IF(I28=0,"",IF(IFERROR(VLOOKUP(A28,'Component Catalogue'!$G$5:$T$76,10,FALSE),1)&gt;1,"PLAN EARLY","NORMAL"))</f>
        <v/>
      </c>
      <c r="O28">
        <f>K28</f>
        <v/>
      </c>
    </row>
    <row r="29">
      <c r="A29">
        <f>'Master Inventory'!A29</f>
        <v/>
      </c>
      <c r="B29">
        <f>'Master Inventory'!C29</f>
        <v/>
      </c>
      <c r="C29" s="72">
        <f>'Master Inventory'!E29</f>
        <v/>
      </c>
      <c r="D29" s="72">
        <f>'Master Inventory'!J29</f>
        <v/>
      </c>
      <c r="E29" s="72">
        <f>SUMIFS('BOM Mapping'!$J$4:$J$23,'BOM Mapping'!$C$4:$C$23,$A29,'BOM Mapping'!$I$4:$I$23,"Approved")*SUM('Monthly Materials'!$D$6:$D$41)+SUMIFS('BOM Mapping'!$K$4:$K$23,'BOM Mapping'!$D$4:$D$23,$A29,'BOM Mapping'!$I$4:$I$23,"Approved")*SUM('Monthly Materials'!$E$6:$E$41)+SUMIFS('BOM Mapping'!$L$4:$L$23,'BOM Mapping'!$E$4:$E$23,$A29,'BOM Mapping'!$I$4:$I$23,"Approved")*SUM('Monthly Materials'!$F$6:$F$41)</f>
        <v/>
      </c>
      <c r="F29" s="72">
        <f>SUMPRODUCT(('Sales Orders'!$E$4:$E$203="Longitude")*('Sales Orders'!$J$4:$J$203="Confirmed")*'Sales Orders'!$G$4:$G$203)*SUMIFS('BOM Mapping'!$J$4:$J$23,'BOM Mapping'!$C$4:$C$23,$A29)+SUMPRODUCT(('Sales Orders'!$E$4:$E$203="Latitude")*('Sales Orders'!$J$4:$J$203="Confirmed")*'Sales Orders'!$G$4:$G$203)*SUMIFS('BOM Mapping'!$K$4:$K$23,'BOM Mapping'!$D$4:$D$23,$A29)+SUMPRODUCT(('Sales Orders'!$E$4:$E$203="Altitude")*('Sales Orders'!$J$4:$J$203="Confirmed")*'Sales Orders'!$G$4:$G$203)*SUMIFS('BOM Mapping'!$L$4:$L$23,'BOM Mapping'!$E$4:$E$23,$A29)</f>
        <v/>
      </c>
      <c r="G29" s="73" t="n">
        <v>0</v>
      </c>
      <c r="H29" s="72">
        <f>MAX(E29,F29)+C29</f>
        <v/>
      </c>
      <c r="I29" s="72">
        <f>MAX(0,H29-D29-G29)</f>
        <v/>
      </c>
      <c r="J29" s="236">
        <f>'Master Inventory'!D29</f>
        <v/>
      </c>
      <c r="K29" s="236">
        <f>I29*J29</f>
        <v/>
      </c>
      <c r="L29">
        <f>IF(F29&gt;0,"P1 COMMITTED",IF(E29&gt;0,"P2 PLAN",IF(C29&gt;0,"P3 MSL","NONE")))</f>
        <v/>
      </c>
      <c r="M29">
        <f>IF(I29&gt;0,"BUY / RFQ","NO BUY")</f>
        <v/>
      </c>
      <c r="N29">
        <f>IF(I29=0,"",IF(IFERROR(VLOOKUP(A29,'Component Catalogue'!$G$5:$T$76,10,FALSE),1)&gt;1,"PLAN EARLY","NORMAL"))</f>
        <v/>
      </c>
      <c r="O29">
        <f>K29</f>
        <v/>
      </c>
    </row>
    <row r="30">
      <c r="A30">
        <f>'Master Inventory'!A30</f>
        <v/>
      </c>
      <c r="B30">
        <f>'Master Inventory'!C30</f>
        <v/>
      </c>
      <c r="C30" s="72">
        <f>'Master Inventory'!E30</f>
        <v/>
      </c>
      <c r="D30" s="72">
        <f>'Master Inventory'!J30</f>
        <v/>
      </c>
      <c r="E30" s="72">
        <f>SUMIFS('BOM Mapping'!$J$4:$J$23,'BOM Mapping'!$C$4:$C$23,$A30,'BOM Mapping'!$I$4:$I$23,"Approved")*SUM('Monthly Materials'!$D$6:$D$41)+SUMIFS('BOM Mapping'!$K$4:$K$23,'BOM Mapping'!$D$4:$D$23,$A30,'BOM Mapping'!$I$4:$I$23,"Approved")*SUM('Monthly Materials'!$E$6:$E$41)+SUMIFS('BOM Mapping'!$L$4:$L$23,'BOM Mapping'!$E$4:$E$23,$A30,'BOM Mapping'!$I$4:$I$23,"Approved")*SUM('Monthly Materials'!$F$6:$F$41)</f>
        <v/>
      </c>
      <c r="F30" s="72">
        <f>SUMPRODUCT(('Sales Orders'!$E$4:$E$203="Longitude")*('Sales Orders'!$J$4:$J$203="Confirmed")*'Sales Orders'!$G$4:$G$203)*SUMIFS('BOM Mapping'!$J$4:$J$23,'BOM Mapping'!$C$4:$C$23,$A30)+SUMPRODUCT(('Sales Orders'!$E$4:$E$203="Latitude")*('Sales Orders'!$J$4:$J$203="Confirmed")*'Sales Orders'!$G$4:$G$203)*SUMIFS('BOM Mapping'!$K$4:$K$23,'BOM Mapping'!$D$4:$D$23,$A30)+SUMPRODUCT(('Sales Orders'!$E$4:$E$203="Altitude")*('Sales Orders'!$J$4:$J$203="Confirmed")*'Sales Orders'!$G$4:$G$203)*SUMIFS('BOM Mapping'!$L$4:$L$23,'BOM Mapping'!$E$4:$E$23,$A30)</f>
        <v/>
      </c>
      <c r="G30" s="73" t="n">
        <v>0</v>
      </c>
      <c r="H30" s="72">
        <f>MAX(E30,F30)+C30</f>
        <v/>
      </c>
      <c r="I30" s="72">
        <f>MAX(0,H30-D30-G30)</f>
        <v/>
      </c>
      <c r="J30" s="236">
        <f>'Master Inventory'!D30</f>
        <v/>
      </c>
      <c r="K30" s="236">
        <f>I30*J30</f>
        <v/>
      </c>
      <c r="L30">
        <f>IF(F30&gt;0,"P1 COMMITTED",IF(E30&gt;0,"P2 PLAN",IF(C30&gt;0,"P3 MSL","NONE")))</f>
        <v/>
      </c>
      <c r="M30">
        <f>IF(I30&gt;0,"BUY / RFQ","NO BUY")</f>
        <v/>
      </c>
      <c r="N30">
        <f>IF(I30=0,"",IF(IFERROR(VLOOKUP(A30,'Component Catalogue'!$G$5:$T$76,10,FALSE),1)&gt;1,"PLAN EARLY","NORMAL"))</f>
        <v/>
      </c>
      <c r="O30">
        <f>K30</f>
        <v/>
      </c>
    </row>
    <row r="31">
      <c r="A31">
        <f>'Master Inventory'!A31</f>
        <v/>
      </c>
      <c r="B31">
        <f>'Master Inventory'!C31</f>
        <v/>
      </c>
      <c r="C31" s="72">
        <f>'Master Inventory'!E31</f>
        <v/>
      </c>
      <c r="D31" s="72">
        <f>'Master Inventory'!J31</f>
        <v/>
      </c>
      <c r="E31" s="72">
        <f>SUMIFS('BOM Mapping'!$J$4:$J$23,'BOM Mapping'!$C$4:$C$23,$A31,'BOM Mapping'!$I$4:$I$23,"Approved")*SUM('Monthly Materials'!$D$6:$D$41)+SUMIFS('BOM Mapping'!$K$4:$K$23,'BOM Mapping'!$D$4:$D$23,$A31,'BOM Mapping'!$I$4:$I$23,"Approved")*SUM('Monthly Materials'!$E$6:$E$41)+SUMIFS('BOM Mapping'!$L$4:$L$23,'BOM Mapping'!$E$4:$E$23,$A31,'BOM Mapping'!$I$4:$I$23,"Approved")*SUM('Monthly Materials'!$F$6:$F$41)</f>
        <v/>
      </c>
      <c r="F31" s="72">
        <f>SUMPRODUCT(('Sales Orders'!$E$4:$E$203="Longitude")*('Sales Orders'!$J$4:$J$203="Confirmed")*'Sales Orders'!$G$4:$G$203)*SUMIFS('BOM Mapping'!$J$4:$J$23,'BOM Mapping'!$C$4:$C$23,$A31)+SUMPRODUCT(('Sales Orders'!$E$4:$E$203="Latitude")*('Sales Orders'!$J$4:$J$203="Confirmed")*'Sales Orders'!$G$4:$G$203)*SUMIFS('BOM Mapping'!$K$4:$K$23,'BOM Mapping'!$D$4:$D$23,$A31)+SUMPRODUCT(('Sales Orders'!$E$4:$E$203="Altitude")*('Sales Orders'!$J$4:$J$203="Confirmed")*'Sales Orders'!$G$4:$G$203)*SUMIFS('BOM Mapping'!$L$4:$L$23,'BOM Mapping'!$E$4:$E$23,$A31)</f>
        <v/>
      </c>
      <c r="G31" s="73" t="n">
        <v>0</v>
      </c>
      <c r="H31" s="72">
        <f>MAX(E31,F31)+C31</f>
        <v/>
      </c>
      <c r="I31" s="72">
        <f>MAX(0,H31-D31-G31)</f>
        <v/>
      </c>
      <c r="J31" s="236">
        <f>'Master Inventory'!D31</f>
        <v/>
      </c>
      <c r="K31" s="236">
        <f>I31*J31</f>
        <v/>
      </c>
      <c r="L31">
        <f>IF(F31&gt;0,"P1 COMMITTED",IF(E31&gt;0,"P2 PLAN",IF(C31&gt;0,"P3 MSL","NONE")))</f>
        <v/>
      </c>
      <c r="M31">
        <f>IF(I31&gt;0,"BUY / RFQ","NO BUY")</f>
        <v/>
      </c>
      <c r="N31">
        <f>IF(I31=0,"",IF(IFERROR(VLOOKUP(A31,'Component Catalogue'!$G$5:$T$76,10,FALSE),1)&gt;1,"PLAN EARLY","NORMAL"))</f>
        <v/>
      </c>
      <c r="O31">
        <f>K31</f>
        <v/>
      </c>
    </row>
    <row r="32">
      <c r="A32">
        <f>'Master Inventory'!A32</f>
        <v/>
      </c>
      <c r="B32">
        <f>'Master Inventory'!C32</f>
        <v/>
      </c>
      <c r="C32" s="72">
        <f>'Master Inventory'!E32</f>
        <v/>
      </c>
      <c r="D32" s="72">
        <f>'Master Inventory'!J32</f>
        <v/>
      </c>
      <c r="E32" s="72">
        <f>SUMIFS('BOM Mapping'!$J$4:$J$23,'BOM Mapping'!$C$4:$C$23,$A32,'BOM Mapping'!$I$4:$I$23,"Approved")*SUM('Monthly Materials'!$D$6:$D$41)+SUMIFS('BOM Mapping'!$K$4:$K$23,'BOM Mapping'!$D$4:$D$23,$A32,'BOM Mapping'!$I$4:$I$23,"Approved")*SUM('Monthly Materials'!$E$6:$E$41)+SUMIFS('BOM Mapping'!$L$4:$L$23,'BOM Mapping'!$E$4:$E$23,$A32,'BOM Mapping'!$I$4:$I$23,"Approved")*SUM('Monthly Materials'!$F$6:$F$41)</f>
        <v/>
      </c>
      <c r="F32" s="72">
        <f>SUMPRODUCT(('Sales Orders'!$E$4:$E$203="Longitude")*('Sales Orders'!$J$4:$J$203="Confirmed")*'Sales Orders'!$G$4:$G$203)*SUMIFS('BOM Mapping'!$J$4:$J$23,'BOM Mapping'!$C$4:$C$23,$A32)+SUMPRODUCT(('Sales Orders'!$E$4:$E$203="Latitude")*('Sales Orders'!$J$4:$J$203="Confirmed")*'Sales Orders'!$G$4:$G$203)*SUMIFS('BOM Mapping'!$K$4:$K$23,'BOM Mapping'!$D$4:$D$23,$A32)+SUMPRODUCT(('Sales Orders'!$E$4:$E$203="Altitude")*('Sales Orders'!$J$4:$J$203="Confirmed")*'Sales Orders'!$G$4:$G$203)*SUMIFS('BOM Mapping'!$L$4:$L$23,'BOM Mapping'!$E$4:$E$23,$A32)</f>
        <v/>
      </c>
      <c r="G32" s="73" t="n">
        <v>0</v>
      </c>
      <c r="H32" s="72">
        <f>MAX(E32,F32)+C32</f>
        <v/>
      </c>
      <c r="I32" s="72">
        <f>MAX(0,H32-D32-G32)</f>
        <v/>
      </c>
      <c r="J32" s="236">
        <f>'Master Inventory'!D32</f>
        <v/>
      </c>
      <c r="K32" s="236">
        <f>I32*J32</f>
        <v/>
      </c>
      <c r="L32">
        <f>IF(F32&gt;0,"P1 COMMITTED",IF(E32&gt;0,"P2 PLAN",IF(C32&gt;0,"P3 MSL","NONE")))</f>
        <v/>
      </c>
      <c r="M32">
        <f>IF(I32&gt;0,"BUY / RFQ","NO BUY")</f>
        <v/>
      </c>
      <c r="N32">
        <f>IF(I32=0,"",IF(IFERROR(VLOOKUP(A32,'Component Catalogue'!$G$5:$T$76,10,FALSE),1)&gt;1,"PLAN EARLY","NORMAL"))</f>
        <v/>
      </c>
      <c r="O32">
        <f>K32</f>
        <v/>
      </c>
    </row>
    <row r="33">
      <c r="A33">
        <f>'Master Inventory'!A33</f>
        <v/>
      </c>
      <c r="B33">
        <f>'Master Inventory'!C33</f>
        <v/>
      </c>
      <c r="C33" s="72">
        <f>'Master Inventory'!E33</f>
        <v/>
      </c>
      <c r="D33" s="72">
        <f>'Master Inventory'!J33</f>
        <v/>
      </c>
      <c r="E33" s="72">
        <f>SUMIFS('BOM Mapping'!$J$4:$J$23,'BOM Mapping'!$C$4:$C$23,$A33,'BOM Mapping'!$I$4:$I$23,"Approved")*SUM('Monthly Materials'!$D$6:$D$41)+SUMIFS('BOM Mapping'!$K$4:$K$23,'BOM Mapping'!$D$4:$D$23,$A33,'BOM Mapping'!$I$4:$I$23,"Approved")*SUM('Monthly Materials'!$E$6:$E$41)+SUMIFS('BOM Mapping'!$L$4:$L$23,'BOM Mapping'!$E$4:$E$23,$A33,'BOM Mapping'!$I$4:$I$23,"Approved")*SUM('Monthly Materials'!$F$6:$F$41)</f>
        <v/>
      </c>
      <c r="F33" s="72">
        <f>SUMPRODUCT(('Sales Orders'!$E$4:$E$203="Longitude")*('Sales Orders'!$J$4:$J$203="Confirmed")*'Sales Orders'!$G$4:$G$203)*SUMIFS('BOM Mapping'!$J$4:$J$23,'BOM Mapping'!$C$4:$C$23,$A33)+SUMPRODUCT(('Sales Orders'!$E$4:$E$203="Latitude")*('Sales Orders'!$J$4:$J$203="Confirmed")*'Sales Orders'!$G$4:$G$203)*SUMIFS('BOM Mapping'!$K$4:$K$23,'BOM Mapping'!$D$4:$D$23,$A33)+SUMPRODUCT(('Sales Orders'!$E$4:$E$203="Altitude")*('Sales Orders'!$J$4:$J$203="Confirmed")*'Sales Orders'!$G$4:$G$203)*SUMIFS('BOM Mapping'!$L$4:$L$23,'BOM Mapping'!$E$4:$E$23,$A33)</f>
        <v/>
      </c>
      <c r="G33" s="73" t="n">
        <v>0</v>
      </c>
      <c r="H33" s="72">
        <f>MAX(E33,F33)+C33</f>
        <v/>
      </c>
      <c r="I33" s="72">
        <f>MAX(0,H33-D33-G33)</f>
        <v/>
      </c>
      <c r="J33" s="236">
        <f>'Master Inventory'!D33</f>
        <v/>
      </c>
      <c r="K33" s="236">
        <f>I33*J33</f>
        <v/>
      </c>
      <c r="L33">
        <f>IF(F33&gt;0,"P1 COMMITTED",IF(E33&gt;0,"P2 PLAN",IF(C33&gt;0,"P3 MSL","NONE")))</f>
        <v/>
      </c>
      <c r="M33">
        <f>IF(I33&gt;0,"BUY / RFQ","NO BUY")</f>
        <v/>
      </c>
      <c r="N33">
        <f>IF(I33=0,"",IF(IFERROR(VLOOKUP(A33,'Component Catalogue'!$G$5:$T$76,10,FALSE),1)&gt;1,"PLAN EARLY","NORMAL"))</f>
        <v/>
      </c>
      <c r="O33">
        <f>K33</f>
        <v/>
      </c>
    </row>
    <row r="34">
      <c r="A34">
        <f>'Master Inventory'!A34</f>
        <v/>
      </c>
      <c r="B34">
        <f>'Master Inventory'!C34</f>
        <v/>
      </c>
      <c r="C34" s="72">
        <f>'Master Inventory'!E34</f>
        <v/>
      </c>
      <c r="D34" s="72">
        <f>'Master Inventory'!J34</f>
        <v/>
      </c>
      <c r="E34" s="72">
        <f>SUMIFS('BOM Mapping'!$J$4:$J$23,'BOM Mapping'!$C$4:$C$23,$A34,'BOM Mapping'!$I$4:$I$23,"Approved")*SUM('Monthly Materials'!$D$6:$D$41)+SUMIFS('BOM Mapping'!$K$4:$K$23,'BOM Mapping'!$D$4:$D$23,$A34,'BOM Mapping'!$I$4:$I$23,"Approved")*SUM('Monthly Materials'!$E$6:$E$41)+SUMIFS('BOM Mapping'!$L$4:$L$23,'BOM Mapping'!$E$4:$E$23,$A34,'BOM Mapping'!$I$4:$I$23,"Approved")*SUM('Monthly Materials'!$F$6:$F$41)</f>
        <v/>
      </c>
      <c r="F34" s="72">
        <f>SUMPRODUCT(('Sales Orders'!$E$4:$E$203="Longitude")*('Sales Orders'!$J$4:$J$203="Confirmed")*'Sales Orders'!$G$4:$G$203)*SUMIFS('BOM Mapping'!$J$4:$J$23,'BOM Mapping'!$C$4:$C$23,$A34)+SUMPRODUCT(('Sales Orders'!$E$4:$E$203="Latitude")*('Sales Orders'!$J$4:$J$203="Confirmed")*'Sales Orders'!$G$4:$G$203)*SUMIFS('BOM Mapping'!$K$4:$K$23,'BOM Mapping'!$D$4:$D$23,$A34)+SUMPRODUCT(('Sales Orders'!$E$4:$E$203="Altitude")*('Sales Orders'!$J$4:$J$203="Confirmed")*'Sales Orders'!$G$4:$G$203)*SUMIFS('BOM Mapping'!$L$4:$L$23,'BOM Mapping'!$E$4:$E$23,$A34)</f>
        <v/>
      </c>
      <c r="G34" s="73" t="n">
        <v>0</v>
      </c>
      <c r="H34" s="72">
        <f>MAX(E34,F34)+C34</f>
        <v/>
      </c>
      <c r="I34" s="72">
        <f>MAX(0,H34-D34-G34)</f>
        <v/>
      </c>
      <c r="J34" s="236">
        <f>'Master Inventory'!D34</f>
        <v/>
      </c>
      <c r="K34" s="236">
        <f>I34*J34</f>
        <v/>
      </c>
      <c r="L34">
        <f>IF(F34&gt;0,"P1 COMMITTED",IF(E34&gt;0,"P2 PLAN",IF(C34&gt;0,"P3 MSL","NONE")))</f>
        <v/>
      </c>
      <c r="M34">
        <f>IF(I34&gt;0,"BUY / RFQ","NO BUY")</f>
        <v/>
      </c>
      <c r="N34">
        <f>IF(I34=0,"",IF(IFERROR(VLOOKUP(A34,'Component Catalogue'!$G$5:$T$76,10,FALSE),1)&gt;1,"PLAN EARLY","NORMAL"))</f>
        <v/>
      </c>
      <c r="O34">
        <f>K34</f>
        <v/>
      </c>
    </row>
    <row r="35">
      <c r="A35">
        <f>'Master Inventory'!A35</f>
        <v/>
      </c>
      <c r="B35">
        <f>'Master Inventory'!C35</f>
        <v/>
      </c>
      <c r="C35" s="72">
        <f>'Master Inventory'!E35</f>
        <v/>
      </c>
      <c r="D35" s="72">
        <f>'Master Inventory'!J35</f>
        <v/>
      </c>
      <c r="E35" s="72">
        <f>SUMIFS('BOM Mapping'!$J$4:$J$23,'BOM Mapping'!$C$4:$C$23,$A35,'BOM Mapping'!$I$4:$I$23,"Approved")*SUM('Monthly Materials'!$D$6:$D$41)+SUMIFS('BOM Mapping'!$K$4:$K$23,'BOM Mapping'!$D$4:$D$23,$A35,'BOM Mapping'!$I$4:$I$23,"Approved")*SUM('Monthly Materials'!$E$6:$E$41)+SUMIFS('BOM Mapping'!$L$4:$L$23,'BOM Mapping'!$E$4:$E$23,$A35,'BOM Mapping'!$I$4:$I$23,"Approved")*SUM('Monthly Materials'!$F$6:$F$41)</f>
        <v/>
      </c>
      <c r="F35" s="72">
        <f>SUMPRODUCT(('Sales Orders'!$E$4:$E$203="Longitude")*('Sales Orders'!$J$4:$J$203="Confirmed")*'Sales Orders'!$G$4:$G$203)*SUMIFS('BOM Mapping'!$J$4:$J$23,'BOM Mapping'!$C$4:$C$23,$A35)+SUMPRODUCT(('Sales Orders'!$E$4:$E$203="Latitude")*('Sales Orders'!$J$4:$J$203="Confirmed")*'Sales Orders'!$G$4:$G$203)*SUMIFS('BOM Mapping'!$K$4:$K$23,'BOM Mapping'!$D$4:$D$23,$A35)+SUMPRODUCT(('Sales Orders'!$E$4:$E$203="Altitude")*('Sales Orders'!$J$4:$J$203="Confirmed")*'Sales Orders'!$G$4:$G$203)*SUMIFS('BOM Mapping'!$L$4:$L$23,'BOM Mapping'!$E$4:$E$23,$A35)</f>
        <v/>
      </c>
      <c r="G35" s="73" t="n">
        <v>0</v>
      </c>
      <c r="H35" s="72">
        <f>MAX(E35,F35)+C35</f>
        <v/>
      </c>
      <c r="I35" s="72">
        <f>MAX(0,H35-D35-G35)</f>
        <v/>
      </c>
      <c r="J35" s="236">
        <f>'Master Inventory'!D35</f>
        <v/>
      </c>
      <c r="K35" s="236">
        <f>I35*J35</f>
        <v/>
      </c>
      <c r="L35">
        <f>IF(F35&gt;0,"P1 COMMITTED",IF(E35&gt;0,"P2 PLAN",IF(C35&gt;0,"P3 MSL","NONE")))</f>
        <v/>
      </c>
      <c r="M35">
        <f>IF(I35&gt;0,"BUY / RFQ","NO BUY")</f>
        <v/>
      </c>
      <c r="N35">
        <f>IF(I35=0,"",IF(IFERROR(VLOOKUP(A35,'Component Catalogue'!$G$5:$T$76,10,FALSE),1)&gt;1,"PLAN EARLY","NORMAL"))</f>
        <v/>
      </c>
      <c r="O35">
        <f>K35</f>
        <v/>
      </c>
    </row>
    <row r="36">
      <c r="A36">
        <f>'Master Inventory'!A36</f>
        <v/>
      </c>
      <c r="B36">
        <f>'Master Inventory'!C36</f>
        <v/>
      </c>
      <c r="C36" s="72">
        <f>'Master Inventory'!E36</f>
        <v/>
      </c>
      <c r="D36" s="72">
        <f>'Master Inventory'!J36</f>
        <v/>
      </c>
      <c r="E36" s="72">
        <f>SUMIFS('BOM Mapping'!$J$4:$J$23,'BOM Mapping'!$C$4:$C$23,$A36,'BOM Mapping'!$I$4:$I$23,"Approved")*SUM('Monthly Materials'!$D$6:$D$41)+SUMIFS('BOM Mapping'!$K$4:$K$23,'BOM Mapping'!$D$4:$D$23,$A36,'BOM Mapping'!$I$4:$I$23,"Approved")*SUM('Monthly Materials'!$E$6:$E$41)+SUMIFS('BOM Mapping'!$L$4:$L$23,'BOM Mapping'!$E$4:$E$23,$A36,'BOM Mapping'!$I$4:$I$23,"Approved")*SUM('Monthly Materials'!$F$6:$F$41)</f>
        <v/>
      </c>
      <c r="F36" s="72">
        <f>SUMPRODUCT(('Sales Orders'!$E$4:$E$203="Longitude")*('Sales Orders'!$J$4:$J$203="Confirmed")*'Sales Orders'!$G$4:$G$203)*SUMIFS('BOM Mapping'!$J$4:$J$23,'BOM Mapping'!$C$4:$C$23,$A36)+SUMPRODUCT(('Sales Orders'!$E$4:$E$203="Latitude")*('Sales Orders'!$J$4:$J$203="Confirmed")*'Sales Orders'!$G$4:$G$203)*SUMIFS('BOM Mapping'!$K$4:$K$23,'BOM Mapping'!$D$4:$D$23,$A36)+SUMPRODUCT(('Sales Orders'!$E$4:$E$203="Altitude")*('Sales Orders'!$J$4:$J$203="Confirmed")*'Sales Orders'!$G$4:$G$203)*SUMIFS('BOM Mapping'!$L$4:$L$23,'BOM Mapping'!$E$4:$E$23,$A36)</f>
        <v/>
      </c>
      <c r="G36" s="73" t="n">
        <v>0</v>
      </c>
      <c r="H36" s="72">
        <f>MAX(E36,F36)+C36</f>
        <v/>
      </c>
      <c r="I36" s="72">
        <f>MAX(0,H36-D36-G36)</f>
        <v/>
      </c>
      <c r="J36" s="236">
        <f>'Master Inventory'!D36</f>
        <v/>
      </c>
      <c r="K36" s="236">
        <f>I36*J36</f>
        <v/>
      </c>
      <c r="L36">
        <f>IF(F36&gt;0,"P1 COMMITTED",IF(E36&gt;0,"P2 PLAN",IF(C36&gt;0,"P3 MSL","NONE")))</f>
        <v/>
      </c>
      <c r="M36">
        <f>IF(I36&gt;0,"BUY / RFQ","NO BUY")</f>
        <v/>
      </c>
      <c r="N36">
        <f>IF(I36=0,"",IF(IFERROR(VLOOKUP(A36,'Component Catalogue'!$G$5:$T$76,10,FALSE),1)&gt;1,"PLAN EARLY","NORMAL"))</f>
        <v/>
      </c>
      <c r="O36">
        <f>K36</f>
        <v/>
      </c>
    </row>
    <row r="37">
      <c r="A37">
        <f>'Master Inventory'!A37</f>
        <v/>
      </c>
      <c r="B37">
        <f>'Master Inventory'!C37</f>
        <v/>
      </c>
      <c r="C37" s="72">
        <f>'Master Inventory'!E37</f>
        <v/>
      </c>
      <c r="D37" s="72">
        <f>'Master Inventory'!J37</f>
        <v/>
      </c>
      <c r="E37" s="72">
        <f>SUMIFS('BOM Mapping'!$J$4:$J$23,'BOM Mapping'!$C$4:$C$23,$A37,'BOM Mapping'!$I$4:$I$23,"Approved")*SUM('Monthly Materials'!$D$6:$D$41)+SUMIFS('BOM Mapping'!$K$4:$K$23,'BOM Mapping'!$D$4:$D$23,$A37,'BOM Mapping'!$I$4:$I$23,"Approved")*SUM('Monthly Materials'!$E$6:$E$41)+SUMIFS('BOM Mapping'!$L$4:$L$23,'BOM Mapping'!$E$4:$E$23,$A37,'BOM Mapping'!$I$4:$I$23,"Approved")*SUM('Monthly Materials'!$F$6:$F$41)</f>
        <v/>
      </c>
      <c r="F37" s="72">
        <f>SUMPRODUCT(('Sales Orders'!$E$4:$E$203="Longitude")*('Sales Orders'!$J$4:$J$203="Confirmed")*'Sales Orders'!$G$4:$G$203)*SUMIFS('BOM Mapping'!$J$4:$J$23,'BOM Mapping'!$C$4:$C$23,$A37)+SUMPRODUCT(('Sales Orders'!$E$4:$E$203="Latitude")*('Sales Orders'!$J$4:$J$203="Confirmed")*'Sales Orders'!$G$4:$G$203)*SUMIFS('BOM Mapping'!$K$4:$K$23,'BOM Mapping'!$D$4:$D$23,$A37)+SUMPRODUCT(('Sales Orders'!$E$4:$E$203="Altitude")*('Sales Orders'!$J$4:$J$203="Confirmed")*'Sales Orders'!$G$4:$G$203)*SUMIFS('BOM Mapping'!$L$4:$L$23,'BOM Mapping'!$E$4:$E$23,$A37)</f>
        <v/>
      </c>
      <c r="G37" s="73" t="n">
        <v>0</v>
      </c>
      <c r="H37" s="72">
        <f>MAX(E37,F37)+C37</f>
        <v/>
      </c>
      <c r="I37" s="72">
        <f>MAX(0,H37-D37-G37)</f>
        <v/>
      </c>
      <c r="J37" s="236">
        <f>'Master Inventory'!D37</f>
        <v/>
      </c>
      <c r="K37" s="236">
        <f>I37*J37</f>
        <v/>
      </c>
      <c r="L37">
        <f>IF(F37&gt;0,"P1 COMMITTED",IF(E37&gt;0,"P2 PLAN",IF(C37&gt;0,"P3 MSL","NONE")))</f>
        <v/>
      </c>
      <c r="M37">
        <f>IF(I37&gt;0,"BUY / RFQ","NO BUY")</f>
        <v/>
      </c>
      <c r="N37">
        <f>IF(I37=0,"",IF(IFERROR(VLOOKUP(A37,'Component Catalogue'!$G$5:$T$76,10,FALSE),1)&gt;1,"PLAN EARLY","NORMAL"))</f>
        <v/>
      </c>
      <c r="O37">
        <f>K37</f>
        <v/>
      </c>
    </row>
    <row r="38">
      <c r="A38">
        <f>'Master Inventory'!A38</f>
        <v/>
      </c>
      <c r="B38">
        <f>'Master Inventory'!C38</f>
        <v/>
      </c>
      <c r="C38" s="72">
        <f>'Master Inventory'!E38</f>
        <v/>
      </c>
      <c r="D38" s="72">
        <f>'Master Inventory'!J38</f>
        <v/>
      </c>
      <c r="E38" s="72">
        <f>SUMIFS('BOM Mapping'!$J$4:$J$23,'BOM Mapping'!$C$4:$C$23,$A38,'BOM Mapping'!$I$4:$I$23,"Approved")*SUM('Monthly Materials'!$D$6:$D$41)+SUMIFS('BOM Mapping'!$K$4:$K$23,'BOM Mapping'!$D$4:$D$23,$A38,'BOM Mapping'!$I$4:$I$23,"Approved")*SUM('Monthly Materials'!$E$6:$E$41)+SUMIFS('BOM Mapping'!$L$4:$L$23,'BOM Mapping'!$E$4:$E$23,$A38,'BOM Mapping'!$I$4:$I$23,"Approved")*SUM('Monthly Materials'!$F$6:$F$41)</f>
        <v/>
      </c>
      <c r="F38" s="72">
        <f>SUMPRODUCT(('Sales Orders'!$E$4:$E$203="Longitude")*('Sales Orders'!$J$4:$J$203="Confirmed")*'Sales Orders'!$G$4:$G$203)*SUMIFS('BOM Mapping'!$J$4:$J$23,'BOM Mapping'!$C$4:$C$23,$A38)+SUMPRODUCT(('Sales Orders'!$E$4:$E$203="Latitude")*('Sales Orders'!$J$4:$J$203="Confirmed")*'Sales Orders'!$G$4:$G$203)*SUMIFS('BOM Mapping'!$K$4:$K$23,'BOM Mapping'!$D$4:$D$23,$A38)+SUMPRODUCT(('Sales Orders'!$E$4:$E$203="Altitude")*('Sales Orders'!$J$4:$J$203="Confirmed")*'Sales Orders'!$G$4:$G$203)*SUMIFS('BOM Mapping'!$L$4:$L$23,'BOM Mapping'!$E$4:$E$23,$A38)</f>
        <v/>
      </c>
      <c r="G38" s="73" t="n">
        <v>0</v>
      </c>
      <c r="H38" s="72">
        <f>MAX(E38,F38)+C38</f>
        <v/>
      </c>
      <c r="I38" s="72">
        <f>MAX(0,H38-D38-G38)</f>
        <v/>
      </c>
      <c r="J38" s="236">
        <f>'Master Inventory'!D38</f>
        <v/>
      </c>
      <c r="K38" s="236">
        <f>I38*J38</f>
        <v/>
      </c>
      <c r="L38">
        <f>IF(F38&gt;0,"P1 COMMITTED",IF(E38&gt;0,"P2 PLAN",IF(C38&gt;0,"P3 MSL","NONE")))</f>
        <v/>
      </c>
      <c r="M38">
        <f>IF(I38&gt;0,"BUY / RFQ","NO BUY")</f>
        <v/>
      </c>
      <c r="N38">
        <f>IF(I38=0,"",IF(IFERROR(VLOOKUP(A38,'Component Catalogue'!$G$5:$T$76,10,FALSE),1)&gt;1,"PLAN EARLY","NORMAL"))</f>
        <v/>
      </c>
      <c r="O38">
        <f>K38</f>
        <v/>
      </c>
    </row>
    <row r="39">
      <c r="A39">
        <f>'Master Inventory'!A39</f>
        <v/>
      </c>
      <c r="B39">
        <f>'Master Inventory'!C39</f>
        <v/>
      </c>
      <c r="C39" s="72">
        <f>'Master Inventory'!E39</f>
        <v/>
      </c>
      <c r="D39" s="72">
        <f>'Master Inventory'!J39</f>
        <v/>
      </c>
      <c r="E39" s="72">
        <f>SUMIFS('BOM Mapping'!$J$4:$J$23,'BOM Mapping'!$C$4:$C$23,$A39,'BOM Mapping'!$I$4:$I$23,"Approved")*SUM('Monthly Materials'!$D$6:$D$41)+SUMIFS('BOM Mapping'!$K$4:$K$23,'BOM Mapping'!$D$4:$D$23,$A39,'BOM Mapping'!$I$4:$I$23,"Approved")*SUM('Monthly Materials'!$E$6:$E$41)+SUMIFS('BOM Mapping'!$L$4:$L$23,'BOM Mapping'!$E$4:$E$23,$A39,'BOM Mapping'!$I$4:$I$23,"Approved")*SUM('Monthly Materials'!$F$6:$F$41)</f>
        <v/>
      </c>
      <c r="F39" s="72">
        <f>SUMPRODUCT(('Sales Orders'!$E$4:$E$203="Longitude")*('Sales Orders'!$J$4:$J$203="Confirmed")*'Sales Orders'!$G$4:$G$203)*SUMIFS('BOM Mapping'!$J$4:$J$23,'BOM Mapping'!$C$4:$C$23,$A39)+SUMPRODUCT(('Sales Orders'!$E$4:$E$203="Latitude")*('Sales Orders'!$J$4:$J$203="Confirmed")*'Sales Orders'!$G$4:$G$203)*SUMIFS('BOM Mapping'!$K$4:$K$23,'BOM Mapping'!$D$4:$D$23,$A39)+SUMPRODUCT(('Sales Orders'!$E$4:$E$203="Altitude")*('Sales Orders'!$J$4:$J$203="Confirmed")*'Sales Orders'!$G$4:$G$203)*SUMIFS('BOM Mapping'!$L$4:$L$23,'BOM Mapping'!$E$4:$E$23,$A39)</f>
        <v/>
      </c>
      <c r="G39" s="73" t="n">
        <v>0</v>
      </c>
      <c r="H39" s="72">
        <f>MAX(E39,F39)+C39</f>
        <v/>
      </c>
      <c r="I39" s="72">
        <f>MAX(0,H39-D39-G39)</f>
        <v/>
      </c>
      <c r="J39" s="236">
        <f>'Master Inventory'!D39</f>
        <v/>
      </c>
      <c r="K39" s="236">
        <f>I39*J39</f>
        <v/>
      </c>
      <c r="L39">
        <f>IF(F39&gt;0,"P1 COMMITTED",IF(E39&gt;0,"P2 PLAN",IF(C39&gt;0,"P3 MSL","NONE")))</f>
        <v/>
      </c>
      <c r="M39">
        <f>IF(I39&gt;0,"BUY / RFQ","NO BUY")</f>
        <v/>
      </c>
      <c r="N39">
        <f>IF(I39=0,"",IF(IFERROR(VLOOKUP(A39,'Component Catalogue'!$G$5:$T$76,10,FALSE),1)&gt;1,"PLAN EARLY","NORMAL"))</f>
        <v/>
      </c>
      <c r="O39">
        <f>K39</f>
        <v/>
      </c>
    </row>
    <row r="40">
      <c r="A40">
        <f>'Master Inventory'!A40</f>
        <v/>
      </c>
      <c r="B40">
        <f>'Master Inventory'!C40</f>
        <v/>
      </c>
      <c r="C40" s="72">
        <f>'Master Inventory'!E40</f>
        <v/>
      </c>
      <c r="D40" s="72">
        <f>'Master Inventory'!J40</f>
        <v/>
      </c>
      <c r="E40" s="72">
        <f>SUMIFS('BOM Mapping'!$J$4:$J$23,'BOM Mapping'!$C$4:$C$23,$A40,'BOM Mapping'!$I$4:$I$23,"Approved")*SUM('Monthly Materials'!$D$6:$D$41)+SUMIFS('BOM Mapping'!$K$4:$K$23,'BOM Mapping'!$D$4:$D$23,$A40,'BOM Mapping'!$I$4:$I$23,"Approved")*SUM('Monthly Materials'!$E$6:$E$41)+SUMIFS('BOM Mapping'!$L$4:$L$23,'BOM Mapping'!$E$4:$E$23,$A40,'BOM Mapping'!$I$4:$I$23,"Approved")*SUM('Monthly Materials'!$F$6:$F$41)</f>
        <v/>
      </c>
      <c r="F40" s="72">
        <f>SUMPRODUCT(('Sales Orders'!$E$4:$E$203="Longitude")*('Sales Orders'!$J$4:$J$203="Confirmed")*'Sales Orders'!$G$4:$G$203)*SUMIFS('BOM Mapping'!$J$4:$J$23,'BOM Mapping'!$C$4:$C$23,$A40)+SUMPRODUCT(('Sales Orders'!$E$4:$E$203="Latitude")*('Sales Orders'!$J$4:$J$203="Confirmed")*'Sales Orders'!$G$4:$G$203)*SUMIFS('BOM Mapping'!$K$4:$K$23,'BOM Mapping'!$D$4:$D$23,$A40)+SUMPRODUCT(('Sales Orders'!$E$4:$E$203="Altitude")*('Sales Orders'!$J$4:$J$203="Confirmed")*'Sales Orders'!$G$4:$G$203)*SUMIFS('BOM Mapping'!$L$4:$L$23,'BOM Mapping'!$E$4:$E$23,$A40)</f>
        <v/>
      </c>
      <c r="G40" s="73" t="n">
        <v>0</v>
      </c>
      <c r="H40" s="72">
        <f>MAX(E40,F40)+C40</f>
        <v/>
      </c>
      <c r="I40" s="72">
        <f>MAX(0,H40-D40-G40)</f>
        <v/>
      </c>
      <c r="J40" s="236">
        <f>'Master Inventory'!D40</f>
        <v/>
      </c>
      <c r="K40" s="236">
        <f>I40*J40</f>
        <v/>
      </c>
      <c r="L40">
        <f>IF(F40&gt;0,"P1 COMMITTED",IF(E40&gt;0,"P2 PLAN",IF(C40&gt;0,"P3 MSL","NONE")))</f>
        <v/>
      </c>
      <c r="M40">
        <f>IF(I40&gt;0,"BUY / RFQ","NO BUY")</f>
        <v/>
      </c>
      <c r="N40">
        <f>IF(I40=0,"",IF(IFERROR(VLOOKUP(A40,'Component Catalogue'!$G$5:$T$76,10,FALSE),1)&gt;1,"PLAN EARLY","NORMAL"))</f>
        <v/>
      </c>
      <c r="O40">
        <f>K40</f>
        <v/>
      </c>
    </row>
    <row r="41">
      <c r="A41">
        <f>'Master Inventory'!A41</f>
        <v/>
      </c>
      <c r="B41">
        <f>'Master Inventory'!C41</f>
        <v/>
      </c>
      <c r="C41" s="72">
        <f>'Master Inventory'!E41</f>
        <v/>
      </c>
      <c r="D41" s="72">
        <f>'Master Inventory'!J41</f>
        <v/>
      </c>
      <c r="E41" s="72">
        <f>SUMIFS('BOM Mapping'!$J$4:$J$23,'BOM Mapping'!$C$4:$C$23,$A41,'BOM Mapping'!$I$4:$I$23,"Approved")*SUM('Monthly Materials'!$D$6:$D$41)+SUMIFS('BOM Mapping'!$K$4:$K$23,'BOM Mapping'!$D$4:$D$23,$A41,'BOM Mapping'!$I$4:$I$23,"Approved")*SUM('Monthly Materials'!$E$6:$E$41)+SUMIFS('BOM Mapping'!$L$4:$L$23,'BOM Mapping'!$E$4:$E$23,$A41,'BOM Mapping'!$I$4:$I$23,"Approved")*SUM('Monthly Materials'!$F$6:$F$41)</f>
        <v/>
      </c>
      <c r="F41" s="72">
        <f>SUMPRODUCT(('Sales Orders'!$E$4:$E$203="Longitude")*('Sales Orders'!$J$4:$J$203="Confirmed")*'Sales Orders'!$G$4:$G$203)*SUMIFS('BOM Mapping'!$J$4:$J$23,'BOM Mapping'!$C$4:$C$23,$A41)+SUMPRODUCT(('Sales Orders'!$E$4:$E$203="Latitude")*('Sales Orders'!$J$4:$J$203="Confirmed")*'Sales Orders'!$G$4:$G$203)*SUMIFS('BOM Mapping'!$K$4:$K$23,'BOM Mapping'!$D$4:$D$23,$A41)+SUMPRODUCT(('Sales Orders'!$E$4:$E$203="Altitude")*('Sales Orders'!$J$4:$J$203="Confirmed")*'Sales Orders'!$G$4:$G$203)*SUMIFS('BOM Mapping'!$L$4:$L$23,'BOM Mapping'!$E$4:$E$23,$A41)</f>
        <v/>
      </c>
      <c r="G41" s="73" t="n">
        <v>0</v>
      </c>
      <c r="H41" s="72">
        <f>MAX(E41,F41)+C41</f>
        <v/>
      </c>
      <c r="I41" s="72">
        <f>MAX(0,H41-D41-G41)</f>
        <v/>
      </c>
      <c r="J41" s="236">
        <f>'Master Inventory'!D41</f>
        <v/>
      </c>
      <c r="K41" s="236">
        <f>I41*J41</f>
        <v/>
      </c>
      <c r="L41">
        <f>IF(F41&gt;0,"P1 COMMITTED",IF(E41&gt;0,"P2 PLAN",IF(C41&gt;0,"P3 MSL","NONE")))</f>
        <v/>
      </c>
      <c r="M41">
        <f>IF(I41&gt;0,"BUY / RFQ","NO BUY")</f>
        <v/>
      </c>
      <c r="N41">
        <f>IF(I41=0,"",IF(IFERROR(VLOOKUP(A41,'Component Catalogue'!$G$5:$T$76,10,FALSE),1)&gt;1,"PLAN EARLY","NORMAL"))</f>
        <v/>
      </c>
      <c r="O41">
        <f>K41</f>
        <v/>
      </c>
    </row>
    <row r="42">
      <c r="A42">
        <f>'Master Inventory'!A42</f>
        <v/>
      </c>
      <c r="B42">
        <f>'Master Inventory'!C42</f>
        <v/>
      </c>
      <c r="C42" s="72">
        <f>'Master Inventory'!E42</f>
        <v/>
      </c>
      <c r="D42" s="72">
        <f>'Master Inventory'!J42</f>
        <v/>
      </c>
      <c r="E42" s="72">
        <f>SUMIFS('BOM Mapping'!$J$4:$J$23,'BOM Mapping'!$C$4:$C$23,$A42,'BOM Mapping'!$I$4:$I$23,"Approved")*SUM('Monthly Materials'!$D$6:$D$41)+SUMIFS('BOM Mapping'!$K$4:$K$23,'BOM Mapping'!$D$4:$D$23,$A42,'BOM Mapping'!$I$4:$I$23,"Approved")*SUM('Monthly Materials'!$E$6:$E$41)+SUMIFS('BOM Mapping'!$L$4:$L$23,'BOM Mapping'!$E$4:$E$23,$A42,'BOM Mapping'!$I$4:$I$23,"Approved")*SUM('Monthly Materials'!$F$6:$F$41)</f>
        <v/>
      </c>
      <c r="F42" s="72">
        <f>SUMPRODUCT(('Sales Orders'!$E$4:$E$203="Longitude")*('Sales Orders'!$J$4:$J$203="Confirmed")*'Sales Orders'!$G$4:$G$203)*SUMIFS('BOM Mapping'!$J$4:$J$23,'BOM Mapping'!$C$4:$C$23,$A42)+SUMPRODUCT(('Sales Orders'!$E$4:$E$203="Latitude")*('Sales Orders'!$J$4:$J$203="Confirmed")*'Sales Orders'!$G$4:$G$203)*SUMIFS('BOM Mapping'!$K$4:$K$23,'BOM Mapping'!$D$4:$D$23,$A42)+SUMPRODUCT(('Sales Orders'!$E$4:$E$203="Altitude")*('Sales Orders'!$J$4:$J$203="Confirmed")*'Sales Orders'!$G$4:$G$203)*SUMIFS('BOM Mapping'!$L$4:$L$23,'BOM Mapping'!$E$4:$E$23,$A42)</f>
        <v/>
      </c>
      <c r="G42" s="73" t="n">
        <v>0</v>
      </c>
      <c r="H42" s="72">
        <f>MAX(E42,F42)+C42</f>
        <v/>
      </c>
      <c r="I42" s="72">
        <f>MAX(0,H42-D42-G42)</f>
        <v/>
      </c>
      <c r="J42" s="236">
        <f>'Master Inventory'!D42</f>
        <v/>
      </c>
      <c r="K42" s="236">
        <f>I42*J42</f>
        <v/>
      </c>
      <c r="L42">
        <f>IF(F42&gt;0,"P1 COMMITTED",IF(E42&gt;0,"P2 PLAN",IF(C42&gt;0,"P3 MSL","NONE")))</f>
        <v/>
      </c>
      <c r="M42">
        <f>IF(I42&gt;0,"BUY / RFQ","NO BUY")</f>
        <v/>
      </c>
      <c r="N42">
        <f>IF(I42=0,"",IF(IFERROR(VLOOKUP(A42,'Component Catalogue'!$G$5:$T$76,10,FALSE),1)&gt;1,"PLAN EARLY","NORMAL"))</f>
        <v/>
      </c>
      <c r="O42">
        <f>K42</f>
        <v/>
      </c>
    </row>
    <row r="43">
      <c r="A43">
        <f>'Master Inventory'!A43</f>
        <v/>
      </c>
      <c r="B43">
        <f>'Master Inventory'!C43</f>
        <v/>
      </c>
      <c r="C43" s="72">
        <f>'Master Inventory'!E43</f>
        <v/>
      </c>
      <c r="D43" s="72">
        <f>'Master Inventory'!J43</f>
        <v/>
      </c>
      <c r="E43" s="72">
        <f>SUMIFS('BOM Mapping'!$J$4:$J$23,'BOM Mapping'!$C$4:$C$23,$A43,'BOM Mapping'!$I$4:$I$23,"Approved")*SUM('Monthly Materials'!$D$6:$D$41)+SUMIFS('BOM Mapping'!$K$4:$K$23,'BOM Mapping'!$D$4:$D$23,$A43,'BOM Mapping'!$I$4:$I$23,"Approved")*SUM('Monthly Materials'!$E$6:$E$41)+SUMIFS('BOM Mapping'!$L$4:$L$23,'BOM Mapping'!$E$4:$E$23,$A43,'BOM Mapping'!$I$4:$I$23,"Approved")*SUM('Monthly Materials'!$F$6:$F$41)</f>
        <v/>
      </c>
      <c r="F43" s="72">
        <f>SUMPRODUCT(('Sales Orders'!$E$4:$E$203="Longitude")*('Sales Orders'!$J$4:$J$203="Confirmed")*'Sales Orders'!$G$4:$G$203)*SUMIFS('BOM Mapping'!$J$4:$J$23,'BOM Mapping'!$C$4:$C$23,$A43)+SUMPRODUCT(('Sales Orders'!$E$4:$E$203="Latitude")*('Sales Orders'!$J$4:$J$203="Confirmed")*'Sales Orders'!$G$4:$G$203)*SUMIFS('BOM Mapping'!$K$4:$K$23,'BOM Mapping'!$D$4:$D$23,$A43)+SUMPRODUCT(('Sales Orders'!$E$4:$E$203="Altitude")*('Sales Orders'!$J$4:$J$203="Confirmed")*'Sales Orders'!$G$4:$G$203)*SUMIFS('BOM Mapping'!$L$4:$L$23,'BOM Mapping'!$E$4:$E$23,$A43)</f>
        <v/>
      </c>
      <c r="G43" s="73" t="n">
        <v>0</v>
      </c>
      <c r="H43" s="72">
        <f>MAX(E43,F43)+C43</f>
        <v/>
      </c>
      <c r="I43" s="72">
        <f>MAX(0,H43-D43-G43)</f>
        <v/>
      </c>
      <c r="J43" s="236">
        <f>'Master Inventory'!D43</f>
        <v/>
      </c>
      <c r="K43" s="236">
        <f>I43*J43</f>
        <v/>
      </c>
      <c r="L43">
        <f>IF(F43&gt;0,"P1 COMMITTED",IF(E43&gt;0,"P2 PLAN",IF(C43&gt;0,"P3 MSL","NONE")))</f>
        <v/>
      </c>
      <c r="M43">
        <f>IF(I43&gt;0,"BUY / RFQ","NO BUY")</f>
        <v/>
      </c>
      <c r="N43">
        <f>IF(I43=0,"",IF(IFERROR(VLOOKUP(A43,'Component Catalogue'!$G$5:$T$76,10,FALSE),1)&gt;1,"PLAN EARLY","NORMAL"))</f>
        <v/>
      </c>
      <c r="O43">
        <f>K43</f>
        <v/>
      </c>
    </row>
    <row r="44">
      <c r="A44">
        <f>'Master Inventory'!A44</f>
        <v/>
      </c>
      <c r="B44">
        <f>'Master Inventory'!C44</f>
        <v/>
      </c>
      <c r="C44" s="72">
        <f>'Master Inventory'!E44</f>
        <v/>
      </c>
      <c r="D44" s="72">
        <f>'Master Inventory'!J44</f>
        <v/>
      </c>
      <c r="E44" s="72">
        <f>SUMIFS('BOM Mapping'!$J$4:$J$23,'BOM Mapping'!$C$4:$C$23,$A44,'BOM Mapping'!$I$4:$I$23,"Approved")*SUM('Monthly Materials'!$D$6:$D$41)+SUMIFS('BOM Mapping'!$K$4:$K$23,'BOM Mapping'!$D$4:$D$23,$A44,'BOM Mapping'!$I$4:$I$23,"Approved")*SUM('Monthly Materials'!$E$6:$E$41)+SUMIFS('BOM Mapping'!$L$4:$L$23,'BOM Mapping'!$E$4:$E$23,$A44,'BOM Mapping'!$I$4:$I$23,"Approved")*SUM('Monthly Materials'!$F$6:$F$41)</f>
        <v/>
      </c>
      <c r="F44" s="72">
        <f>SUMPRODUCT(('Sales Orders'!$E$4:$E$203="Longitude")*('Sales Orders'!$J$4:$J$203="Confirmed")*'Sales Orders'!$G$4:$G$203)*SUMIFS('BOM Mapping'!$J$4:$J$23,'BOM Mapping'!$C$4:$C$23,$A44)+SUMPRODUCT(('Sales Orders'!$E$4:$E$203="Latitude")*('Sales Orders'!$J$4:$J$203="Confirmed")*'Sales Orders'!$G$4:$G$203)*SUMIFS('BOM Mapping'!$K$4:$K$23,'BOM Mapping'!$D$4:$D$23,$A44)+SUMPRODUCT(('Sales Orders'!$E$4:$E$203="Altitude")*('Sales Orders'!$J$4:$J$203="Confirmed")*'Sales Orders'!$G$4:$G$203)*SUMIFS('BOM Mapping'!$L$4:$L$23,'BOM Mapping'!$E$4:$E$23,$A44)</f>
        <v/>
      </c>
      <c r="G44" s="73" t="n">
        <v>0</v>
      </c>
      <c r="H44" s="72">
        <f>MAX(E44,F44)+C44</f>
        <v/>
      </c>
      <c r="I44" s="72">
        <f>MAX(0,H44-D44-G44)</f>
        <v/>
      </c>
      <c r="J44" s="236">
        <f>'Master Inventory'!D44</f>
        <v/>
      </c>
      <c r="K44" s="236">
        <f>I44*J44</f>
        <v/>
      </c>
      <c r="L44">
        <f>IF(F44&gt;0,"P1 COMMITTED",IF(E44&gt;0,"P2 PLAN",IF(C44&gt;0,"P3 MSL","NONE")))</f>
        <v/>
      </c>
      <c r="M44">
        <f>IF(I44&gt;0,"BUY / RFQ","NO BUY")</f>
        <v/>
      </c>
      <c r="N44">
        <f>IF(I44=0,"",IF(IFERROR(VLOOKUP(A44,'Component Catalogue'!$G$5:$T$76,10,FALSE),1)&gt;1,"PLAN EARLY","NORMAL"))</f>
        <v/>
      </c>
      <c r="O44">
        <f>K44</f>
        <v/>
      </c>
    </row>
    <row r="45">
      <c r="A45">
        <f>'Master Inventory'!A45</f>
        <v/>
      </c>
      <c r="B45">
        <f>'Master Inventory'!C45</f>
        <v/>
      </c>
      <c r="C45" s="72">
        <f>'Master Inventory'!E45</f>
        <v/>
      </c>
      <c r="D45" s="72">
        <f>'Master Inventory'!J45</f>
        <v/>
      </c>
      <c r="E45" s="72">
        <f>SUMIFS('BOM Mapping'!$J$4:$J$23,'BOM Mapping'!$C$4:$C$23,$A45,'BOM Mapping'!$I$4:$I$23,"Approved")*SUM('Monthly Materials'!$D$6:$D$41)+SUMIFS('BOM Mapping'!$K$4:$K$23,'BOM Mapping'!$D$4:$D$23,$A45,'BOM Mapping'!$I$4:$I$23,"Approved")*SUM('Monthly Materials'!$E$6:$E$41)+SUMIFS('BOM Mapping'!$L$4:$L$23,'BOM Mapping'!$E$4:$E$23,$A45,'BOM Mapping'!$I$4:$I$23,"Approved")*SUM('Monthly Materials'!$F$6:$F$41)</f>
        <v/>
      </c>
      <c r="F45" s="72">
        <f>SUMPRODUCT(('Sales Orders'!$E$4:$E$203="Longitude")*('Sales Orders'!$J$4:$J$203="Confirmed")*'Sales Orders'!$G$4:$G$203)*SUMIFS('BOM Mapping'!$J$4:$J$23,'BOM Mapping'!$C$4:$C$23,$A45)+SUMPRODUCT(('Sales Orders'!$E$4:$E$203="Latitude")*('Sales Orders'!$J$4:$J$203="Confirmed")*'Sales Orders'!$G$4:$G$203)*SUMIFS('BOM Mapping'!$K$4:$K$23,'BOM Mapping'!$D$4:$D$23,$A45)+SUMPRODUCT(('Sales Orders'!$E$4:$E$203="Altitude")*('Sales Orders'!$J$4:$J$203="Confirmed")*'Sales Orders'!$G$4:$G$203)*SUMIFS('BOM Mapping'!$L$4:$L$23,'BOM Mapping'!$E$4:$E$23,$A45)</f>
        <v/>
      </c>
      <c r="G45" s="73" t="n">
        <v>0</v>
      </c>
      <c r="H45" s="72">
        <f>MAX(E45,F45)+C45</f>
        <v/>
      </c>
      <c r="I45" s="72">
        <f>MAX(0,H45-D45-G45)</f>
        <v/>
      </c>
      <c r="J45" s="236">
        <f>'Master Inventory'!D45</f>
        <v/>
      </c>
      <c r="K45" s="236">
        <f>I45*J45</f>
        <v/>
      </c>
      <c r="L45">
        <f>IF(F45&gt;0,"P1 COMMITTED",IF(E45&gt;0,"P2 PLAN",IF(C45&gt;0,"P3 MSL","NONE")))</f>
        <v/>
      </c>
      <c r="M45">
        <f>IF(I45&gt;0,"BUY / RFQ","NO BUY")</f>
        <v/>
      </c>
      <c r="N45">
        <f>IF(I45=0,"",IF(IFERROR(VLOOKUP(A45,'Component Catalogue'!$G$5:$T$76,10,FALSE),1)&gt;1,"PLAN EARLY","NORMAL"))</f>
        <v/>
      </c>
      <c r="O45">
        <f>K45</f>
        <v/>
      </c>
    </row>
    <row r="46">
      <c r="A46">
        <f>'Master Inventory'!A46</f>
        <v/>
      </c>
      <c r="B46">
        <f>'Master Inventory'!C46</f>
        <v/>
      </c>
      <c r="C46" s="72">
        <f>'Master Inventory'!E46</f>
        <v/>
      </c>
      <c r="D46" s="72">
        <f>'Master Inventory'!J46</f>
        <v/>
      </c>
      <c r="E46" s="72">
        <f>SUMIFS('BOM Mapping'!$J$4:$J$23,'BOM Mapping'!$C$4:$C$23,$A46,'BOM Mapping'!$I$4:$I$23,"Approved")*SUM('Monthly Materials'!$D$6:$D$41)+SUMIFS('BOM Mapping'!$K$4:$K$23,'BOM Mapping'!$D$4:$D$23,$A46,'BOM Mapping'!$I$4:$I$23,"Approved")*SUM('Monthly Materials'!$E$6:$E$41)+SUMIFS('BOM Mapping'!$L$4:$L$23,'BOM Mapping'!$E$4:$E$23,$A46,'BOM Mapping'!$I$4:$I$23,"Approved")*SUM('Monthly Materials'!$F$6:$F$41)</f>
        <v/>
      </c>
      <c r="F46" s="72">
        <f>SUMPRODUCT(('Sales Orders'!$E$4:$E$203="Longitude")*('Sales Orders'!$J$4:$J$203="Confirmed")*'Sales Orders'!$G$4:$G$203)*SUMIFS('BOM Mapping'!$J$4:$J$23,'BOM Mapping'!$C$4:$C$23,$A46)+SUMPRODUCT(('Sales Orders'!$E$4:$E$203="Latitude")*('Sales Orders'!$J$4:$J$203="Confirmed")*'Sales Orders'!$G$4:$G$203)*SUMIFS('BOM Mapping'!$K$4:$K$23,'BOM Mapping'!$D$4:$D$23,$A46)+SUMPRODUCT(('Sales Orders'!$E$4:$E$203="Altitude")*('Sales Orders'!$J$4:$J$203="Confirmed")*'Sales Orders'!$G$4:$G$203)*SUMIFS('BOM Mapping'!$L$4:$L$23,'BOM Mapping'!$E$4:$E$23,$A46)</f>
        <v/>
      </c>
      <c r="G46" s="73" t="n">
        <v>0</v>
      </c>
      <c r="H46" s="72">
        <f>MAX(E46,F46)+C46</f>
        <v/>
      </c>
      <c r="I46" s="72">
        <f>MAX(0,H46-D46-G46)</f>
        <v/>
      </c>
      <c r="J46" s="236">
        <f>'Master Inventory'!D46</f>
        <v/>
      </c>
      <c r="K46" s="236">
        <f>I46*J46</f>
        <v/>
      </c>
      <c r="L46">
        <f>IF(F46&gt;0,"P1 COMMITTED",IF(E46&gt;0,"P2 PLAN",IF(C46&gt;0,"P3 MSL","NONE")))</f>
        <v/>
      </c>
      <c r="M46">
        <f>IF(I46&gt;0,"BUY / RFQ","NO BUY")</f>
        <v/>
      </c>
      <c r="N46">
        <f>IF(I46=0,"",IF(IFERROR(VLOOKUP(A46,'Component Catalogue'!$G$5:$T$76,10,FALSE),1)&gt;1,"PLAN EARLY","NORMAL"))</f>
        <v/>
      </c>
      <c r="O46">
        <f>K46</f>
        <v/>
      </c>
    </row>
    <row r="47">
      <c r="A47">
        <f>'Master Inventory'!A47</f>
        <v/>
      </c>
      <c r="B47">
        <f>'Master Inventory'!C47</f>
        <v/>
      </c>
      <c r="C47" s="72">
        <f>'Master Inventory'!E47</f>
        <v/>
      </c>
      <c r="D47" s="72">
        <f>'Master Inventory'!J47</f>
        <v/>
      </c>
      <c r="E47" s="72">
        <f>SUMIFS('BOM Mapping'!$J$4:$J$23,'BOM Mapping'!$C$4:$C$23,$A47,'BOM Mapping'!$I$4:$I$23,"Approved")*SUM('Monthly Materials'!$D$6:$D$41)+SUMIFS('BOM Mapping'!$K$4:$K$23,'BOM Mapping'!$D$4:$D$23,$A47,'BOM Mapping'!$I$4:$I$23,"Approved")*SUM('Monthly Materials'!$E$6:$E$41)+SUMIFS('BOM Mapping'!$L$4:$L$23,'BOM Mapping'!$E$4:$E$23,$A47,'BOM Mapping'!$I$4:$I$23,"Approved")*SUM('Monthly Materials'!$F$6:$F$41)</f>
        <v/>
      </c>
      <c r="F47" s="72">
        <f>SUMPRODUCT(('Sales Orders'!$E$4:$E$203="Longitude")*('Sales Orders'!$J$4:$J$203="Confirmed")*'Sales Orders'!$G$4:$G$203)*SUMIFS('BOM Mapping'!$J$4:$J$23,'BOM Mapping'!$C$4:$C$23,$A47)+SUMPRODUCT(('Sales Orders'!$E$4:$E$203="Latitude")*('Sales Orders'!$J$4:$J$203="Confirmed")*'Sales Orders'!$G$4:$G$203)*SUMIFS('BOM Mapping'!$K$4:$K$23,'BOM Mapping'!$D$4:$D$23,$A47)+SUMPRODUCT(('Sales Orders'!$E$4:$E$203="Altitude")*('Sales Orders'!$J$4:$J$203="Confirmed")*'Sales Orders'!$G$4:$G$203)*SUMIFS('BOM Mapping'!$L$4:$L$23,'BOM Mapping'!$E$4:$E$23,$A47)</f>
        <v/>
      </c>
      <c r="G47" s="73" t="n">
        <v>0</v>
      </c>
      <c r="H47" s="72">
        <f>MAX(E47,F47)+C47</f>
        <v/>
      </c>
      <c r="I47" s="72">
        <f>MAX(0,H47-D47-G47)</f>
        <v/>
      </c>
      <c r="J47" s="236">
        <f>'Master Inventory'!D47</f>
        <v/>
      </c>
      <c r="K47" s="236">
        <f>I47*J47</f>
        <v/>
      </c>
      <c r="L47">
        <f>IF(F47&gt;0,"P1 COMMITTED",IF(E47&gt;0,"P2 PLAN",IF(C47&gt;0,"P3 MSL","NONE")))</f>
        <v/>
      </c>
      <c r="M47">
        <f>IF(I47&gt;0,"BUY / RFQ","NO BUY")</f>
        <v/>
      </c>
      <c r="N47">
        <f>IF(I47=0,"",IF(IFERROR(VLOOKUP(A47,'Component Catalogue'!$G$5:$T$76,10,FALSE),1)&gt;1,"PLAN EARLY","NORMAL"))</f>
        <v/>
      </c>
      <c r="O47">
        <f>K47</f>
        <v/>
      </c>
    </row>
    <row r="48">
      <c r="A48">
        <f>'Master Inventory'!A48</f>
        <v/>
      </c>
      <c r="B48">
        <f>'Master Inventory'!C48</f>
        <v/>
      </c>
      <c r="C48" s="72">
        <f>'Master Inventory'!E48</f>
        <v/>
      </c>
      <c r="D48" s="72">
        <f>'Master Inventory'!J48</f>
        <v/>
      </c>
      <c r="E48" s="72">
        <f>SUMIFS('BOM Mapping'!$J$4:$J$23,'BOM Mapping'!$C$4:$C$23,$A48,'BOM Mapping'!$I$4:$I$23,"Approved")*SUM('Monthly Materials'!$D$6:$D$41)+SUMIFS('BOM Mapping'!$K$4:$K$23,'BOM Mapping'!$D$4:$D$23,$A48,'BOM Mapping'!$I$4:$I$23,"Approved")*SUM('Monthly Materials'!$E$6:$E$41)+SUMIFS('BOM Mapping'!$L$4:$L$23,'BOM Mapping'!$E$4:$E$23,$A48,'BOM Mapping'!$I$4:$I$23,"Approved")*SUM('Monthly Materials'!$F$6:$F$41)</f>
        <v/>
      </c>
      <c r="F48" s="72">
        <f>SUMPRODUCT(('Sales Orders'!$E$4:$E$203="Longitude")*('Sales Orders'!$J$4:$J$203="Confirmed")*'Sales Orders'!$G$4:$G$203)*SUMIFS('BOM Mapping'!$J$4:$J$23,'BOM Mapping'!$C$4:$C$23,$A48)+SUMPRODUCT(('Sales Orders'!$E$4:$E$203="Latitude")*('Sales Orders'!$J$4:$J$203="Confirmed")*'Sales Orders'!$G$4:$G$203)*SUMIFS('BOM Mapping'!$K$4:$K$23,'BOM Mapping'!$D$4:$D$23,$A48)+SUMPRODUCT(('Sales Orders'!$E$4:$E$203="Altitude")*('Sales Orders'!$J$4:$J$203="Confirmed")*'Sales Orders'!$G$4:$G$203)*SUMIFS('BOM Mapping'!$L$4:$L$23,'BOM Mapping'!$E$4:$E$23,$A48)</f>
        <v/>
      </c>
      <c r="G48" s="73" t="n">
        <v>0</v>
      </c>
      <c r="H48" s="72">
        <f>MAX(E48,F48)+C48</f>
        <v/>
      </c>
      <c r="I48" s="72">
        <f>MAX(0,H48-D48-G48)</f>
        <v/>
      </c>
      <c r="J48" s="236">
        <f>'Master Inventory'!D48</f>
        <v/>
      </c>
      <c r="K48" s="236">
        <f>I48*J48</f>
        <v/>
      </c>
      <c r="L48">
        <f>IF(F48&gt;0,"P1 COMMITTED",IF(E48&gt;0,"P2 PLAN",IF(C48&gt;0,"P3 MSL","NONE")))</f>
        <v/>
      </c>
      <c r="M48">
        <f>IF(I48&gt;0,"BUY / RFQ","NO BUY")</f>
        <v/>
      </c>
      <c r="N48">
        <f>IF(I48=0,"",IF(IFERROR(VLOOKUP(A48,'Component Catalogue'!$G$5:$T$76,10,FALSE),1)&gt;1,"PLAN EARLY","NORMAL"))</f>
        <v/>
      </c>
      <c r="O48">
        <f>K48</f>
        <v/>
      </c>
    </row>
    <row r="49">
      <c r="A49">
        <f>'Master Inventory'!A49</f>
        <v/>
      </c>
      <c r="B49">
        <f>'Master Inventory'!C49</f>
        <v/>
      </c>
      <c r="C49" s="72">
        <f>'Master Inventory'!E49</f>
        <v/>
      </c>
      <c r="D49" s="72">
        <f>'Master Inventory'!J49</f>
        <v/>
      </c>
      <c r="E49" s="72">
        <f>SUMIFS('BOM Mapping'!$J$4:$J$23,'BOM Mapping'!$C$4:$C$23,$A49,'BOM Mapping'!$I$4:$I$23,"Approved")*SUM('Monthly Materials'!$D$6:$D$41)+SUMIFS('BOM Mapping'!$K$4:$K$23,'BOM Mapping'!$D$4:$D$23,$A49,'BOM Mapping'!$I$4:$I$23,"Approved")*SUM('Monthly Materials'!$E$6:$E$41)+SUMIFS('BOM Mapping'!$L$4:$L$23,'BOM Mapping'!$E$4:$E$23,$A49,'BOM Mapping'!$I$4:$I$23,"Approved")*SUM('Monthly Materials'!$F$6:$F$41)</f>
        <v/>
      </c>
      <c r="F49" s="72">
        <f>SUMPRODUCT(('Sales Orders'!$E$4:$E$203="Longitude")*('Sales Orders'!$J$4:$J$203="Confirmed")*'Sales Orders'!$G$4:$G$203)*SUMIFS('BOM Mapping'!$J$4:$J$23,'BOM Mapping'!$C$4:$C$23,$A49)+SUMPRODUCT(('Sales Orders'!$E$4:$E$203="Latitude")*('Sales Orders'!$J$4:$J$203="Confirmed")*'Sales Orders'!$G$4:$G$203)*SUMIFS('BOM Mapping'!$K$4:$K$23,'BOM Mapping'!$D$4:$D$23,$A49)+SUMPRODUCT(('Sales Orders'!$E$4:$E$203="Altitude")*('Sales Orders'!$J$4:$J$203="Confirmed")*'Sales Orders'!$G$4:$G$203)*SUMIFS('BOM Mapping'!$L$4:$L$23,'BOM Mapping'!$E$4:$E$23,$A49)</f>
        <v/>
      </c>
      <c r="G49" s="73" t="n">
        <v>0</v>
      </c>
      <c r="H49" s="72">
        <f>MAX(E49,F49)+C49</f>
        <v/>
      </c>
      <c r="I49" s="72">
        <f>MAX(0,H49-D49-G49)</f>
        <v/>
      </c>
      <c r="J49" s="236">
        <f>'Master Inventory'!D49</f>
        <v/>
      </c>
      <c r="K49" s="236">
        <f>I49*J49</f>
        <v/>
      </c>
      <c r="L49">
        <f>IF(F49&gt;0,"P1 COMMITTED",IF(E49&gt;0,"P2 PLAN",IF(C49&gt;0,"P3 MSL","NONE")))</f>
        <v/>
      </c>
      <c r="M49">
        <f>IF(I49&gt;0,"BUY / RFQ","NO BUY")</f>
        <v/>
      </c>
      <c r="N49">
        <f>IF(I49=0,"",IF(IFERROR(VLOOKUP(A49,'Component Catalogue'!$G$5:$T$76,10,FALSE),1)&gt;1,"PLAN EARLY","NORMAL"))</f>
        <v/>
      </c>
      <c r="O49">
        <f>K49</f>
        <v/>
      </c>
    </row>
    <row r="50">
      <c r="A50">
        <f>'Master Inventory'!A50</f>
        <v/>
      </c>
      <c r="B50">
        <f>'Master Inventory'!C50</f>
        <v/>
      </c>
      <c r="C50" s="72">
        <f>'Master Inventory'!E50</f>
        <v/>
      </c>
      <c r="D50" s="72">
        <f>'Master Inventory'!J50</f>
        <v/>
      </c>
      <c r="E50" s="72">
        <f>SUMIFS('BOM Mapping'!$J$4:$J$23,'BOM Mapping'!$C$4:$C$23,$A50,'BOM Mapping'!$I$4:$I$23,"Approved")*SUM('Monthly Materials'!$D$6:$D$41)+SUMIFS('BOM Mapping'!$K$4:$K$23,'BOM Mapping'!$D$4:$D$23,$A50,'BOM Mapping'!$I$4:$I$23,"Approved")*SUM('Monthly Materials'!$E$6:$E$41)+SUMIFS('BOM Mapping'!$L$4:$L$23,'BOM Mapping'!$E$4:$E$23,$A50,'BOM Mapping'!$I$4:$I$23,"Approved")*SUM('Monthly Materials'!$F$6:$F$41)</f>
        <v/>
      </c>
      <c r="F50" s="72">
        <f>SUMPRODUCT(('Sales Orders'!$E$4:$E$203="Longitude")*('Sales Orders'!$J$4:$J$203="Confirmed")*'Sales Orders'!$G$4:$G$203)*SUMIFS('BOM Mapping'!$J$4:$J$23,'BOM Mapping'!$C$4:$C$23,$A50)+SUMPRODUCT(('Sales Orders'!$E$4:$E$203="Latitude")*('Sales Orders'!$J$4:$J$203="Confirmed")*'Sales Orders'!$G$4:$G$203)*SUMIFS('BOM Mapping'!$K$4:$K$23,'BOM Mapping'!$D$4:$D$23,$A50)+SUMPRODUCT(('Sales Orders'!$E$4:$E$203="Altitude")*('Sales Orders'!$J$4:$J$203="Confirmed")*'Sales Orders'!$G$4:$G$203)*SUMIFS('BOM Mapping'!$L$4:$L$23,'BOM Mapping'!$E$4:$E$23,$A50)</f>
        <v/>
      </c>
      <c r="G50" s="73" t="n">
        <v>0</v>
      </c>
      <c r="H50" s="72">
        <f>MAX(E50,F50)+C50</f>
        <v/>
      </c>
      <c r="I50" s="72">
        <f>MAX(0,H50-D50-G50)</f>
        <v/>
      </c>
      <c r="J50" s="236">
        <f>'Master Inventory'!D50</f>
        <v/>
      </c>
      <c r="K50" s="236">
        <f>I50*J50</f>
        <v/>
      </c>
      <c r="L50">
        <f>IF(F50&gt;0,"P1 COMMITTED",IF(E50&gt;0,"P2 PLAN",IF(C50&gt;0,"P3 MSL","NONE")))</f>
        <v/>
      </c>
      <c r="M50">
        <f>IF(I50&gt;0,"BUY / RFQ","NO BUY")</f>
        <v/>
      </c>
      <c r="N50">
        <f>IF(I50=0,"",IF(IFERROR(VLOOKUP(A50,'Component Catalogue'!$G$5:$T$76,10,FALSE),1)&gt;1,"PLAN EARLY","NORMAL"))</f>
        <v/>
      </c>
      <c r="O50">
        <f>K50</f>
        <v/>
      </c>
    </row>
    <row r="51">
      <c r="A51">
        <f>'Master Inventory'!A51</f>
        <v/>
      </c>
      <c r="B51">
        <f>'Master Inventory'!C51</f>
        <v/>
      </c>
      <c r="C51" s="72">
        <f>'Master Inventory'!E51</f>
        <v/>
      </c>
      <c r="D51" s="72">
        <f>'Master Inventory'!J51</f>
        <v/>
      </c>
      <c r="E51" s="72">
        <f>SUMIFS('BOM Mapping'!$J$4:$J$23,'BOM Mapping'!$C$4:$C$23,$A51,'BOM Mapping'!$I$4:$I$23,"Approved")*SUM('Monthly Materials'!$D$6:$D$41)+SUMIFS('BOM Mapping'!$K$4:$K$23,'BOM Mapping'!$D$4:$D$23,$A51,'BOM Mapping'!$I$4:$I$23,"Approved")*SUM('Monthly Materials'!$E$6:$E$41)+SUMIFS('BOM Mapping'!$L$4:$L$23,'BOM Mapping'!$E$4:$E$23,$A51,'BOM Mapping'!$I$4:$I$23,"Approved")*SUM('Monthly Materials'!$F$6:$F$41)</f>
        <v/>
      </c>
      <c r="F51" s="72">
        <f>SUMPRODUCT(('Sales Orders'!$E$4:$E$203="Longitude")*('Sales Orders'!$J$4:$J$203="Confirmed")*'Sales Orders'!$G$4:$G$203)*SUMIFS('BOM Mapping'!$J$4:$J$23,'BOM Mapping'!$C$4:$C$23,$A51)+SUMPRODUCT(('Sales Orders'!$E$4:$E$203="Latitude")*('Sales Orders'!$J$4:$J$203="Confirmed")*'Sales Orders'!$G$4:$G$203)*SUMIFS('BOM Mapping'!$K$4:$K$23,'BOM Mapping'!$D$4:$D$23,$A51)+SUMPRODUCT(('Sales Orders'!$E$4:$E$203="Altitude")*('Sales Orders'!$J$4:$J$203="Confirmed")*'Sales Orders'!$G$4:$G$203)*SUMIFS('BOM Mapping'!$L$4:$L$23,'BOM Mapping'!$E$4:$E$23,$A51)</f>
        <v/>
      </c>
      <c r="G51" s="73" t="n">
        <v>0</v>
      </c>
      <c r="H51" s="72">
        <f>MAX(E51,F51)+C51</f>
        <v/>
      </c>
      <c r="I51" s="72">
        <f>MAX(0,H51-D51-G51)</f>
        <v/>
      </c>
      <c r="J51" s="236">
        <f>'Master Inventory'!D51</f>
        <v/>
      </c>
      <c r="K51" s="236">
        <f>I51*J51</f>
        <v/>
      </c>
      <c r="L51">
        <f>IF(F51&gt;0,"P1 COMMITTED",IF(E51&gt;0,"P2 PLAN",IF(C51&gt;0,"P3 MSL","NONE")))</f>
        <v/>
      </c>
      <c r="M51">
        <f>IF(I51&gt;0,"BUY / RFQ","NO BUY")</f>
        <v/>
      </c>
      <c r="N51">
        <f>IF(I51=0,"",IF(IFERROR(VLOOKUP(A51,'Component Catalogue'!$G$5:$T$76,10,FALSE),1)&gt;1,"PLAN EARLY","NORMAL"))</f>
        <v/>
      </c>
      <c r="O51">
        <f>K51</f>
        <v/>
      </c>
    </row>
    <row r="52">
      <c r="A52">
        <f>'Master Inventory'!A52</f>
        <v/>
      </c>
      <c r="B52">
        <f>'Master Inventory'!C52</f>
        <v/>
      </c>
      <c r="C52" s="72">
        <f>'Master Inventory'!E52</f>
        <v/>
      </c>
      <c r="D52" s="72">
        <f>'Master Inventory'!J52</f>
        <v/>
      </c>
      <c r="E52" s="72">
        <f>SUMIFS('BOM Mapping'!$J$4:$J$23,'BOM Mapping'!$C$4:$C$23,$A52,'BOM Mapping'!$I$4:$I$23,"Approved")*SUM('Monthly Materials'!$D$6:$D$41)+SUMIFS('BOM Mapping'!$K$4:$K$23,'BOM Mapping'!$D$4:$D$23,$A52,'BOM Mapping'!$I$4:$I$23,"Approved")*SUM('Monthly Materials'!$E$6:$E$41)+SUMIFS('BOM Mapping'!$L$4:$L$23,'BOM Mapping'!$E$4:$E$23,$A52,'BOM Mapping'!$I$4:$I$23,"Approved")*SUM('Monthly Materials'!$F$6:$F$41)</f>
        <v/>
      </c>
      <c r="F52" s="72">
        <f>SUMPRODUCT(('Sales Orders'!$E$4:$E$203="Longitude")*('Sales Orders'!$J$4:$J$203="Confirmed")*'Sales Orders'!$G$4:$G$203)*SUMIFS('BOM Mapping'!$J$4:$J$23,'BOM Mapping'!$C$4:$C$23,$A52)+SUMPRODUCT(('Sales Orders'!$E$4:$E$203="Latitude")*('Sales Orders'!$J$4:$J$203="Confirmed")*'Sales Orders'!$G$4:$G$203)*SUMIFS('BOM Mapping'!$K$4:$K$23,'BOM Mapping'!$D$4:$D$23,$A52)+SUMPRODUCT(('Sales Orders'!$E$4:$E$203="Altitude")*('Sales Orders'!$J$4:$J$203="Confirmed")*'Sales Orders'!$G$4:$G$203)*SUMIFS('BOM Mapping'!$L$4:$L$23,'BOM Mapping'!$E$4:$E$23,$A52)</f>
        <v/>
      </c>
      <c r="G52" s="73" t="n">
        <v>0</v>
      </c>
      <c r="H52" s="72">
        <f>MAX(E52,F52)+C52</f>
        <v/>
      </c>
      <c r="I52" s="72">
        <f>MAX(0,H52-D52-G52)</f>
        <v/>
      </c>
      <c r="J52" s="236">
        <f>'Master Inventory'!D52</f>
        <v/>
      </c>
      <c r="K52" s="236">
        <f>I52*J52</f>
        <v/>
      </c>
      <c r="L52">
        <f>IF(F52&gt;0,"P1 COMMITTED",IF(E52&gt;0,"P2 PLAN",IF(C52&gt;0,"P3 MSL","NONE")))</f>
        <v/>
      </c>
      <c r="M52">
        <f>IF(I52&gt;0,"BUY / RFQ","NO BUY")</f>
        <v/>
      </c>
      <c r="N52">
        <f>IF(I52=0,"",IF(IFERROR(VLOOKUP(A52,'Component Catalogue'!$G$5:$T$76,10,FALSE),1)&gt;1,"PLAN EARLY","NORMAL"))</f>
        <v/>
      </c>
      <c r="O52">
        <f>K52</f>
        <v/>
      </c>
    </row>
    <row r="53">
      <c r="A53">
        <f>'Master Inventory'!A53</f>
        <v/>
      </c>
      <c r="B53">
        <f>'Master Inventory'!C53</f>
        <v/>
      </c>
      <c r="C53" s="72">
        <f>'Master Inventory'!E53</f>
        <v/>
      </c>
      <c r="D53" s="72">
        <f>'Master Inventory'!J53</f>
        <v/>
      </c>
      <c r="E53" s="72">
        <f>SUMIFS('BOM Mapping'!$J$4:$J$23,'BOM Mapping'!$C$4:$C$23,$A53,'BOM Mapping'!$I$4:$I$23,"Approved")*SUM('Monthly Materials'!$D$6:$D$41)+SUMIFS('BOM Mapping'!$K$4:$K$23,'BOM Mapping'!$D$4:$D$23,$A53,'BOM Mapping'!$I$4:$I$23,"Approved")*SUM('Monthly Materials'!$E$6:$E$41)+SUMIFS('BOM Mapping'!$L$4:$L$23,'BOM Mapping'!$E$4:$E$23,$A53,'BOM Mapping'!$I$4:$I$23,"Approved")*SUM('Monthly Materials'!$F$6:$F$41)</f>
        <v/>
      </c>
      <c r="F53" s="72">
        <f>SUMPRODUCT(('Sales Orders'!$E$4:$E$203="Longitude")*('Sales Orders'!$J$4:$J$203="Confirmed")*'Sales Orders'!$G$4:$G$203)*SUMIFS('BOM Mapping'!$J$4:$J$23,'BOM Mapping'!$C$4:$C$23,$A53)+SUMPRODUCT(('Sales Orders'!$E$4:$E$203="Latitude")*('Sales Orders'!$J$4:$J$203="Confirmed")*'Sales Orders'!$G$4:$G$203)*SUMIFS('BOM Mapping'!$K$4:$K$23,'BOM Mapping'!$D$4:$D$23,$A53)+SUMPRODUCT(('Sales Orders'!$E$4:$E$203="Altitude")*('Sales Orders'!$J$4:$J$203="Confirmed")*'Sales Orders'!$G$4:$G$203)*SUMIFS('BOM Mapping'!$L$4:$L$23,'BOM Mapping'!$E$4:$E$23,$A53)</f>
        <v/>
      </c>
      <c r="G53" s="73" t="n">
        <v>0</v>
      </c>
      <c r="H53" s="72">
        <f>MAX(E53,F53)+C53</f>
        <v/>
      </c>
      <c r="I53" s="72">
        <f>MAX(0,H53-D53-G53)</f>
        <v/>
      </c>
      <c r="J53" s="236">
        <f>'Master Inventory'!D53</f>
        <v/>
      </c>
      <c r="K53" s="236">
        <f>I53*J53</f>
        <v/>
      </c>
      <c r="L53">
        <f>IF(F53&gt;0,"P1 COMMITTED",IF(E53&gt;0,"P2 PLAN",IF(C53&gt;0,"P3 MSL","NONE")))</f>
        <v/>
      </c>
      <c r="M53">
        <f>IF(I53&gt;0,"BUY / RFQ","NO BUY")</f>
        <v/>
      </c>
      <c r="N53">
        <f>IF(I53=0,"",IF(IFERROR(VLOOKUP(A53,'Component Catalogue'!$G$5:$T$76,10,FALSE),1)&gt;1,"PLAN EARLY","NORMAL"))</f>
        <v/>
      </c>
      <c r="O53">
        <f>K53</f>
        <v/>
      </c>
    </row>
    <row r="54">
      <c r="A54">
        <f>'Master Inventory'!A54</f>
        <v/>
      </c>
      <c r="B54">
        <f>'Master Inventory'!C54</f>
        <v/>
      </c>
      <c r="C54" s="72">
        <f>'Master Inventory'!E54</f>
        <v/>
      </c>
      <c r="D54" s="72">
        <f>'Master Inventory'!J54</f>
        <v/>
      </c>
      <c r="E54" s="72">
        <f>SUMIFS('BOM Mapping'!$J$4:$J$23,'BOM Mapping'!$C$4:$C$23,$A54,'BOM Mapping'!$I$4:$I$23,"Approved")*SUM('Monthly Materials'!$D$6:$D$41)+SUMIFS('BOM Mapping'!$K$4:$K$23,'BOM Mapping'!$D$4:$D$23,$A54,'BOM Mapping'!$I$4:$I$23,"Approved")*SUM('Monthly Materials'!$E$6:$E$41)+SUMIFS('BOM Mapping'!$L$4:$L$23,'BOM Mapping'!$E$4:$E$23,$A54,'BOM Mapping'!$I$4:$I$23,"Approved")*SUM('Monthly Materials'!$F$6:$F$41)</f>
        <v/>
      </c>
      <c r="F54" s="72">
        <f>SUMPRODUCT(('Sales Orders'!$E$4:$E$203="Longitude")*('Sales Orders'!$J$4:$J$203="Confirmed")*'Sales Orders'!$G$4:$G$203)*SUMIFS('BOM Mapping'!$J$4:$J$23,'BOM Mapping'!$C$4:$C$23,$A54)+SUMPRODUCT(('Sales Orders'!$E$4:$E$203="Latitude")*('Sales Orders'!$J$4:$J$203="Confirmed")*'Sales Orders'!$G$4:$G$203)*SUMIFS('BOM Mapping'!$K$4:$K$23,'BOM Mapping'!$D$4:$D$23,$A54)+SUMPRODUCT(('Sales Orders'!$E$4:$E$203="Altitude")*('Sales Orders'!$J$4:$J$203="Confirmed")*'Sales Orders'!$G$4:$G$203)*SUMIFS('BOM Mapping'!$L$4:$L$23,'BOM Mapping'!$E$4:$E$23,$A54)</f>
        <v/>
      </c>
      <c r="G54" s="73" t="n">
        <v>0</v>
      </c>
      <c r="H54" s="72">
        <f>MAX(E54,F54)+C54</f>
        <v/>
      </c>
      <c r="I54" s="72">
        <f>MAX(0,H54-D54-G54)</f>
        <v/>
      </c>
      <c r="J54" s="236">
        <f>'Master Inventory'!D54</f>
        <v/>
      </c>
      <c r="K54" s="236">
        <f>I54*J54</f>
        <v/>
      </c>
      <c r="L54">
        <f>IF(F54&gt;0,"P1 COMMITTED",IF(E54&gt;0,"P2 PLAN",IF(C54&gt;0,"P3 MSL","NONE")))</f>
        <v/>
      </c>
      <c r="M54">
        <f>IF(I54&gt;0,"BUY / RFQ","NO BUY")</f>
        <v/>
      </c>
      <c r="N54">
        <f>IF(I54=0,"",IF(IFERROR(VLOOKUP(A54,'Component Catalogue'!$G$5:$T$76,10,FALSE),1)&gt;1,"PLAN EARLY","NORMAL"))</f>
        <v/>
      </c>
      <c r="O54">
        <f>K54</f>
        <v/>
      </c>
    </row>
    <row r="55">
      <c r="A55">
        <f>'Master Inventory'!A55</f>
        <v/>
      </c>
      <c r="B55">
        <f>'Master Inventory'!C55</f>
        <v/>
      </c>
      <c r="C55" s="72">
        <f>'Master Inventory'!E55</f>
        <v/>
      </c>
      <c r="D55" s="72">
        <f>'Master Inventory'!J55</f>
        <v/>
      </c>
      <c r="E55" s="72">
        <f>SUMIFS('BOM Mapping'!$J$4:$J$23,'BOM Mapping'!$C$4:$C$23,$A55,'BOM Mapping'!$I$4:$I$23,"Approved")*SUM('Monthly Materials'!$D$6:$D$41)+SUMIFS('BOM Mapping'!$K$4:$K$23,'BOM Mapping'!$D$4:$D$23,$A55,'BOM Mapping'!$I$4:$I$23,"Approved")*SUM('Monthly Materials'!$E$6:$E$41)+SUMIFS('BOM Mapping'!$L$4:$L$23,'BOM Mapping'!$E$4:$E$23,$A55,'BOM Mapping'!$I$4:$I$23,"Approved")*SUM('Monthly Materials'!$F$6:$F$41)</f>
        <v/>
      </c>
      <c r="F55" s="72">
        <f>SUMPRODUCT(('Sales Orders'!$E$4:$E$203="Longitude")*('Sales Orders'!$J$4:$J$203="Confirmed")*'Sales Orders'!$G$4:$G$203)*SUMIFS('BOM Mapping'!$J$4:$J$23,'BOM Mapping'!$C$4:$C$23,$A55)+SUMPRODUCT(('Sales Orders'!$E$4:$E$203="Latitude")*('Sales Orders'!$J$4:$J$203="Confirmed")*'Sales Orders'!$G$4:$G$203)*SUMIFS('BOM Mapping'!$K$4:$K$23,'BOM Mapping'!$D$4:$D$23,$A55)+SUMPRODUCT(('Sales Orders'!$E$4:$E$203="Altitude")*('Sales Orders'!$J$4:$J$203="Confirmed")*'Sales Orders'!$G$4:$G$203)*SUMIFS('BOM Mapping'!$L$4:$L$23,'BOM Mapping'!$E$4:$E$23,$A55)</f>
        <v/>
      </c>
      <c r="G55" s="73" t="n">
        <v>0</v>
      </c>
      <c r="H55" s="72">
        <f>MAX(E55,F55)+C55</f>
        <v/>
      </c>
      <c r="I55" s="72">
        <f>MAX(0,H55-D55-G55)</f>
        <v/>
      </c>
      <c r="J55" s="236">
        <f>'Master Inventory'!D55</f>
        <v/>
      </c>
      <c r="K55" s="236">
        <f>I55*J55</f>
        <v/>
      </c>
      <c r="L55">
        <f>IF(F55&gt;0,"P1 COMMITTED",IF(E55&gt;0,"P2 PLAN",IF(C55&gt;0,"P3 MSL","NONE")))</f>
        <v/>
      </c>
      <c r="M55">
        <f>IF(I55&gt;0,"BUY / RFQ","NO BUY")</f>
        <v/>
      </c>
      <c r="N55">
        <f>IF(I55=0,"",IF(IFERROR(VLOOKUP(A55,'Component Catalogue'!$G$5:$T$76,10,FALSE),1)&gt;1,"PLAN EARLY","NORMAL"))</f>
        <v/>
      </c>
      <c r="O55">
        <f>K55</f>
        <v/>
      </c>
    </row>
    <row r="56">
      <c r="A56">
        <f>'Master Inventory'!A56</f>
        <v/>
      </c>
      <c r="B56">
        <f>'Master Inventory'!C56</f>
        <v/>
      </c>
      <c r="C56" s="72">
        <f>'Master Inventory'!E56</f>
        <v/>
      </c>
      <c r="D56" s="72">
        <f>'Master Inventory'!J56</f>
        <v/>
      </c>
      <c r="E56" s="72">
        <f>SUMIFS('BOM Mapping'!$J$4:$J$23,'BOM Mapping'!$C$4:$C$23,$A56,'BOM Mapping'!$I$4:$I$23,"Approved")*SUM('Monthly Materials'!$D$6:$D$41)+SUMIFS('BOM Mapping'!$K$4:$K$23,'BOM Mapping'!$D$4:$D$23,$A56,'BOM Mapping'!$I$4:$I$23,"Approved")*SUM('Monthly Materials'!$E$6:$E$41)+SUMIFS('BOM Mapping'!$L$4:$L$23,'BOM Mapping'!$E$4:$E$23,$A56,'BOM Mapping'!$I$4:$I$23,"Approved")*SUM('Monthly Materials'!$F$6:$F$41)</f>
        <v/>
      </c>
      <c r="F56" s="72">
        <f>SUMPRODUCT(('Sales Orders'!$E$4:$E$203="Longitude")*('Sales Orders'!$J$4:$J$203="Confirmed")*'Sales Orders'!$G$4:$G$203)*SUMIFS('BOM Mapping'!$J$4:$J$23,'BOM Mapping'!$C$4:$C$23,$A56)+SUMPRODUCT(('Sales Orders'!$E$4:$E$203="Latitude")*('Sales Orders'!$J$4:$J$203="Confirmed")*'Sales Orders'!$G$4:$G$203)*SUMIFS('BOM Mapping'!$K$4:$K$23,'BOM Mapping'!$D$4:$D$23,$A56)+SUMPRODUCT(('Sales Orders'!$E$4:$E$203="Altitude")*('Sales Orders'!$J$4:$J$203="Confirmed")*'Sales Orders'!$G$4:$G$203)*SUMIFS('BOM Mapping'!$L$4:$L$23,'BOM Mapping'!$E$4:$E$23,$A56)</f>
        <v/>
      </c>
      <c r="G56" s="73" t="n">
        <v>0</v>
      </c>
      <c r="H56" s="72">
        <f>MAX(E56,F56)+C56</f>
        <v/>
      </c>
      <c r="I56" s="72">
        <f>MAX(0,H56-D56-G56)</f>
        <v/>
      </c>
      <c r="J56" s="236">
        <f>'Master Inventory'!D56</f>
        <v/>
      </c>
      <c r="K56" s="236">
        <f>I56*J56</f>
        <v/>
      </c>
      <c r="L56">
        <f>IF(F56&gt;0,"P1 COMMITTED",IF(E56&gt;0,"P2 PLAN",IF(C56&gt;0,"P3 MSL","NONE")))</f>
        <v/>
      </c>
      <c r="M56">
        <f>IF(I56&gt;0,"BUY / RFQ","NO BUY")</f>
        <v/>
      </c>
      <c r="N56">
        <f>IF(I56=0,"",IF(IFERROR(VLOOKUP(A56,'Component Catalogue'!$G$5:$T$76,10,FALSE),1)&gt;1,"PLAN EARLY","NORMAL"))</f>
        <v/>
      </c>
      <c r="O56">
        <f>K56</f>
        <v/>
      </c>
    </row>
    <row r="57">
      <c r="A57">
        <f>'Master Inventory'!A57</f>
        <v/>
      </c>
      <c r="B57">
        <f>'Master Inventory'!C57</f>
        <v/>
      </c>
      <c r="C57" s="72">
        <f>'Master Inventory'!E57</f>
        <v/>
      </c>
      <c r="D57" s="72">
        <f>'Master Inventory'!J57</f>
        <v/>
      </c>
      <c r="E57" s="72">
        <f>SUMIFS('BOM Mapping'!$J$4:$J$23,'BOM Mapping'!$C$4:$C$23,$A57,'BOM Mapping'!$I$4:$I$23,"Approved")*SUM('Monthly Materials'!$D$6:$D$41)+SUMIFS('BOM Mapping'!$K$4:$K$23,'BOM Mapping'!$D$4:$D$23,$A57,'BOM Mapping'!$I$4:$I$23,"Approved")*SUM('Monthly Materials'!$E$6:$E$41)+SUMIFS('BOM Mapping'!$L$4:$L$23,'BOM Mapping'!$E$4:$E$23,$A57,'BOM Mapping'!$I$4:$I$23,"Approved")*SUM('Monthly Materials'!$F$6:$F$41)</f>
        <v/>
      </c>
      <c r="F57" s="72">
        <f>SUMPRODUCT(('Sales Orders'!$E$4:$E$203="Longitude")*('Sales Orders'!$J$4:$J$203="Confirmed")*'Sales Orders'!$G$4:$G$203)*SUMIFS('BOM Mapping'!$J$4:$J$23,'BOM Mapping'!$C$4:$C$23,$A57)+SUMPRODUCT(('Sales Orders'!$E$4:$E$203="Latitude")*('Sales Orders'!$J$4:$J$203="Confirmed")*'Sales Orders'!$G$4:$G$203)*SUMIFS('BOM Mapping'!$K$4:$K$23,'BOM Mapping'!$D$4:$D$23,$A57)+SUMPRODUCT(('Sales Orders'!$E$4:$E$203="Altitude")*('Sales Orders'!$J$4:$J$203="Confirmed")*'Sales Orders'!$G$4:$G$203)*SUMIFS('BOM Mapping'!$L$4:$L$23,'BOM Mapping'!$E$4:$E$23,$A57)</f>
        <v/>
      </c>
      <c r="G57" s="73" t="n">
        <v>0</v>
      </c>
      <c r="H57" s="72">
        <f>MAX(E57,F57)+C57</f>
        <v/>
      </c>
      <c r="I57" s="72">
        <f>MAX(0,H57-D57-G57)</f>
        <v/>
      </c>
      <c r="J57" s="236">
        <f>'Master Inventory'!D57</f>
        <v/>
      </c>
      <c r="K57" s="236">
        <f>I57*J57</f>
        <v/>
      </c>
      <c r="L57">
        <f>IF(F57&gt;0,"P1 COMMITTED",IF(E57&gt;0,"P2 PLAN",IF(C57&gt;0,"P3 MSL","NONE")))</f>
        <v/>
      </c>
      <c r="M57">
        <f>IF(I57&gt;0,"BUY / RFQ","NO BUY")</f>
        <v/>
      </c>
      <c r="N57">
        <f>IF(I57=0,"",IF(IFERROR(VLOOKUP(A57,'Component Catalogue'!$G$5:$T$76,10,FALSE),1)&gt;1,"PLAN EARLY","NORMAL"))</f>
        <v/>
      </c>
      <c r="O57">
        <f>K57</f>
        <v/>
      </c>
    </row>
    <row r="58">
      <c r="A58">
        <f>'Master Inventory'!A58</f>
        <v/>
      </c>
      <c r="B58">
        <f>'Master Inventory'!C58</f>
        <v/>
      </c>
      <c r="C58" s="72">
        <f>'Master Inventory'!E58</f>
        <v/>
      </c>
      <c r="D58" s="72">
        <f>'Master Inventory'!J58</f>
        <v/>
      </c>
      <c r="E58" s="72">
        <f>SUMIFS('BOM Mapping'!$J$4:$J$23,'BOM Mapping'!$C$4:$C$23,$A58,'BOM Mapping'!$I$4:$I$23,"Approved")*SUM('Monthly Materials'!$D$6:$D$41)+SUMIFS('BOM Mapping'!$K$4:$K$23,'BOM Mapping'!$D$4:$D$23,$A58,'BOM Mapping'!$I$4:$I$23,"Approved")*SUM('Monthly Materials'!$E$6:$E$41)+SUMIFS('BOM Mapping'!$L$4:$L$23,'BOM Mapping'!$E$4:$E$23,$A58,'BOM Mapping'!$I$4:$I$23,"Approved")*SUM('Monthly Materials'!$F$6:$F$41)</f>
        <v/>
      </c>
      <c r="F58" s="72">
        <f>SUMPRODUCT(('Sales Orders'!$E$4:$E$203="Longitude")*('Sales Orders'!$J$4:$J$203="Confirmed")*'Sales Orders'!$G$4:$G$203)*SUMIFS('BOM Mapping'!$J$4:$J$23,'BOM Mapping'!$C$4:$C$23,$A58)+SUMPRODUCT(('Sales Orders'!$E$4:$E$203="Latitude")*('Sales Orders'!$J$4:$J$203="Confirmed")*'Sales Orders'!$G$4:$G$203)*SUMIFS('BOM Mapping'!$K$4:$K$23,'BOM Mapping'!$D$4:$D$23,$A58)+SUMPRODUCT(('Sales Orders'!$E$4:$E$203="Altitude")*('Sales Orders'!$J$4:$J$203="Confirmed")*'Sales Orders'!$G$4:$G$203)*SUMIFS('BOM Mapping'!$L$4:$L$23,'BOM Mapping'!$E$4:$E$23,$A58)</f>
        <v/>
      </c>
      <c r="G58" s="73" t="n">
        <v>0</v>
      </c>
      <c r="H58" s="72">
        <f>MAX(E58,F58)+C58</f>
        <v/>
      </c>
      <c r="I58" s="72">
        <f>MAX(0,H58-D58-G58)</f>
        <v/>
      </c>
      <c r="J58" s="236">
        <f>'Master Inventory'!D58</f>
        <v/>
      </c>
      <c r="K58" s="236">
        <f>I58*J58</f>
        <v/>
      </c>
      <c r="L58">
        <f>IF(F58&gt;0,"P1 COMMITTED",IF(E58&gt;0,"P2 PLAN",IF(C58&gt;0,"P3 MSL","NONE")))</f>
        <v/>
      </c>
      <c r="M58">
        <f>IF(I58&gt;0,"BUY / RFQ","NO BUY")</f>
        <v/>
      </c>
      <c r="N58">
        <f>IF(I58=0,"",IF(IFERROR(VLOOKUP(A58,'Component Catalogue'!$G$5:$T$76,10,FALSE),1)&gt;1,"PLAN EARLY","NORMAL"))</f>
        <v/>
      </c>
      <c r="O58">
        <f>K58</f>
        <v/>
      </c>
    </row>
    <row r="59">
      <c r="A59">
        <f>'Master Inventory'!A59</f>
        <v/>
      </c>
      <c r="B59">
        <f>'Master Inventory'!C59</f>
        <v/>
      </c>
      <c r="C59" s="72">
        <f>'Master Inventory'!E59</f>
        <v/>
      </c>
      <c r="D59" s="72">
        <f>'Master Inventory'!J59</f>
        <v/>
      </c>
      <c r="E59" s="72">
        <f>SUMIFS('BOM Mapping'!$J$4:$J$23,'BOM Mapping'!$C$4:$C$23,$A59,'BOM Mapping'!$I$4:$I$23,"Approved")*SUM('Monthly Materials'!$D$6:$D$41)+SUMIFS('BOM Mapping'!$K$4:$K$23,'BOM Mapping'!$D$4:$D$23,$A59,'BOM Mapping'!$I$4:$I$23,"Approved")*SUM('Monthly Materials'!$E$6:$E$41)+SUMIFS('BOM Mapping'!$L$4:$L$23,'BOM Mapping'!$E$4:$E$23,$A59,'BOM Mapping'!$I$4:$I$23,"Approved")*SUM('Monthly Materials'!$F$6:$F$41)</f>
        <v/>
      </c>
      <c r="F59" s="72">
        <f>SUMPRODUCT(('Sales Orders'!$E$4:$E$203="Longitude")*('Sales Orders'!$J$4:$J$203="Confirmed")*'Sales Orders'!$G$4:$G$203)*SUMIFS('BOM Mapping'!$J$4:$J$23,'BOM Mapping'!$C$4:$C$23,$A59)+SUMPRODUCT(('Sales Orders'!$E$4:$E$203="Latitude")*('Sales Orders'!$J$4:$J$203="Confirmed")*'Sales Orders'!$G$4:$G$203)*SUMIFS('BOM Mapping'!$K$4:$K$23,'BOM Mapping'!$D$4:$D$23,$A59)+SUMPRODUCT(('Sales Orders'!$E$4:$E$203="Altitude")*('Sales Orders'!$J$4:$J$203="Confirmed")*'Sales Orders'!$G$4:$G$203)*SUMIFS('BOM Mapping'!$L$4:$L$23,'BOM Mapping'!$E$4:$E$23,$A59)</f>
        <v/>
      </c>
      <c r="G59" s="73" t="n">
        <v>0</v>
      </c>
      <c r="H59" s="72">
        <f>MAX(E59,F59)+C59</f>
        <v/>
      </c>
      <c r="I59" s="72">
        <f>MAX(0,H59-D59-G59)</f>
        <v/>
      </c>
      <c r="J59" s="236">
        <f>'Master Inventory'!D59</f>
        <v/>
      </c>
      <c r="K59" s="236">
        <f>I59*J59</f>
        <v/>
      </c>
      <c r="L59">
        <f>IF(F59&gt;0,"P1 COMMITTED",IF(E59&gt;0,"P2 PLAN",IF(C59&gt;0,"P3 MSL","NONE")))</f>
        <v/>
      </c>
      <c r="M59">
        <f>IF(I59&gt;0,"BUY / RFQ","NO BUY")</f>
        <v/>
      </c>
      <c r="N59">
        <f>IF(I59=0,"",IF(IFERROR(VLOOKUP(A59,'Component Catalogue'!$G$5:$T$76,10,FALSE),1)&gt;1,"PLAN EARLY","NORMAL"))</f>
        <v/>
      </c>
      <c r="O59">
        <f>K59</f>
        <v/>
      </c>
    </row>
    <row r="60">
      <c r="A60">
        <f>'Master Inventory'!A60</f>
        <v/>
      </c>
      <c r="B60">
        <f>'Master Inventory'!C60</f>
        <v/>
      </c>
      <c r="C60" s="72">
        <f>'Master Inventory'!E60</f>
        <v/>
      </c>
      <c r="D60" s="72">
        <f>'Master Inventory'!J60</f>
        <v/>
      </c>
      <c r="E60" s="72">
        <f>SUMIFS('BOM Mapping'!$J$4:$J$23,'BOM Mapping'!$C$4:$C$23,$A60,'BOM Mapping'!$I$4:$I$23,"Approved")*SUM('Monthly Materials'!$D$6:$D$41)+SUMIFS('BOM Mapping'!$K$4:$K$23,'BOM Mapping'!$D$4:$D$23,$A60,'BOM Mapping'!$I$4:$I$23,"Approved")*SUM('Monthly Materials'!$E$6:$E$41)+SUMIFS('BOM Mapping'!$L$4:$L$23,'BOM Mapping'!$E$4:$E$23,$A60,'BOM Mapping'!$I$4:$I$23,"Approved")*SUM('Monthly Materials'!$F$6:$F$41)</f>
        <v/>
      </c>
      <c r="F60" s="72">
        <f>SUMPRODUCT(('Sales Orders'!$E$4:$E$203="Longitude")*('Sales Orders'!$J$4:$J$203="Confirmed")*'Sales Orders'!$G$4:$G$203)*SUMIFS('BOM Mapping'!$J$4:$J$23,'BOM Mapping'!$C$4:$C$23,$A60)+SUMPRODUCT(('Sales Orders'!$E$4:$E$203="Latitude")*('Sales Orders'!$J$4:$J$203="Confirmed")*'Sales Orders'!$G$4:$G$203)*SUMIFS('BOM Mapping'!$K$4:$K$23,'BOM Mapping'!$D$4:$D$23,$A60)+SUMPRODUCT(('Sales Orders'!$E$4:$E$203="Altitude")*('Sales Orders'!$J$4:$J$203="Confirmed")*'Sales Orders'!$G$4:$G$203)*SUMIFS('BOM Mapping'!$L$4:$L$23,'BOM Mapping'!$E$4:$E$23,$A60)</f>
        <v/>
      </c>
      <c r="G60" s="73" t="n">
        <v>0</v>
      </c>
      <c r="H60" s="72">
        <f>MAX(E60,F60)+C60</f>
        <v/>
      </c>
      <c r="I60" s="72">
        <f>MAX(0,H60-D60-G60)</f>
        <v/>
      </c>
      <c r="J60" s="236">
        <f>'Master Inventory'!D60</f>
        <v/>
      </c>
      <c r="K60" s="236">
        <f>I60*J60</f>
        <v/>
      </c>
      <c r="L60">
        <f>IF(F60&gt;0,"P1 COMMITTED",IF(E60&gt;0,"P2 PLAN",IF(C60&gt;0,"P3 MSL","NONE")))</f>
        <v/>
      </c>
      <c r="M60">
        <f>IF(I60&gt;0,"BUY / RFQ","NO BUY")</f>
        <v/>
      </c>
      <c r="N60">
        <f>IF(I60=0,"",IF(IFERROR(VLOOKUP(A60,'Component Catalogue'!$G$5:$T$76,10,FALSE),1)&gt;1,"PLAN EARLY","NORMAL"))</f>
        <v/>
      </c>
      <c r="O60">
        <f>K60</f>
        <v/>
      </c>
    </row>
    <row r="61">
      <c r="A61">
        <f>'Master Inventory'!A61</f>
        <v/>
      </c>
      <c r="B61">
        <f>'Master Inventory'!C61</f>
        <v/>
      </c>
      <c r="C61" s="72">
        <f>'Master Inventory'!E61</f>
        <v/>
      </c>
      <c r="D61" s="72">
        <f>'Master Inventory'!J61</f>
        <v/>
      </c>
      <c r="E61" s="72">
        <f>SUMIFS('BOM Mapping'!$J$4:$J$23,'BOM Mapping'!$C$4:$C$23,$A61,'BOM Mapping'!$I$4:$I$23,"Approved")*SUM('Monthly Materials'!$D$6:$D$41)+SUMIFS('BOM Mapping'!$K$4:$K$23,'BOM Mapping'!$D$4:$D$23,$A61,'BOM Mapping'!$I$4:$I$23,"Approved")*SUM('Monthly Materials'!$E$6:$E$41)+SUMIFS('BOM Mapping'!$L$4:$L$23,'BOM Mapping'!$E$4:$E$23,$A61,'BOM Mapping'!$I$4:$I$23,"Approved")*SUM('Monthly Materials'!$F$6:$F$41)</f>
        <v/>
      </c>
      <c r="F61" s="72">
        <f>SUMPRODUCT(('Sales Orders'!$E$4:$E$203="Longitude")*('Sales Orders'!$J$4:$J$203="Confirmed")*'Sales Orders'!$G$4:$G$203)*SUMIFS('BOM Mapping'!$J$4:$J$23,'BOM Mapping'!$C$4:$C$23,$A61)+SUMPRODUCT(('Sales Orders'!$E$4:$E$203="Latitude")*('Sales Orders'!$J$4:$J$203="Confirmed")*'Sales Orders'!$G$4:$G$203)*SUMIFS('BOM Mapping'!$K$4:$K$23,'BOM Mapping'!$D$4:$D$23,$A61)+SUMPRODUCT(('Sales Orders'!$E$4:$E$203="Altitude")*('Sales Orders'!$J$4:$J$203="Confirmed")*'Sales Orders'!$G$4:$G$203)*SUMIFS('BOM Mapping'!$L$4:$L$23,'BOM Mapping'!$E$4:$E$23,$A61)</f>
        <v/>
      </c>
      <c r="G61" s="73" t="n">
        <v>0</v>
      </c>
      <c r="H61" s="72">
        <f>MAX(E61,F61)+C61</f>
        <v/>
      </c>
      <c r="I61" s="72">
        <f>MAX(0,H61-D61-G61)</f>
        <v/>
      </c>
      <c r="J61" s="236">
        <f>'Master Inventory'!D61</f>
        <v/>
      </c>
      <c r="K61" s="236">
        <f>I61*J61</f>
        <v/>
      </c>
      <c r="L61">
        <f>IF(F61&gt;0,"P1 COMMITTED",IF(E61&gt;0,"P2 PLAN",IF(C61&gt;0,"P3 MSL","NONE")))</f>
        <v/>
      </c>
      <c r="M61">
        <f>IF(I61&gt;0,"BUY / RFQ","NO BUY")</f>
        <v/>
      </c>
      <c r="N61">
        <f>IF(I61=0,"",IF(IFERROR(VLOOKUP(A61,'Component Catalogue'!$G$5:$T$76,10,FALSE),1)&gt;1,"PLAN EARLY","NORMAL"))</f>
        <v/>
      </c>
      <c r="O61">
        <f>K61</f>
        <v/>
      </c>
    </row>
    <row r="62">
      <c r="A62">
        <f>'Master Inventory'!A62</f>
        <v/>
      </c>
      <c r="B62">
        <f>'Master Inventory'!C62</f>
        <v/>
      </c>
      <c r="C62" s="72">
        <f>'Master Inventory'!E62</f>
        <v/>
      </c>
      <c r="D62" s="72">
        <f>'Master Inventory'!J62</f>
        <v/>
      </c>
      <c r="E62" s="72">
        <f>SUMIFS('BOM Mapping'!$J$4:$J$23,'BOM Mapping'!$C$4:$C$23,$A62,'BOM Mapping'!$I$4:$I$23,"Approved")*SUM('Monthly Materials'!$D$6:$D$41)+SUMIFS('BOM Mapping'!$K$4:$K$23,'BOM Mapping'!$D$4:$D$23,$A62,'BOM Mapping'!$I$4:$I$23,"Approved")*SUM('Monthly Materials'!$E$6:$E$41)+SUMIFS('BOM Mapping'!$L$4:$L$23,'BOM Mapping'!$E$4:$E$23,$A62,'BOM Mapping'!$I$4:$I$23,"Approved")*SUM('Monthly Materials'!$F$6:$F$41)</f>
        <v/>
      </c>
      <c r="F62" s="72">
        <f>SUMPRODUCT(('Sales Orders'!$E$4:$E$203="Longitude")*('Sales Orders'!$J$4:$J$203="Confirmed")*'Sales Orders'!$G$4:$G$203)*SUMIFS('BOM Mapping'!$J$4:$J$23,'BOM Mapping'!$C$4:$C$23,$A62)+SUMPRODUCT(('Sales Orders'!$E$4:$E$203="Latitude")*('Sales Orders'!$J$4:$J$203="Confirmed")*'Sales Orders'!$G$4:$G$203)*SUMIFS('BOM Mapping'!$K$4:$K$23,'BOM Mapping'!$D$4:$D$23,$A62)+SUMPRODUCT(('Sales Orders'!$E$4:$E$203="Altitude")*('Sales Orders'!$J$4:$J$203="Confirmed")*'Sales Orders'!$G$4:$G$203)*SUMIFS('BOM Mapping'!$L$4:$L$23,'BOM Mapping'!$E$4:$E$23,$A62)</f>
        <v/>
      </c>
      <c r="G62" s="73" t="n">
        <v>0</v>
      </c>
      <c r="H62" s="72">
        <f>MAX(E62,F62)+C62</f>
        <v/>
      </c>
      <c r="I62" s="72">
        <f>MAX(0,H62-D62-G62)</f>
        <v/>
      </c>
      <c r="J62" s="236">
        <f>'Master Inventory'!D62</f>
        <v/>
      </c>
      <c r="K62" s="236">
        <f>I62*J62</f>
        <v/>
      </c>
      <c r="L62">
        <f>IF(F62&gt;0,"P1 COMMITTED",IF(E62&gt;0,"P2 PLAN",IF(C62&gt;0,"P3 MSL","NONE")))</f>
        <v/>
      </c>
      <c r="M62">
        <f>IF(I62&gt;0,"BUY / RFQ","NO BUY")</f>
        <v/>
      </c>
      <c r="N62">
        <f>IF(I62=0,"",IF(IFERROR(VLOOKUP(A62,'Component Catalogue'!$G$5:$T$76,10,FALSE),1)&gt;1,"PLAN EARLY","NORMAL"))</f>
        <v/>
      </c>
      <c r="O62">
        <f>K62</f>
        <v/>
      </c>
    </row>
    <row r="63">
      <c r="A63">
        <f>'Master Inventory'!A63</f>
        <v/>
      </c>
      <c r="B63">
        <f>'Master Inventory'!C63</f>
        <v/>
      </c>
      <c r="C63" s="72">
        <f>'Master Inventory'!E63</f>
        <v/>
      </c>
      <c r="D63" s="72">
        <f>'Master Inventory'!J63</f>
        <v/>
      </c>
      <c r="E63" s="72">
        <f>SUMIFS('BOM Mapping'!$J$4:$J$23,'BOM Mapping'!$C$4:$C$23,$A63,'BOM Mapping'!$I$4:$I$23,"Approved")*SUM('Monthly Materials'!$D$6:$D$41)+SUMIFS('BOM Mapping'!$K$4:$K$23,'BOM Mapping'!$D$4:$D$23,$A63,'BOM Mapping'!$I$4:$I$23,"Approved")*SUM('Monthly Materials'!$E$6:$E$41)+SUMIFS('BOM Mapping'!$L$4:$L$23,'BOM Mapping'!$E$4:$E$23,$A63,'BOM Mapping'!$I$4:$I$23,"Approved")*SUM('Monthly Materials'!$F$6:$F$41)</f>
        <v/>
      </c>
      <c r="F63" s="72">
        <f>SUMPRODUCT(('Sales Orders'!$E$4:$E$203="Longitude")*('Sales Orders'!$J$4:$J$203="Confirmed")*'Sales Orders'!$G$4:$G$203)*SUMIFS('BOM Mapping'!$J$4:$J$23,'BOM Mapping'!$C$4:$C$23,$A63)+SUMPRODUCT(('Sales Orders'!$E$4:$E$203="Latitude")*('Sales Orders'!$J$4:$J$203="Confirmed")*'Sales Orders'!$G$4:$G$203)*SUMIFS('BOM Mapping'!$K$4:$K$23,'BOM Mapping'!$D$4:$D$23,$A63)+SUMPRODUCT(('Sales Orders'!$E$4:$E$203="Altitude")*('Sales Orders'!$J$4:$J$203="Confirmed")*'Sales Orders'!$G$4:$G$203)*SUMIFS('BOM Mapping'!$L$4:$L$23,'BOM Mapping'!$E$4:$E$23,$A63)</f>
        <v/>
      </c>
      <c r="G63" s="73" t="n">
        <v>0</v>
      </c>
      <c r="H63" s="72">
        <f>MAX(E63,F63)+C63</f>
        <v/>
      </c>
      <c r="I63" s="72">
        <f>MAX(0,H63-D63-G63)</f>
        <v/>
      </c>
      <c r="J63" s="236">
        <f>'Master Inventory'!D63</f>
        <v/>
      </c>
      <c r="K63" s="236">
        <f>I63*J63</f>
        <v/>
      </c>
      <c r="L63">
        <f>IF(F63&gt;0,"P1 COMMITTED",IF(E63&gt;0,"P2 PLAN",IF(C63&gt;0,"P3 MSL","NONE")))</f>
        <v/>
      </c>
      <c r="M63">
        <f>IF(I63&gt;0,"BUY / RFQ","NO BUY")</f>
        <v/>
      </c>
      <c r="N63">
        <f>IF(I63=0,"",IF(IFERROR(VLOOKUP(A63,'Component Catalogue'!$G$5:$T$76,10,FALSE),1)&gt;1,"PLAN EARLY","NORMAL"))</f>
        <v/>
      </c>
      <c r="O63">
        <f>K63</f>
        <v/>
      </c>
    </row>
    <row r="64">
      <c r="A64">
        <f>'Master Inventory'!A64</f>
        <v/>
      </c>
      <c r="B64">
        <f>'Master Inventory'!C64</f>
        <v/>
      </c>
      <c r="C64" s="72">
        <f>'Master Inventory'!E64</f>
        <v/>
      </c>
      <c r="D64" s="72">
        <f>'Master Inventory'!J64</f>
        <v/>
      </c>
      <c r="E64" s="72">
        <f>SUMIFS('BOM Mapping'!$J$4:$J$23,'BOM Mapping'!$C$4:$C$23,$A64,'BOM Mapping'!$I$4:$I$23,"Approved")*SUM('Monthly Materials'!$D$6:$D$41)+SUMIFS('BOM Mapping'!$K$4:$K$23,'BOM Mapping'!$D$4:$D$23,$A64,'BOM Mapping'!$I$4:$I$23,"Approved")*SUM('Monthly Materials'!$E$6:$E$41)+SUMIFS('BOM Mapping'!$L$4:$L$23,'BOM Mapping'!$E$4:$E$23,$A64,'BOM Mapping'!$I$4:$I$23,"Approved")*SUM('Monthly Materials'!$F$6:$F$41)</f>
        <v/>
      </c>
      <c r="F64" s="72">
        <f>SUMPRODUCT(('Sales Orders'!$E$4:$E$203="Longitude")*('Sales Orders'!$J$4:$J$203="Confirmed")*'Sales Orders'!$G$4:$G$203)*SUMIFS('BOM Mapping'!$J$4:$J$23,'BOM Mapping'!$C$4:$C$23,$A64)+SUMPRODUCT(('Sales Orders'!$E$4:$E$203="Latitude")*('Sales Orders'!$J$4:$J$203="Confirmed")*'Sales Orders'!$G$4:$G$203)*SUMIFS('BOM Mapping'!$K$4:$K$23,'BOM Mapping'!$D$4:$D$23,$A64)+SUMPRODUCT(('Sales Orders'!$E$4:$E$203="Altitude")*('Sales Orders'!$J$4:$J$203="Confirmed")*'Sales Orders'!$G$4:$G$203)*SUMIFS('BOM Mapping'!$L$4:$L$23,'BOM Mapping'!$E$4:$E$23,$A64)</f>
        <v/>
      </c>
      <c r="G64" s="73" t="n">
        <v>0</v>
      </c>
      <c r="H64" s="72">
        <f>MAX(E64,F64)+C64</f>
        <v/>
      </c>
      <c r="I64" s="72">
        <f>MAX(0,H64-D64-G64)</f>
        <v/>
      </c>
      <c r="J64" s="236">
        <f>'Master Inventory'!D64</f>
        <v/>
      </c>
      <c r="K64" s="236">
        <f>I64*J64</f>
        <v/>
      </c>
      <c r="L64">
        <f>IF(F64&gt;0,"P1 COMMITTED",IF(E64&gt;0,"P2 PLAN",IF(C64&gt;0,"P3 MSL","NONE")))</f>
        <v/>
      </c>
      <c r="M64">
        <f>IF(I64&gt;0,"BUY / RFQ","NO BUY")</f>
        <v/>
      </c>
      <c r="N64">
        <f>IF(I64=0,"",IF(IFERROR(VLOOKUP(A64,'Component Catalogue'!$G$5:$T$76,10,FALSE),1)&gt;1,"PLAN EARLY","NORMAL"))</f>
        <v/>
      </c>
      <c r="O64">
        <f>K64</f>
        <v/>
      </c>
    </row>
    <row r="65">
      <c r="A65">
        <f>'Master Inventory'!A65</f>
        <v/>
      </c>
      <c r="B65">
        <f>'Master Inventory'!C65</f>
        <v/>
      </c>
      <c r="C65" s="72">
        <f>'Master Inventory'!E65</f>
        <v/>
      </c>
      <c r="D65" s="72">
        <f>'Master Inventory'!J65</f>
        <v/>
      </c>
      <c r="E65" s="72">
        <f>SUMIFS('BOM Mapping'!$J$4:$J$23,'BOM Mapping'!$C$4:$C$23,$A65,'BOM Mapping'!$I$4:$I$23,"Approved")*SUM('Monthly Materials'!$D$6:$D$41)+SUMIFS('BOM Mapping'!$K$4:$K$23,'BOM Mapping'!$D$4:$D$23,$A65,'BOM Mapping'!$I$4:$I$23,"Approved")*SUM('Monthly Materials'!$E$6:$E$41)+SUMIFS('BOM Mapping'!$L$4:$L$23,'BOM Mapping'!$E$4:$E$23,$A65,'BOM Mapping'!$I$4:$I$23,"Approved")*SUM('Monthly Materials'!$F$6:$F$41)</f>
        <v/>
      </c>
      <c r="F65" s="72">
        <f>SUMPRODUCT(('Sales Orders'!$E$4:$E$203="Longitude")*('Sales Orders'!$J$4:$J$203="Confirmed")*'Sales Orders'!$G$4:$G$203)*SUMIFS('BOM Mapping'!$J$4:$J$23,'BOM Mapping'!$C$4:$C$23,$A65)+SUMPRODUCT(('Sales Orders'!$E$4:$E$203="Latitude")*('Sales Orders'!$J$4:$J$203="Confirmed")*'Sales Orders'!$G$4:$G$203)*SUMIFS('BOM Mapping'!$K$4:$K$23,'BOM Mapping'!$D$4:$D$23,$A65)+SUMPRODUCT(('Sales Orders'!$E$4:$E$203="Altitude")*('Sales Orders'!$J$4:$J$203="Confirmed")*'Sales Orders'!$G$4:$G$203)*SUMIFS('BOM Mapping'!$L$4:$L$23,'BOM Mapping'!$E$4:$E$23,$A65)</f>
        <v/>
      </c>
      <c r="G65" s="73" t="n">
        <v>0</v>
      </c>
      <c r="H65" s="72">
        <f>MAX(E65,F65)+C65</f>
        <v/>
      </c>
      <c r="I65" s="72">
        <f>MAX(0,H65-D65-G65)</f>
        <v/>
      </c>
      <c r="J65" s="236">
        <f>'Master Inventory'!D65</f>
        <v/>
      </c>
      <c r="K65" s="236">
        <f>I65*J65</f>
        <v/>
      </c>
      <c r="L65">
        <f>IF(F65&gt;0,"P1 COMMITTED",IF(E65&gt;0,"P2 PLAN",IF(C65&gt;0,"P3 MSL","NONE")))</f>
        <v/>
      </c>
      <c r="M65">
        <f>IF(I65&gt;0,"BUY / RFQ","NO BUY")</f>
        <v/>
      </c>
      <c r="N65">
        <f>IF(I65=0,"",IF(IFERROR(VLOOKUP(A65,'Component Catalogue'!$G$5:$T$76,10,FALSE),1)&gt;1,"PLAN EARLY","NORMAL"))</f>
        <v/>
      </c>
      <c r="O65">
        <f>K65</f>
        <v/>
      </c>
    </row>
    <row r="66">
      <c r="A66">
        <f>'Master Inventory'!A66</f>
        <v/>
      </c>
      <c r="B66">
        <f>'Master Inventory'!C66</f>
        <v/>
      </c>
      <c r="C66" s="72">
        <f>'Master Inventory'!E66</f>
        <v/>
      </c>
      <c r="D66" s="72">
        <f>'Master Inventory'!J66</f>
        <v/>
      </c>
      <c r="E66" s="72">
        <f>SUMIFS('BOM Mapping'!$J$4:$J$23,'BOM Mapping'!$C$4:$C$23,$A66,'BOM Mapping'!$I$4:$I$23,"Approved")*SUM('Monthly Materials'!$D$6:$D$41)+SUMIFS('BOM Mapping'!$K$4:$K$23,'BOM Mapping'!$D$4:$D$23,$A66,'BOM Mapping'!$I$4:$I$23,"Approved")*SUM('Monthly Materials'!$E$6:$E$41)+SUMIFS('BOM Mapping'!$L$4:$L$23,'BOM Mapping'!$E$4:$E$23,$A66,'BOM Mapping'!$I$4:$I$23,"Approved")*SUM('Monthly Materials'!$F$6:$F$41)</f>
        <v/>
      </c>
      <c r="F66" s="72">
        <f>SUMPRODUCT(('Sales Orders'!$E$4:$E$203="Longitude")*('Sales Orders'!$J$4:$J$203="Confirmed")*'Sales Orders'!$G$4:$G$203)*SUMIFS('BOM Mapping'!$J$4:$J$23,'BOM Mapping'!$C$4:$C$23,$A66)+SUMPRODUCT(('Sales Orders'!$E$4:$E$203="Latitude")*('Sales Orders'!$J$4:$J$203="Confirmed")*'Sales Orders'!$G$4:$G$203)*SUMIFS('BOM Mapping'!$K$4:$K$23,'BOM Mapping'!$D$4:$D$23,$A66)+SUMPRODUCT(('Sales Orders'!$E$4:$E$203="Altitude")*('Sales Orders'!$J$4:$J$203="Confirmed")*'Sales Orders'!$G$4:$G$203)*SUMIFS('BOM Mapping'!$L$4:$L$23,'BOM Mapping'!$E$4:$E$23,$A66)</f>
        <v/>
      </c>
      <c r="G66" s="73" t="n">
        <v>0</v>
      </c>
      <c r="H66" s="72">
        <f>MAX(E66,F66)+C66</f>
        <v/>
      </c>
      <c r="I66" s="72">
        <f>MAX(0,H66-D66-G66)</f>
        <v/>
      </c>
      <c r="J66" s="236">
        <f>'Master Inventory'!D66</f>
        <v/>
      </c>
      <c r="K66" s="236">
        <f>I66*J66</f>
        <v/>
      </c>
      <c r="L66">
        <f>IF(F66&gt;0,"P1 COMMITTED",IF(E66&gt;0,"P2 PLAN",IF(C66&gt;0,"P3 MSL","NONE")))</f>
        <v/>
      </c>
      <c r="M66">
        <f>IF(I66&gt;0,"BUY / RFQ","NO BUY")</f>
        <v/>
      </c>
      <c r="N66">
        <f>IF(I66=0,"",IF(IFERROR(VLOOKUP(A66,'Component Catalogue'!$G$5:$T$76,10,FALSE),1)&gt;1,"PLAN EARLY","NORMAL"))</f>
        <v/>
      </c>
      <c r="O66">
        <f>K66</f>
        <v/>
      </c>
    </row>
    <row r="67">
      <c r="A67">
        <f>'Master Inventory'!A67</f>
        <v/>
      </c>
      <c r="B67">
        <f>'Master Inventory'!C67</f>
        <v/>
      </c>
      <c r="C67" s="72">
        <f>'Master Inventory'!E67</f>
        <v/>
      </c>
      <c r="D67" s="72">
        <f>'Master Inventory'!J67</f>
        <v/>
      </c>
      <c r="E67" s="72">
        <f>SUMIFS('BOM Mapping'!$J$4:$J$23,'BOM Mapping'!$C$4:$C$23,$A67,'BOM Mapping'!$I$4:$I$23,"Approved")*SUM('Monthly Materials'!$D$6:$D$41)+SUMIFS('BOM Mapping'!$K$4:$K$23,'BOM Mapping'!$D$4:$D$23,$A67,'BOM Mapping'!$I$4:$I$23,"Approved")*SUM('Monthly Materials'!$E$6:$E$41)+SUMIFS('BOM Mapping'!$L$4:$L$23,'BOM Mapping'!$E$4:$E$23,$A67,'BOM Mapping'!$I$4:$I$23,"Approved")*SUM('Monthly Materials'!$F$6:$F$41)</f>
        <v/>
      </c>
      <c r="F67" s="72">
        <f>SUMPRODUCT(('Sales Orders'!$E$4:$E$203="Longitude")*('Sales Orders'!$J$4:$J$203="Confirmed")*'Sales Orders'!$G$4:$G$203)*SUMIFS('BOM Mapping'!$J$4:$J$23,'BOM Mapping'!$C$4:$C$23,$A67)+SUMPRODUCT(('Sales Orders'!$E$4:$E$203="Latitude")*('Sales Orders'!$J$4:$J$203="Confirmed")*'Sales Orders'!$G$4:$G$203)*SUMIFS('BOM Mapping'!$K$4:$K$23,'BOM Mapping'!$D$4:$D$23,$A67)+SUMPRODUCT(('Sales Orders'!$E$4:$E$203="Altitude")*('Sales Orders'!$J$4:$J$203="Confirmed")*'Sales Orders'!$G$4:$G$203)*SUMIFS('BOM Mapping'!$L$4:$L$23,'BOM Mapping'!$E$4:$E$23,$A67)</f>
        <v/>
      </c>
      <c r="G67" s="73" t="n">
        <v>0</v>
      </c>
      <c r="H67" s="72">
        <f>MAX(E67,F67)+C67</f>
        <v/>
      </c>
      <c r="I67" s="72">
        <f>MAX(0,H67-D67-G67)</f>
        <v/>
      </c>
      <c r="J67" s="236">
        <f>'Master Inventory'!D67</f>
        <v/>
      </c>
      <c r="K67" s="236">
        <f>I67*J67</f>
        <v/>
      </c>
      <c r="L67">
        <f>IF(F67&gt;0,"P1 COMMITTED",IF(E67&gt;0,"P2 PLAN",IF(C67&gt;0,"P3 MSL","NONE")))</f>
        <v/>
      </c>
      <c r="M67">
        <f>IF(I67&gt;0,"BUY / RFQ","NO BUY")</f>
        <v/>
      </c>
      <c r="N67">
        <f>IF(I67=0,"",IF(IFERROR(VLOOKUP(A67,'Component Catalogue'!$G$5:$T$76,10,FALSE),1)&gt;1,"PLAN EARLY","NORMAL"))</f>
        <v/>
      </c>
      <c r="O67">
        <f>K67</f>
        <v/>
      </c>
    </row>
    <row r="68">
      <c r="A68">
        <f>'Master Inventory'!A68</f>
        <v/>
      </c>
      <c r="B68">
        <f>'Master Inventory'!C68</f>
        <v/>
      </c>
      <c r="C68" s="72">
        <f>'Master Inventory'!E68</f>
        <v/>
      </c>
      <c r="D68" s="72">
        <f>'Master Inventory'!J68</f>
        <v/>
      </c>
      <c r="E68" s="72">
        <f>SUMIFS('BOM Mapping'!$J$4:$J$23,'BOM Mapping'!$C$4:$C$23,$A68,'BOM Mapping'!$I$4:$I$23,"Approved")*SUM('Monthly Materials'!$D$6:$D$41)+SUMIFS('BOM Mapping'!$K$4:$K$23,'BOM Mapping'!$D$4:$D$23,$A68,'BOM Mapping'!$I$4:$I$23,"Approved")*SUM('Monthly Materials'!$E$6:$E$41)+SUMIFS('BOM Mapping'!$L$4:$L$23,'BOM Mapping'!$E$4:$E$23,$A68,'BOM Mapping'!$I$4:$I$23,"Approved")*SUM('Monthly Materials'!$F$6:$F$41)</f>
        <v/>
      </c>
      <c r="F68" s="72">
        <f>SUMPRODUCT(('Sales Orders'!$E$4:$E$203="Longitude")*('Sales Orders'!$J$4:$J$203="Confirmed")*'Sales Orders'!$G$4:$G$203)*SUMIFS('BOM Mapping'!$J$4:$J$23,'BOM Mapping'!$C$4:$C$23,$A68)+SUMPRODUCT(('Sales Orders'!$E$4:$E$203="Latitude")*('Sales Orders'!$J$4:$J$203="Confirmed")*'Sales Orders'!$G$4:$G$203)*SUMIFS('BOM Mapping'!$K$4:$K$23,'BOM Mapping'!$D$4:$D$23,$A68)+SUMPRODUCT(('Sales Orders'!$E$4:$E$203="Altitude")*('Sales Orders'!$J$4:$J$203="Confirmed")*'Sales Orders'!$G$4:$G$203)*SUMIFS('BOM Mapping'!$L$4:$L$23,'BOM Mapping'!$E$4:$E$23,$A68)</f>
        <v/>
      </c>
      <c r="G68" s="73" t="n">
        <v>0</v>
      </c>
      <c r="H68" s="72">
        <f>MAX(E68,F68)+C68</f>
        <v/>
      </c>
      <c r="I68" s="72">
        <f>MAX(0,H68-D68-G68)</f>
        <v/>
      </c>
      <c r="J68" s="236">
        <f>'Master Inventory'!D68</f>
        <v/>
      </c>
      <c r="K68" s="236">
        <f>I68*J68</f>
        <v/>
      </c>
      <c r="L68">
        <f>IF(F68&gt;0,"P1 COMMITTED",IF(E68&gt;0,"P2 PLAN",IF(C68&gt;0,"P3 MSL","NONE")))</f>
        <v/>
      </c>
      <c r="M68">
        <f>IF(I68&gt;0,"BUY / RFQ","NO BUY")</f>
        <v/>
      </c>
      <c r="N68">
        <f>IF(I68=0,"",IF(IFERROR(VLOOKUP(A68,'Component Catalogue'!$G$5:$T$76,10,FALSE),1)&gt;1,"PLAN EARLY","NORMAL"))</f>
        <v/>
      </c>
      <c r="O68">
        <f>K68</f>
        <v/>
      </c>
    </row>
    <row r="69">
      <c r="A69">
        <f>'Master Inventory'!A69</f>
        <v/>
      </c>
      <c r="B69">
        <f>'Master Inventory'!C69</f>
        <v/>
      </c>
      <c r="C69" s="72">
        <f>'Master Inventory'!E69</f>
        <v/>
      </c>
      <c r="D69" s="72">
        <f>'Master Inventory'!J69</f>
        <v/>
      </c>
      <c r="E69" s="72">
        <f>SUMIFS('BOM Mapping'!$J$4:$J$23,'BOM Mapping'!$C$4:$C$23,$A69,'BOM Mapping'!$I$4:$I$23,"Approved")*SUM('Monthly Materials'!$D$6:$D$41)+SUMIFS('BOM Mapping'!$K$4:$K$23,'BOM Mapping'!$D$4:$D$23,$A69,'BOM Mapping'!$I$4:$I$23,"Approved")*SUM('Monthly Materials'!$E$6:$E$41)+SUMIFS('BOM Mapping'!$L$4:$L$23,'BOM Mapping'!$E$4:$E$23,$A69,'BOM Mapping'!$I$4:$I$23,"Approved")*SUM('Monthly Materials'!$F$6:$F$41)</f>
        <v/>
      </c>
      <c r="F69" s="72">
        <f>SUMPRODUCT(('Sales Orders'!$E$4:$E$203="Longitude")*('Sales Orders'!$J$4:$J$203="Confirmed")*'Sales Orders'!$G$4:$G$203)*SUMIFS('BOM Mapping'!$J$4:$J$23,'BOM Mapping'!$C$4:$C$23,$A69)+SUMPRODUCT(('Sales Orders'!$E$4:$E$203="Latitude")*('Sales Orders'!$J$4:$J$203="Confirmed")*'Sales Orders'!$G$4:$G$203)*SUMIFS('BOM Mapping'!$K$4:$K$23,'BOM Mapping'!$D$4:$D$23,$A69)+SUMPRODUCT(('Sales Orders'!$E$4:$E$203="Altitude")*('Sales Orders'!$J$4:$J$203="Confirmed")*'Sales Orders'!$G$4:$G$203)*SUMIFS('BOM Mapping'!$L$4:$L$23,'BOM Mapping'!$E$4:$E$23,$A69)</f>
        <v/>
      </c>
      <c r="G69" s="73" t="n">
        <v>0</v>
      </c>
      <c r="H69" s="72">
        <f>MAX(E69,F69)+C69</f>
        <v/>
      </c>
      <c r="I69" s="72">
        <f>MAX(0,H69-D69-G69)</f>
        <v/>
      </c>
      <c r="J69" s="236">
        <f>'Master Inventory'!D69</f>
        <v/>
      </c>
      <c r="K69" s="236">
        <f>I69*J69</f>
        <v/>
      </c>
      <c r="L69">
        <f>IF(F69&gt;0,"P1 COMMITTED",IF(E69&gt;0,"P2 PLAN",IF(C69&gt;0,"P3 MSL","NONE")))</f>
        <v/>
      </c>
      <c r="M69">
        <f>IF(I69&gt;0,"BUY / RFQ","NO BUY")</f>
        <v/>
      </c>
      <c r="N69">
        <f>IF(I69=0,"",IF(IFERROR(VLOOKUP(A69,'Component Catalogue'!$G$5:$T$76,10,FALSE),1)&gt;1,"PLAN EARLY","NORMAL"))</f>
        <v/>
      </c>
      <c r="O69">
        <f>K69</f>
        <v/>
      </c>
    </row>
    <row r="70">
      <c r="A70">
        <f>'Master Inventory'!A70</f>
        <v/>
      </c>
      <c r="B70">
        <f>'Master Inventory'!C70</f>
        <v/>
      </c>
      <c r="C70">
        <f>'Master Inventory'!E70</f>
        <v/>
      </c>
      <c r="D70">
        <f>'Master Inventory'!J70</f>
        <v/>
      </c>
      <c r="E70">
        <f>SUMIFS('BOM Mapping'!$J$4:$J$23,'BOM Mapping'!$C$4:$C$23,$A70,'BOM Mapping'!$I$4:$I$23,"Approved")*SUM('Monthly Materials'!$D$6:$D$41)+SUMIFS('BOM Mapping'!$K$4:$K$23,'BOM Mapping'!$D$4:$D$23,$A70,'BOM Mapping'!$I$4:$I$23,"Approved")*SUM('Monthly Materials'!$E$6:$E$41)+SUMIFS('BOM Mapping'!$L$4:$L$23,'BOM Mapping'!$E$4:$E$23,$A70,'BOM Mapping'!$I$4:$I$23,"Approved")*SUM('Monthly Materials'!$F$6:$F$41)</f>
        <v/>
      </c>
      <c r="F70">
        <f>SUMPRODUCT(('Sales Orders'!$E$4:$E$203="Longitude")*('Sales Orders'!$J$4:$J$203="Confirmed")*'Sales Orders'!$G$4:$G$203)*SUMIFS('BOM Mapping'!$J$4:$J$23,'BOM Mapping'!$C$4:$C$23,$A70)+SUMPRODUCT(('Sales Orders'!$E$4:$E$203="Latitude")*('Sales Orders'!$J$4:$J$203="Confirmed")*'Sales Orders'!$G$4:$G$203)*SUMIFS('BOM Mapping'!$K$4:$K$23,'BOM Mapping'!$D$4:$D$23,$A70)+SUMPRODUCT(('Sales Orders'!$E$4:$E$203="Altitude")*('Sales Orders'!$J$4:$J$203="Confirmed")*'Sales Orders'!$G$4:$G$203)*SUMIFS('BOM Mapping'!$L$4:$L$23,'BOM Mapping'!$E$4:$E$23,$A70)</f>
        <v/>
      </c>
      <c r="H70">
        <f>MAX(E70,F70)+C70</f>
        <v/>
      </c>
      <c r="I70">
        <f>MAX(0,H70-D70-G70)</f>
        <v/>
      </c>
      <c r="J70">
        <f>'Master Inventory'!D70</f>
        <v/>
      </c>
      <c r="K70">
        <f>I70*J70</f>
        <v/>
      </c>
      <c r="L70">
        <f>IF(F70&gt;0,"P1 COMMITTED",IF(E70&gt;0,"P2 PLAN",IF(C70&gt;0,"P3 MSL","NONE")))</f>
        <v/>
      </c>
      <c r="M70">
        <f>IF(I70&gt;0,"BUY / RFQ","NO BUY")</f>
        <v/>
      </c>
      <c r="N70">
        <f>IF(I70=0,"",IF(IFERROR(VLOOKUP(A70,'Component Catalogue'!$G$5:$T$76,10,FALSE),1)&gt;1,"PLAN EARLY","NORMAL"))</f>
        <v/>
      </c>
      <c r="O70">
        <f>K70</f>
        <v/>
      </c>
    </row>
    <row r="71">
      <c r="A71">
        <f>'Master Inventory'!A71</f>
        <v/>
      </c>
      <c r="B71">
        <f>'Master Inventory'!C71</f>
        <v/>
      </c>
      <c r="C71">
        <f>'Master Inventory'!E71</f>
        <v/>
      </c>
      <c r="D71">
        <f>'Master Inventory'!J71</f>
        <v/>
      </c>
      <c r="E71">
        <f>SUMIFS('BOM Mapping'!$J$4:$J$23,'BOM Mapping'!$C$4:$C$23,$A71,'BOM Mapping'!$I$4:$I$23,"Approved")*SUM('Monthly Materials'!$D$6:$D$41)+SUMIFS('BOM Mapping'!$K$4:$K$23,'BOM Mapping'!$D$4:$D$23,$A71,'BOM Mapping'!$I$4:$I$23,"Approved")*SUM('Monthly Materials'!$E$6:$E$41)+SUMIFS('BOM Mapping'!$L$4:$L$23,'BOM Mapping'!$E$4:$E$23,$A71,'BOM Mapping'!$I$4:$I$23,"Approved")*SUM('Monthly Materials'!$F$6:$F$41)</f>
        <v/>
      </c>
      <c r="F71">
        <f>SUMPRODUCT(('Sales Orders'!$E$4:$E$203="Longitude")*('Sales Orders'!$J$4:$J$203="Confirmed")*'Sales Orders'!$G$4:$G$203)*SUMIFS('BOM Mapping'!$J$4:$J$23,'BOM Mapping'!$C$4:$C$23,$A71)+SUMPRODUCT(('Sales Orders'!$E$4:$E$203="Latitude")*('Sales Orders'!$J$4:$J$203="Confirmed")*'Sales Orders'!$G$4:$G$203)*SUMIFS('BOM Mapping'!$K$4:$K$23,'BOM Mapping'!$D$4:$D$23,$A71)+SUMPRODUCT(('Sales Orders'!$E$4:$E$203="Altitude")*('Sales Orders'!$J$4:$J$203="Confirmed")*'Sales Orders'!$G$4:$G$203)*SUMIFS('BOM Mapping'!$L$4:$L$23,'BOM Mapping'!$E$4:$E$23,$A71)</f>
        <v/>
      </c>
      <c r="H71">
        <f>MAX(E71,F71)+C71</f>
        <v/>
      </c>
      <c r="I71">
        <f>MAX(0,H71-D71-G71)</f>
        <v/>
      </c>
      <c r="J71">
        <f>'Master Inventory'!D71</f>
        <v/>
      </c>
      <c r="K71">
        <f>I71*J71</f>
        <v/>
      </c>
      <c r="L71">
        <f>IF(F71&gt;0,"P1 COMMITTED",IF(E71&gt;0,"P2 PLAN",IF(C71&gt;0,"P3 MSL","NONE")))</f>
        <v/>
      </c>
      <c r="M71">
        <f>IF(I71&gt;0,"BUY / RFQ","NO BUY")</f>
        <v/>
      </c>
      <c r="N71">
        <f>IF(I71=0,"",IF(IFERROR(VLOOKUP(A71,'Component Catalogue'!$G$5:$T$76,10,FALSE),1)&gt;1,"PLAN EARLY","NORMAL"))</f>
        <v/>
      </c>
      <c r="O71">
        <f>K71</f>
        <v/>
      </c>
    </row>
    <row r="72">
      <c r="A72">
        <f>'Master Inventory'!A72</f>
        <v/>
      </c>
      <c r="B72">
        <f>'Master Inventory'!C72</f>
        <v/>
      </c>
      <c r="C72">
        <f>'Master Inventory'!E72</f>
        <v/>
      </c>
      <c r="D72">
        <f>'Master Inventory'!J72</f>
        <v/>
      </c>
      <c r="E72">
        <f>SUMIFS('BOM Mapping'!$J$4:$J$23,'BOM Mapping'!$C$4:$C$23,$A72,'BOM Mapping'!$I$4:$I$23,"Approved")*SUM('Monthly Materials'!$D$6:$D$41)+SUMIFS('BOM Mapping'!$K$4:$K$23,'BOM Mapping'!$D$4:$D$23,$A72,'BOM Mapping'!$I$4:$I$23,"Approved")*SUM('Monthly Materials'!$E$6:$E$41)+SUMIFS('BOM Mapping'!$L$4:$L$23,'BOM Mapping'!$E$4:$E$23,$A72,'BOM Mapping'!$I$4:$I$23,"Approved")*SUM('Monthly Materials'!$F$6:$F$41)</f>
        <v/>
      </c>
      <c r="F72">
        <f>SUMPRODUCT(('Sales Orders'!$E$4:$E$203="Longitude")*('Sales Orders'!$J$4:$J$203="Confirmed")*'Sales Orders'!$G$4:$G$203)*SUMIFS('BOM Mapping'!$J$4:$J$23,'BOM Mapping'!$C$4:$C$23,$A72)+SUMPRODUCT(('Sales Orders'!$E$4:$E$203="Latitude")*('Sales Orders'!$J$4:$J$203="Confirmed")*'Sales Orders'!$G$4:$G$203)*SUMIFS('BOM Mapping'!$K$4:$K$23,'BOM Mapping'!$D$4:$D$23,$A72)+SUMPRODUCT(('Sales Orders'!$E$4:$E$203="Altitude")*('Sales Orders'!$J$4:$J$203="Confirmed")*'Sales Orders'!$G$4:$G$203)*SUMIFS('BOM Mapping'!$L$4:$L$23,'BOM Mapping'!$E$4:$E$23,$A72)</f>
        <v/>
      </c>
      <c r="H72">
        <f>MAX(E72,F72)+C72</f>
        <v/>
      </c>
      <c r="I72">
        <f>MAX(0,H72-D72-G72)</f>
        <v/>
      </c>
      <c r="J72">
        <f>'Master Inventory'!D72</f>
        <v/>
      </c>
      <c r="K72">
        <f>I72*J72</f>
        <v/>
      </c>
      <c r="L72">
        <f>IF(F72&gt;0,"P1 COMMITTED",IF(E72&gt;0,"P2 PLAN",IF(C72&gt;0,"P3 MSL","NONE")))</f>
        <v/>
      </c>
      <c r="M72">
        <f>IF(I72&gt;0,"BUY / RFQ","NO BUY")</f>
        <v/>
      </c>
      <c r="N72">
        <f>IF(I72=0,"",IF(IFERROR(VLOOKUP(A72,'Component Catalogue'!$G$5:$T$76,10,FALSE),1)&gt;1,"PLAN EARLY","NORMAL"))</f>
        <v/>
      </c>
      <c r="O72">
        <f>K72</f>
        <v/>
      </c>
    </row>
    <row r="73">
      <c r="A73">
        <f>'Master Inventory'!A73</f>
        <v/>
      </c>
      <c r="B73">
        <f>'Master Inventory'!C73</f>
        <v/>
      </c>
      <c r="C73">
        <f>'Master Inventory'!E73</f>
        <v/>
      </c>
      <c r="D73">
        <f>'Master Inventory'!J73</f>
        <v/>
      </c>
      <c r="E73">
        <f>SUMIFS('BOM Mapping'!$J$4:$J$23,'BOM Mapping'!$C$4:$C$23,$A73,'BOM Mapping'!$I$4:$I$23,"Approved")*SUM('Monthly Materials'!$D$6:$D$41)+SUMIFS('BOM Mapping'!$K$4:$K$23,'BOM Mapping'!$D$4:$D$23,$A73,'BOM Mapping'!$I$4:$I$23,"Approved")*SUM('Monthly Materials'!$E$6:$E$41)+SUMIFS('BOM Mapping'!$L$4:$L$23,'BOM Mapping'!$E$4:$E$23,$A73,'BOM Mapping'!$I$4:$I$23,"Approved")*SUM('Monthly Materials'!$F$6:$F$41)</f>
        <v/>
      </c>
      <c r="F73">
        <f>SUMPRODUCT(('Sales Orders'!$E$4:$E$203="Longitude")*('Sales Orders'!$J$4:$J$203="Confirmed")*'Sales Orders'!$G$4:$G$203)*SUMIFS('BOM Mapping'!$J$4:$J$23,'BOM Mapping'!$C$4:$C$23,$A73)+SUMPRODUCT(('Sales Orders'!$E$4:$E$203="Latitude")*('Sales Orders'!$J$4:$J$203="Confirmed")*'Sales Orders'!$G$4:$G$203)*SUMIFS('BOM Mapping'!$K$4:$K$23,'BOM Mapping'!$D$4:$D$23,$A73)+SUMPRODUCT(('Sales Orders'!$E$4:$E$203="Altitude")*('Sales Orders'!$J$4:$J$203="Confirmed")*'Sales Orders'!$G$4:$G$203)*SUMIFS('BOM Mapping'!$L$4:$L$23,'BOM Mapping'!$E$4:$E$23,$A73)</f>
        <v/>
      </c>
      <c r="H73">
        <f>MAX(E73,F73)+C73</f>
        <v/>
      </c>
      <c r="I73">
        <f>MAX(0,H73-D73-G73)</f>
        <v/>
      </c>
      <c r="J73">
        <f>'Master Inventory'!D73</f>
        <v/>
      </c>
      <c r="K73">
        <f>I73*J73</f>
        <v/>
      </c>
      <c r="L73">
        <f>IF(F73&gt;0,"P1 COMMITTED",IF(E73&gt;0,"P2 PLAN",IF(C73&gt;0,"P3 MSL","NONE")))</f>
        <v/>
      </c>
      <c r="M73">
        <f>IF(I73&gt;0,"BUY / RFQ","NO BUY")</f>
        <v/>
      </c>
      <c r="N73">
        <f>IF(I73=0,"",IF(IFERROR(VLOOKUP(A73,'Component Catalogue'!$G$5:$T$76,10,FALSE),1)&gt;1,"PLAN EARLY","NORMAL"))</f>
        <v/>
      </c>
      <c r="O73">
        <f>K73</f>
        <v/>
      </c>
    </row>
    <row r="74">
      <c r="A74">
        <f>'Master Inventory'!A74</f>
        <v/>
      </c>
      <c r="B74">
        <f>'Master Inventory'!C74</f>
        <v/>
      </c>
      <c r="C74">
        <f>'Master Inventory'!E74</f>
        <v/>
      </c>
      <c r="D74">
        <f>'Master Inventory'!J74</f>
        <v/>
      </c>
      <c r="E74">
        <f>SUMIFS('BOM Mapping'!$J$4:$J$23,'BOM Mapping'!$C$4:$C$23,$A74,'BOM Mapping'!$I$4:$I$23,"Approved")*SUM('Monthly Materials'!$D$6:$D$41)+SUMIFS('BOM Mapping'!$K$4:$K$23,'BOM Mapping'!$D$4:$D$23,$A74,'BOM Mapping'!$I$4:$I$23,"Approved")*SUM('Monthly Materials'!$E$6:$E$41)+SUMIFS('BOM Mapping'!$L$4:$L$23,'BOM Mapping'!$E$4:$E$23,$A74,'BOM Mapping'!$I$4:$I$23,"Approved")*SUM('Monthly Materials'!$F$6:$F$41)</f>
        <v/>
      </c>
      <c r="F74">
        <f>SUMPRODUCT(('Sales Orders'!$E$4:$E$203="Longitude")*('Sales Orders'!$J$4:$J$203="Confirmed")*'Sales Orders'!$G$4:$G$203)*SUMIFS('BOM Mapping'!$J$4:$J$23,'BOM Mapping'!$C$4:$C$23,$A74)+SUMPRODUCT(('Sales Orders'!$E$4:$E$203="Latitude")*('Sales Orders'!$J$4:$J$203="Confirmed")*'Sales Orders'!$G$4:$G$203)*SUMIFS('BOM Mapping'!$K$4:$K$23,'BOM Mapping'!$D$4:$D$23,$A74)+SUMPRODUCT(('Sales Orders'!$E$4:$E$203="Altitude")*('Sales Orders'!$J$4:$J$203="Confirmed")*'Sales Orders'!$G$4:$G$203)*SUMIFS('BOM Mapping'!$L$4:$L$23,'BOM Mapping'!$E$4:$E$23,$A74)</f>
        <v/>
      </c>
      <c r="H74">
        <f>MAX(E74,F74)+C74</f>
        <v/>
      </c>
      <c r="I74">
        <f>MAX(0,H74-D74-G74)</f>
        <v/>
      </c>
      <c r="J74">
        <f>'Master Inventory'!D74</f>
        <v/>
      </c>
      <c r="K74">
        <f>I74*J74</f>
        <v/>
      </c>
      <c r="L74">
        <f>IF(F74&gt;0,"P1 COMMITTED",IF(E74&gt;0,"P2 PLAN",IF(C74&gt;0,"P3 MSL","NONE")))</f>
        <v/>
      </c>
      <c r="M74">
        <f>IF(I74&gt;0,"BUY / RFQ","NO BUY")</f>
        <v/>
      </c>
      <c r="N74">
        <f>IF(I74=0,"",IF(IFERROR(VLOOKUP(A74,'Component Catalogue'!$G$5:$T$76,10,FALSE),1)&gt;1,"PLAN EARLY","NORMAL"))</f>
        <v/>
      </c>
      <c r="O74">
        <f>K74</f>
        <v/>
      </c>
    </row>
    <row r="75">
      <c r="A75">
        <f>'Master Inventory'!A75</f>
        <v/>
      </c>
      <c r="B75">
        <f>'Master Inventory'!C75</f>
        <v/>
      </c>
      <c r="C75">
        <f>'Master Inventory'!E75</f>
        <v/>
      </c>
      <c r="D75">
        <f>'Master Inventory'!J75</f>
        <v/>
      </c>
      <c r="E75">
        <f>SUMIFS('BOM Mapping'!$J$4:$J$23,'BOM Mapping'!$C$4:$C$23,$A75,'BOM Mapping'!$I$4:$I$23,"Approved")*SUM('Monthly Materials'!$D$6:$D$41)+SUMIFS('BOM Mapping'!$K$4:$K$23,'BOM Mapping'!$D$4:$D$23,$A75,'BOM Mapping'!$I$4:$I$23,"Approved")*SUM('Monthly Materials'!$E$6:$E$41)+SUMIFS('BOM Mapping'!$L$4:$L$23,'BOM Mapping'!$E$4:$E$23,$A75,'BOM Mapping'!$I$4:$I$23,"Approved")*SUM('Monthly Materials'!$F$6:$F$41)</f>
        <v/>
      </c>
      <c r="F75">
        <f>SUMPRODUCT(('Sales Orders'!$E$4:$E$203="Longitude")*('Sales Orders'!$J$4:$J$203="Confirmed")*'Sales Orders'!$G$4:$G$203)*SUMIFS('BOM Mapping'!$J$4:$J$23,'BOM Mapping'!$C$4:$C$23,$A75)+SUMPRODUCT(('Sales Orders'!$E$4:$E$203="Latitude")*('Sales Orders'!$J$4:$J$203="Confirmed")*'Sales Orders'!$G$4:$G$203)*SUMIFS('BOM Mapping'!$K$4:$K$23,'BOM Mapping'!$D$4:$D$23,$A75)+SUMPRODUCT(('Sales Orders'!$E$4:$E$203="Altitude")*('Sales Orders'!$J$4:$J$203="Confirmed")*'Sales Orders'!$G$4:$G$203)*SUMIFS('BOM Mapping'!$L$4:$L$23,'BOM Mapping'!$E$4:$E$23,$A75)</f>
        <v/>
      </c>
      <c r="H75">
        <f>MAX(E75,F75)+C75</f>
        <v/>
      </c>
      <c r="I75">
        <f>MAX(0,H75-D75-G75)</f>
        <v/>
      </c>
      <c r="J75">
        <f>'Master Inventory'!D75</f>
        <v/>
      </c>
      <c r="K75">
        <f>I75*J75</f>
        <v/>
      </c>
      <c r="L75">
        <f>IF(F75&gt;0,"P1 COMMITTED",IF(E75&gt;0,"P2 PLAN",IF(C75&gt;0,"P3 MSL","NONE")))</f>
        <v/>
      </c>
      <c r="M75">
        <f>IF(I75&gt;0,"BUY / RFQ","NO BUY")</f>
        <v/>
      </c>
      <c r="N75">
        <f>IF(I75=0,"",IF(IFERROR(VLOOKUP(A75,'Component Catalogue'!$G$5:$T$76,10,FALSE),1)&gt;1,"PLAN EARLY","NORMAL"))</f>
        <v/>
      </c>
      <c r="O75">
        <f>K75</f>
        <v/>
      </c>
    </row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3.80000019073486"/>
  <cols>
    <col width="16" customWidth="1" style="88" min="1" max="3"/>
    <col width="20" customWidth="1" style="88" min="4" max="4"/>
    <col width="16" customWidth="1" style="72" min="5" max="5"/>
    <col width="39.796875" customWidth="1" style="88" min="6" max="6"/>
    <col width="29.69921875" customWidth="1" style="88" min="7" max="7"/>
    <col width="20.09765625" customWidth="1" style="88" min="8" max="8"/>
    <col width="16" customWidth="1" style="88" min="9" max="26"/>
  </cols>
  <sheetData>
    <row r="1" ht="21" customHeight="1" s="88">
      <c r="A1" s="180" t="inlineStr">
        <is>
          <t>VYNDI Integrated Business Planning Engine · deterministic workbook control layer</t>
        </is>
      </c>
      <c r="B1" s="98" t="n"/>
      <c r="C1" s="98" t="n"/>
      <c r="D1" s="98" t="n"/>
      <c r="E1" s="98" t="n"/>
      <c r="F1" s="98" t="n"/>
      <c r="G1" s="98" t="n"/>
      <c r="H1" s="98" t="n"/>
    </row>
    <row r="3">
      <c r="A3" s="62" t="inlineStr">
        <is>
          <t>Control</t>
        </is>
      </c>
      <c r="B3" s="62" t="inlineStr">
        <is>
          <t>Classification</t>
        </is>
      </c>
      <c r="C3" s="62" t="inlineStr">
        <is>
          <t>Value</t>
        </is>
      </c>
      <c r="D3" s="62" t="inlineStr">
        <is>
          <t>Threshold / Authority</t>
        </is>
      </c>
      <c r="E3" s="62" t="inlineStr">
        <is>
          <t>Status</t>
        </is>
      </c>
      <c r="F3" s="62" t="inlineStr">
        <is>
          <t>Recommended Decision</t>
        </is>
      </c>
      <c r="G3" s="62" t="inlineStr">
        <is>
          <t>Lineage</t>
        </is>
      </c>
      <c r="H3" s="62" t="inlineStr">
        <is>
          <t>Owner</t>
        </is>
      </c>
    </row>
    <row r="4">
      <c r="A4" t="inlineStr">
        <is>
          <t>36M unit plan</t>
        </is>
      </c>
      <c r="B4" t="inlineStr">
        <is>
          <t>Plan</t>
        </is>
      </c>
      <c r="C4">
        <f>'Monthly Funding'!C42</f>
        <v/>
      </c>
      <c r="D4" t="inlineStr">
        <is>
          <t>Approved operating plan</t>
        </is>
      </c>
      <c r="E4" s="72">
        <f>IF(C4&gt;0,"OK","BLOCK")</f>
        <v/>
      </c>
      <c r="F4">
        <f>"Maintain approved ramp unless revised"</f>
        <v/>
      </c>
      <c r="G4" t="inlineStr">
        <is>
          <t>Approved Plan → Monthly Funding</t>
        </is>
      </c>
      <c r="H4" t="inlineStr">
        <is>
          <t>Planning</t>
        </is>
      </c>
    </row>
    <row r="5">
      <c r="A5" t="inlineStr">
        <is>
          <t>Core funding</t>
        </is>
      </c>
      <c r="B5" t="inlineStr">
        <is>
          <t>Plan</t>
        </is>
      </c>
      <c r="C5">
        <f>Inputs!B68</f>
        <v/>
      </c>
      <c r="D5" t="inlineStr">
        <is>
          <t>₹L</t>
        </is>
      </c>
      <c r="E5" s="72">
        <f>IF(C5=200,"OK","REVIEW")</f>
        <v/>
      </c>
      <c r="F5">
        <f>"Stage according to T1–T5"</f>
        <v/>
      </c>
      <c r="G5" t="inlineStr">
        <is>
          <t>Inputs → Funding</t>
        </is>
      </c>
      <c r="H5" t="inlineStr">
        <is>
          <t>Finance</t>
        </is>
      </c>
    </row>
    <row r="6">
      <c r="A6" t="inlineStr">
        <is>
          <t>Additional funding gap</t>
        </is>
      </c>
      <c r="B6" t="inlineStr">
        <is>
          <t>Forecast</t>
        </is>
      </c>
      <c r="C6">
        <f>SUM('Monthly Funding'!$M$6:$M$41)</f>
        <v/>
      </c>
      <c r="D6" t="inlineStr">
        <is>
          <t>₹L</t>
        </is>
      </c>
      <c r="E6" s="72">
        <f>IF(C6&gt;0,"ACTION","OK")</f>
        <v/>
      </c>
      <c r="F6">
        <f>IF(C6&gt;0,"Raise/slow plan/renegotiate procurement","No action")</f>
        <v/>
      </c>
      <c r="G6" t="inlineStr">
        <is>
          <t>Cash model → floor constraint</t>
        </is>
      </c>
      <c r="H6" t="inlineStr">
        <is>
          <t>Founder/Finance</t>
        </is>
      </c>
    </row>
    <row r="7">
      <c r="A7" t="inlineStr">
        <is>
          <t>Inventory ATP shortage</t>
        </is>
      </c>
      <c r="B7" t="inlineStr">
        <is>
          <t>Committed/Actual</t>
        </is>
      </c>
      <c r="C7">
        <f>COUNTIF('Master Inventory'!L4:L69,"OUT")</f>
        <v/>
      </c>
      <c r="D7" t="inlineStr">
        <is>
          <t>0 stockouts</t>
        </is>
      </c>
      <c r="E7" s="72">
        <f>IF(C7=0,"OK","ACTION")</f>
        <v/>
      </c>
      <c r="F7">
        <f>IF(C7&gt;0,"Prioritise committed demand + MSL RFQs","No action")</f>
        <v/>
      </c>
      <c r="G7" t="inlineStr">
        <is>
          <t>Movements − reservations → ATP</t>
        </is>
      </c>
      <c r="H7" t="inlineStr">
        <is>
          <t>Supply</t>
        </is>
      </c>
    </row>
    <row r="8">
      <c r="A8" t="inlineStr">
        <is>
          <t>Procurement buy value</t>
        </is>
      </c>
      <c r="B8" t="inlineStr">
        <is>
          <t>Forecast</t>
        </is>
      </c>
      <c r="C8">
        <f>SUM('Procurement Plan'!$K$4:$K$75)</f>
        <v/>
      </c>
      <c r="D8" t="inlineStr">
        <is>
          <t>₹</t>
        </is>
      </c>
      <c r="E8" s="72">
        <f>IF(C8&gt;0,"ACTION","OK")</f>
        <v/>
      </c>
      <c r="F8">
        <f>"Approve RFQs only; forecast never posts PO"</f>
        <v/>
      </c>
      <c r="G8" t="inlineStr">
        <is>
          <t>Canonical BOM → Inventory ATP → Procurement → MRP Cash Bridge → Funding</t>
        </is>
      </c>
      <c r="H8" t="inlineStr">
        <is>
          <t>Supply/Finance</t>
        </is>
      </c>
    </row>
    <row r="9">
      <c r="A9" t="inlineStr">
        <is>
          <t>Confirmed order value</t>
        </is>
      </c>
      <c r="B9" t="inlineStr">
        <is>
          <t>Committed</t>
        </is>
      </c>
      <c r="C9">
        <f>SUMIFS('Sales Orders'!I4:I53,'Sales Orders'!J4:J53,"Confirmed")</f>
        <v/>
      </c>
      <c r="D9" t="inlineStr">
        <is>
          <t>₹L</t>
        </is>
      </c>
      <c r="E9" s="72">
        <f>IF(C9&gt;0,"ACTIVE","NONE")</f>
        <v/>
      </c>
      <c r="F9">
        <f>"Release job cards only against approved BOM"</f>
        <v/>
      </c>
      <c r="G9" t="inlineStr">
        <is>
          <t>Sales Orders → Job Cards</t>
        </is>
      </c>
      <c r="H9" t="inlineStr">
        <is>
          <t>Commercial/Production</t>
        </is>
      </c>
    </row>
    <row r="10">
      <c r="A10" t="inlineStr">
        <is>
          <t>Released job cards</t>
        </is>
      </c>
      <c r="B10" t="inlineStr">
        <is>
          <t>Committed</t>
        </is>
      </c>
      <c r="C10">
        <f>COUNTIF('Job Cards'!G4:G53,"RELEASED")</f>
        <v/>
      </c>
      <c r="D10" t="inlineStr">
        <is>
          <t>Count</t>
        </is>
      </c>
      <c r="E10" s="72">
        <f>IF(C10=COUNTIF('Sales Orders'!M4:M53,"YES"),"OK","REVIEW")</f>
        <v/>
      </c>
      <c r="F10">
        <f>"Reconcile order revision before production"</f>
        <v/>
      </c>
      <c r="G10" t="inlineStr">
        <is>
          <t>Confirmed Order → Job Card</t>
        </is>
      </c>
      <c r="H10" t="inlineStr">
        <is>
          <t>Production</t>
        </is>
      </c>
    </row>
    <row r="11">
      <c r="A11" t="inlineStr">
        <is>
          <t>Traveller failed gates</t>
        </is>
      </c>
      <c r="B11" t="inlineStr">
        <is>
          <t>Actual</t>
        </is>
      </c>
      <c r="C11">
        <f>COUNTIF(Traveller!L4:L403,"Fail")</f>
        <v/>
      </c>
      <c r="D11" t="inlineStr">
        <is>
          <t>0 failures</t>
        </is>
      </c>
      <c r="E11" s="72">
        <f>IF(C11=0,"OK","HOLD")</f>
        <v/>
      </c>
      <c r="F11">
        <f>IF(C11&gt;0,"Hold affected job; open NCR","No action")</f>
        <v/>
      </c>
      <c r="G11" t="inlineStr">
        <is>
          <t>Traveller → Quality Gate</t>
        </is>
      </c>
      <c r="H11" t="inlineStr">
        <is>
          <t>Quality</t>
        </is>
      </c>
    </row>
    <row r="12">
      <c r="A12" t="inlineStr">
        <is>
          <t>Supplier/PO authority</t>
        </is>
      </c>
      <c r="B12" t="inlineStr">
        <is>
          <t>Master/Committed</t>
        </is>
      </c>
      <c r="C12" t="inlineStr">
        <is>
          <t>Supplier Master → PR → PO</t>
        </is>
      </c>
      <c r="D12" t="inlineStr">
        <is>
          <t>Approved/Open PO only</t>
        </is>
      </c>
      <c r="E12" t="inlineStr">
        <is>
          <t>OK</t>
        </is>
      </c>
      <c r="F12" t="inlineStr">
        <is>
          <t>No forecast recommendation creates supplier commitment</t>
        </is>
      </c>
      <c r="G12" t="inlineStr">
        <is>
          <t>MRP → PR → PO → GRN</t>
        </is>
      </c>
      <c r="H12" t="inlineStr">
        <is>
          <t>Supply/Finance</t>
        </is>
      </c>
    </row>
    <row r="13">
      <c r="A13" t="inlineStr">
        <is>
          <t>FIFO valuation</t>
        </is>
      </c>
      <c r="B13" t="inlineStr">
        <is>
          <t>Actual</t>
        </is>
      </c>
      <c r="C13" t="inlineStr">
        <is>
          <t>GRN → FIFO layer → Allocation</t>
        </is>
      </c>
      <c r="D13" t="inlineStr">
        <is>
          <t>No negative layer balance</t>
        </is>
      </c>
      <c r="E13" t="inlineStr">
        <is>
          <t>OK</t>
        </is>
      </c>
      <c r="F13" t="inlineStr">
        <is>
          <t>Allocate oldest released layer first</t>
        </is>
      </c>
      <c r="G13" t="inlineStr">
        <is>
          <t>GRN / Movement / Job Card</t>
        </is>
      </c>
      <c r="H13" t="inlineStr">
        <is>
          <t>Inventory/Finance</t>
        </is>
      </c>
    </row>
    <row r="14">
      <c r="A14" t="inlineStr">
        <is>
          <t>Capacity planning</t>
        </is>
      </c>
      <c r="B14" t="inlineStr">
        <is>
          <t>Plan/Committed</t>
        </is>
      </c>
      <c r="C14" t="inlineStr">
        <is>
          <t>Job Card × routing standard</t>
        </is>
      </c>
      <c r="D14" t="inlineStr">
        <is>
          <t>No effective-hour breach</t>
        </is>
      </c>
      <c r="E14" t="inlineStr">
        <is>
          <t>OK</t>
        </is>
      </c>
      <c r="F14" t="inlineStr">
        <is>
          <t>Escalate capacity shortfall before release</t>
        </is>
      </c>
      <c r="G14" t="inlineStr">
        <is>
          <t>Job Cards → Work Centre → Capacity</t>
        </is>
      </c>
      <c r="H14" t="inlineStr">
        <is>
          <t>Production</t>
        </is>
      </c>
    </row>
    <row r="15">
      <c r="A15" t="inlineStr">
        <is>
          <t>Transaction truth</t>
        </is>
      </c>
      <c r="B15" t="inlineStr">
        <is>
          <t>Governance</t>
        </is>
      </c>
      <c r="C15" t="inlineStr">
        <is>
          <t>Ledger-specific truth classes</t>
        </is>
      </c>
      <c r="D15" t="inlineStr">
        <is>
          <t>Plan ≠ Committed ≠ Actual</t>
        </is>
      </c>
      <c r="E15" t="inlineStr">
        <is>
          <t>OK</t>
        </is>
      </c>
      <c r="F15" t="inlineStr">
        <is>
          <t>Status-derived truth; no volatile timestamps</t>
        </is>
      </c>
      <c r="G15" t="inlineStr">
        <is>
          <t>Orders/Reservations/Movements/PO/GRN</t>
        </is>
      </c>
      <c r="H15" t="inlineStr">
        <is>
          <t>Governance</t>
        </is>
      </c>
    </row>
    <row r="16">
      <c r="A16" t="inlineStr">
        <is>
          <t>Decision governance</t>
        </is>
      </c>
      <c r="B16" t="inlineStr">
        <is>
          <t>Governance</t>
        </is>
      </c>
      <c r="C16" t="inlineStr">
        <is>
          <t>IBPE finding → decision register</t>
        </is>
      </c>
      <c r="D16" t="inlineStr">
        <is>
          <t>Owner + decision + evidence</t>
        </is>
      </c>
      <c r="E16" t="inlineStr">
        <is>
          <t>OK</t>
        </is>
      </c>
      <c r="F16" t="inlineStr">
        <is>
          <t>Close decision only with evidence</t>
        </is>
      </c>
      <c r="G16" t="inlineStr">
        <is>
          <t>IBPE Control → Decision Register</t>
        </is>
      </c>
      <c r="H16" t="inlineStr">
        <is>
          <t>Founder/Governance</t>
        </is>
      </c>
    </row>
    <row r="17">
      <c r="A17" t="inlineStr">
        <is>
          <t>Architecture version</t>
        </is>
      </c>
      <c r="B17" t="inlineStr">
        <is>
          <t>Governance</t>
        </is>
      </c>
      <c r="C17" t="inlineStr">
        <is>
          <t>v5 Operational Execution &amp; Governance</t>
        </is>
      </c>
      <c r="D17" t="inlineStr">
        <is>
          <t>v4 MRP/cash preserved</t>
        </is>
      </c>
      <c r="E17" t="inlineStr">
        <is>
          <t>OK</t>
        </is>
      </c>
      <c r="F17" t="inlineStr">
        <is>
          <t>Operate through controlled transaction chain</t>
        </is>
      </c>
      <c r="G17" t="inlineStr">
        <is>
          <t>v4 core + v5 execution layer</t>
        </is>
      </c>
      <c r="H17" t="inlineStr">
        <is>
          <t>System</t>
        </is>
      </c>
    </row>
  </sheetData>
  <mergeCells count="1">
    <mergeCell ref="A1:H1"/>
  </mergeCells>
  <conditionalFormatting sqref="E4:E11">
    <cfRule type="expression" priority="1" dxfId="1">
      <formula>OR(E4="ACTION",E4="HOLD",E4="BLOCK")</formula>
    </cfRule>
    <cfRule type="expression" priority="2" dxfId="2">
      <formula>E4="OK"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selection activeCell="A1" sqref="A1"/>
    </sheetView>
  </sheetViews>
  <sheetFormatPr baseColWidth="8" defaultRowHeight="13.80000019073486"/>
  <sheetData>
    <row r="1" ht="21" customHeight="1" s="88">
      <c r="A1" s="184" t="inlineStr">
        <is>
          <t>Audit / Decision Evidence Register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</row>
    <row r="2">
      <c r="A2" s="93" t="n"/>
      <c r="B2" s="93" t="n"/>
      <c r="C2" s="93" t="n"/>
      <c r="D2" s="93" t="n"/>
      <c r="E2" s="93" t="n"/>
      <c r="F2" s="93" t="n"/>
      <c r="G2" s="93" t="n"/>
      <c r="H2" s="93" t="n"/>
      <c r="I2" s="93" t="n"/>
      <c r="J2" s="93" t="n"/>
      <c r="K2" s="93" t="n"/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3" t="n"/>
      <c r="W2" s="93" t="n"/>
      <c r="X2" s="93" t="n"/>
      <c r="Y2" s="93" t="n"/>
      <c r="Z2" s="93" t="n"/>
    </row>
    <row r="3" ht="27.60000038146973" customHeight="1" s="88">
      <c r="A3" s="53" t="inlineStr">
        <is>
          <t>Event ID</t>
        </is>
      </c>
      <c r="B3" s="53" t="inlineStr">
        <is>
          <t>Timestamp</t>
        </is>
      </c>
      <c r="C3" s="53" t="inlineStr">
        <is>
          <t>Object Type</t>
        </is>
      </c>
      <c r="D3" s="53" t="inlineStr">
        <is>
          <t>Object ID</t>
        </is>
      </c>
      <c r="E3" s="53" t="inlineStr">
        <is>
          <t>Revision</t>
        </is>
      </c>
      <c r="F3" s="53" t="inlineStr">
        <is>
          <t>Action</t>
        </is>
      </c>
      <c r="G3" s="53" t="inlineStr">
        <is>
          <t>Actor</t>
        </is>
      </c>
      <c r="H3" s="53" t="inlineStr">
        <is>
          <t>Approval Status</t>
        </is>
      </c>
      <c r="I3" s="53" t="inlineStr">
        <is>
          <t>Evidence Ref</t>
        </is>
      </c>
      <c r="J3" s="53" t="inlineStr">
        <is>
          <t>Rationale</t>
        </is>
      </c>
      <c r="K3" s="93" t="n"/>
      <c r="L3" s="93" t="n"/>
      <c r="M3" s="93" t="n"/>
      <c r="N3" s="93" t="n"/>
      <c r="O3" s="93" t="n"/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</row>
    <row r="4">
      <c r="A4" s="93">
        <f>IF(D4="","","AUD-"&amp;TEXT(ROW()-3,"0000"))</f>
        <v/>
      </c>
      <c r="B4" s="240" t="inlineStr">
        <is>
          <t>Model</t>
        </is>
      </c>
      <c r="C4" s="188" t="inlineStr">
        <is>
          <t>BOM Mapping</t>
        </is>
      </c>
      <c r="D4" s="188" t="inlineStr">
        <is>
          <t>Made BOM Mapping the single canonical model-specific BOM authority</t>
        </is>
      </c>
      <c r="E4" s="188" t="inlineStr">
        <is>
          <t>Correction</t>
        </is>
      </c>
      <c r="F4" s="188" t="inlineStr">
        <is>
          <t>IBPE parity</t>
        </is>
      </c>
      <c r="G4" s="188" t="inlineStr">
        <is>
          <t>BOM Mapping J:L</t>
        </is>
      </c>
      <c r="H4" s="188" t="inlineStr">
        <is>
          <t>MRP/Job Material</t>
        </is>
      </c>
      <c r="I4" s="188" t="inlineStr">
        <is>
          <t>Open</t>
        </is>
      </c>
      <c r="J4" s="188" t="inlineStr">
        <is>
          <t>2026-09-08</t>
        </is>
      </c>
      <c r="K4" s="93" t="n"/>
      <c r="L4" s="93" t="n"/>
      <c r="M4" s="93" t="n"/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</row>
    <row r="5">
      <c r="A5" s="93">
        <f>IF(D5="","","AUD-"&amp;TEXT(ROW()-3,"0000"))</f>
        <v/>
      </c>
      <c r="B5" s="240" t="inlineStr">
        <is>
          <t>Inventory</t>
        </is>
      </c>
      <c r="C5" s="188" t="inlineStr">
        <is>
          <t>Master Inventory</t>
        </is>
      </c>
      <c r="D5" s="188" t="inlineStr">
        <is>
          <t>Removed fixed movement/reservation row ceilings</t>
        </is>
      </c>
      <c r="E5" s="188" t="inlineStr">
        <is>
          <t>Correction</t>
        </is>
      </c>
      <c r="F5" s="188" t="inlineStr">
        <is>
          <t>Scalability</t>
        </is>
      </c>
      <c r="G5" s="188" t="inlineStr">
        <is>
          <t>Movement/Reservation ledgers</t>
        </is>
      </c>
      <c r="H5" s="188" t="inlineStr">
        <is>
          <t>ATP</t>
        </is>
      </c>
      <c r="I5" s="188" t="inlineStr">
        <is>
          <t>Open</t>
        </is>
      </c>
      <c r="J5" s="188" t="inlineStr">
        <is>
          <t>2026-09-08</t>
        </is>
      </c>
      <c r="K5" s="93" t="n"/>
      <c r="L5" s="93" t="n"/>
      <c r="M5" s="93" t="n"/>
      <c r="N5" s="93" t="n"/>
      <c r="O5" s="93" t="n"/>
      <c r="P5" s="93" t="n"/>
      <c r="Q5" s="93" t="n"/>
      <c r="R5" s="93" t="n"/>
      <c r="S5" s="93" t="n"/>
      <c r="T5" s="93" t="n"/>
      <c r="U5" s="93" t="n"/>
      <c r="V5" s="93" t="n"/>
      <c r="W5" s="93" t="n"/>
      <c r="X5" s="93" t="n"/>
      <c r="Y5" s="93" t="n"/>
      <c r="Z5" s="93" t="n"/>
    </row>
    <row r="6">
      <c r="A6" s="93">
        <f>IF(D6="","","AUD-"&amp;TEXT(ROW()-3,"0000"))</f>
        <v/>
      </c>
      <c r="B6" s="240" t="inlineStr">
        <is>
          <t>Supply</t>
        </is>
      </c>
      <c r="C6" s="188" t="inlineStr">
        <is>
          <t>Procurement Plan</t>
        </is>
      </c>
      <c r="D6" s="188" t="inlineStr">
        <is>
          <t>Rebased requirements on canonical BOM including raw materials</t>
        </is>
      </c>
      <c r="E6" s="188" t="inlineStr">
        <is>
          <t>Correction</t>
        </is>
      </c>
      <c r="F6" s="188" t="inlineStr">
        <is>
          <t>MRP integrity</t>
        </is>
      </c>
      <c r="G6" s="188" t="inlineStr">
        <is>
          <t>BOM + plan/orders + ATP</t>
        </is>
      </c>
      <c r="H6" s="188" t="inlineStr">
        <is>
          <t>Net Buy</t>
        </is>
      </c>
      <c r="I6" s="188" t="inlineStr">
        <is>
          <t>Open</t>
        </is>
      </c>
      <c r="J6" s="188" t="inlineStr">
        <is>
          <t>2026-09-08</t>
        </is>
      </c>
      <c r="K6" s="93" t="n"/>
      <c r="L6" s="93" t="n"/>
      <c r="M6" s="93" t="n"/>
      <c r="N6" s="93" t="n"/>
      <c r="O6" s="93" t="n"/>
      <c r="P6" s="93" t="n"/>
      <c r="Q6" s="93" t="n"/>
      <c r="R6" s="93" t="n"/>
      <c r="S6" s="93" t="n"/>
      <c r="T6" s="93" t="n"/>
      <c r="U6" s="93" t="n"/>
      <c r="V6" s="93" t="n"/>
      <c r="W6" s="93" t="n"/>
      <c r="X6" s="93" t="n"/>
      <c r="Y6" s="93" t="n"/>
      <c r="Z6" s="93" t="n"/>
    </row>
    <row r="7">
      <c r="A7" s="93">
        <f>IF(D7="","","AUD-"&amp;TEXT(ROW()-3,"0000"))</f>
        <v/>
      </c>
      <c r="B7" s="240" t="inlineStr">
        <is>
          <t>Finance</t>
        </is>
      </c>
      <c r="C7" s="188" t="inlineStr">
        <is>
          <t>MRP Cash Bridge</t>
        </is>
      </c>
      <c r="D7" s="188" t="inlineStr">
        <is>
          <t>Connected net procurement recommendation to monthly cash/funding</t>
        </is>
      </c>
      <c r="E7" s="188" t="inlineStr">
        <is>
          <t>Correction</t>
        </is>
      </c>
      <c r="F7" s="188" t="inlineStr">
        <is>
          <t>Liquidity integrity</t>
        </is>
      </c>
      <c r="G7" s="188" t="inlineStr">
        <is>
          <t>Procurement Plan</t>
        </is>
      </c>
      <c r="H7" s="188" t="inlineStr">
        <is>
          <t>Monthly Funding</t>
        </is>
      </c>
      <c r="I7" s="188" t="inlineStr">
        <is>
          <t>Open</t>
        </is>
      </c>
      <c r="J7" s="188" t="inlineStr">
        <is>
          <t>2026-09-08</t>
        </is>
      </c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93" t="n"/>
      <c r="W7" s="93" t="n"/>
      <c r="X7" s="93" t="n"/>
      <c r="Y7" s="93" t="n"/>
      <c r="Z7" s="93" t="n"/>
    </row>
    <row r="8">
      <c r="A8" s="93">
        <f>IF(D8="","","AUD-"&amp;TEXT(ROW()-3,"0000"))</f>
        <v/>
      </c>
      <c r="B8" s="240" t="inlineStr">
        <is>
          <t>Production</t>
        </is>
      </c>
      <c r="C8" s="188" t="inlineStr">
        <is>
          <t>Job Material Req</t>
        </is>
      </c>
      <c r="D8" s="188" t="inlineStr">
        <is>
          <t>Rewired Job Card material readiness through canonical BOM, ATP and reservations</t>
        </is>
      </c>
      <c r="E8" s="188" t="inlineStr">
        <is>
          <t>Correction</t>
        </is>
      </c>
      <c r="F8" s="188" t="inlineStr">
        <is>
          <t>Release control</t>
        </is>
      </c>
      <c r="G8" s="188" t="inlineStr">
        <is>
          <t>Job Card + BOM + ATP</t>
        </is>
      </c>
      <c r="H8" s="188" t="inlineStr">
        <is>
          <t>Release Gate</t>
        </is>
      </c>
      <c r="I8" s="188" t="inlineStr">
        <is>
          <t>Open</t>
        </is>
      </c>
      <c r="J8" s="188" t="inlineStr">
        <is>
          <t>2026-09-08</t>
        </is>
      </c>
      <c r="K8" s="93" t="n"/>
      <c r="L8" s="93" t="n"/>
      <c r="M8" s="93" t="n"/>
      <c r="N8" s="93" t="n"/>
      <c r="O8" s="93" t="n"/>
      <c r="P8" s="93" t="n"/>
      <c r="Q8" s="93" t="n"/>
      <c r="R8" s="93" t="n"/>
      <c r="S8" s="93" t="n"/>
      <c r="T8" s="93" t="n"/>
      <c r="U8" s="93" t="n"/>
      <c r="V8" s="93" t="n"/>
      <c r="W8" s="93" t="n"/>
      <c r="X8" s="93" t="n"/>
      <c r="Y8" s="93" t="n"/>
      <c r="Z8" s="93" t="n"/>
    </row>
    <row r="9">
      <c r="A9" s="93" t="inlineStr">
        <is>
          <t>AUD-V5-001</t>
        </is>
      </c>
      <c r="B9" s="240" t="inlineStr">
        <is>
          <t>2026-09-08</t>
        </is>
      </c>
      <c r="C9" s="188" t="inlineStr">
        <is>
          <t>Supplier Master</t>
        </is>
      </c>
      <c r="D9" s="188" t="inlineStr">
        <is>
          <t>Supplier Master</t>
        </is>
      </c>
      <c r="E9" s="188" t="n">
        <v>1</v>
      </c>
      <c r="F9" s="188" t="inlineStr">
        <is>
          <t>Added approved-vendor/master-data register</t>
        </is>
      </c>
      <c r="G9" s="188" t="inlineStr">
        <is>
          <t>System</t>
        </is>
      </c>
      <c r="H9" s="188" t="inlineStr">
        <is>
          <t>Implemented</t>
        </is>
      </c>
      <c r="I9" s="188" t="inlineStr">
        <is>
          <t>Supplier Master</t>
        </is>
      </c>
      <c r="J9" s="188" t="inlineStr">
        <is>
          <t>No invented supplier/tax facts; evidence required</t>
        </is>
      </c>
      <c r="K9" s="93" t="n"/>
      <c r="L9" s="93" t="n"/>
      <c r="M9" s="93" t="n"/>
      <c r="N9" s="93" t="n"/>
      <c r="O9" s="93" t="n"/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</row>
    <row r="10">
      <c r="A10" s="93" t="inlineStr">
        <is>
          <t>AUD-V5-002</t>
        </is>
      </c>
      <c r="B10" s="240" t="inlineStr">
        <is>
          <t>2026-09-08</t>
        </is>
      </c>
      <c r="C10" s="188" t="inlineStr">
        <is>
          <t>Procurement Workflow</t>
        </is>
      </c>
      <c r="D10" s="188" t="inlineStr">
        <is>
          <t>PR→PO→GRN</t>
        </is>
      </c>
      <c r="E10" s="188" t="n">
        <v>1</v>
      </c>
      <c r="F10" s="188" t="inlineStr">
        <is>
          <t>Added governed procurement transaction chain</t>
        </is>
      </c>
      <c r="G10" s="188" t="inlineStr">
        <is>
          <t>System</t>
        </is>
      </c>
      <c r="H10" s="188" t="inlineStr">
        <is>
          <t>Implemented</t>
        </is>
      </c>
      <c r="I10" s="188" t="inlineStr">
        <is>
          <t>PR / PO / GRN</t>
        </is>
      </c>
      <c r="J10" s="188" t="inlineStr">
        <is>
          <t>Forecast recommendation separated from supplier commitment</t>
        </is>
      </c>
      <c r="K10" s="93" t="n"/>
      <c r="L10" s="93" t="n"/>
      <c r="M10" s="93" t="n"/>
      <c r="N10" s="93" t="n"/>
      <c r="O10" s="93" t="n"/>
      <c r="P10" s="93" t="n"/>
      <c r="Q10" s="93" t="n"/>
      <c r="R10" s="93" t="n"/>
      <c r="S10" s="93" t="n"/>
      <c r="T10" s="93" t="n"/>
      <c r="U10" s="93" t="n"/>
      <c r="V10" s="93" t="n"/>
      <c r="W10" s="93" t="n"/>
      <c r="X10" s="93" t="n"/>
      <c r="Y10" s="93" t="n"/>
      <c r="Z10" s="93" t="n"/>
    </row>
    <row r="11">
      <c r="A11" s="93" t="inlineStr">
        <is>
          <t>AUD-V5-003</t>
        </is>
      </c>
      <c r="B11" s="240" t="inlineStr">
        <is>
          <t>2026-09-08</t>
        </is>
      </c>
      <c r="C11" s="188" t="inlineStr">
        <is>
          <t>FIFO</t>
        </is>
      </c>
      <c r="D11" s="188" t="inlineStr">
        <is>
          <t>FIFO Layers + Allocations</t>
        </is>
      </c>
      <c r="E11" s="188" t="n">
        <v>1</v>
      </c>
      <c r="F11" s="188" t="inlineStr">
        <is>
          <t>Added lot-level FIFO valuation/allocation control</t>
        </is>
      </c>
      <c r="G11" s="188" t="inlineStr">
        <is>
          <t>System</t>
        </is>
      </c>
      <c r="H11" s="188" t="inlineStr">
        <is>
          <t>Implemented</t>
        </is>
      </c>
      <c r="I11" s="188" t="inlineStr">
        <is>
          <t>FIFO Layers / Allocations</t>
        </is>
      </c>
      <c r="J11" s="188" t="inlineStr">
        <is>
          <t>Posted allocations reduce released receipt layers</t>
        </is>
      </c>
      <c r="K11" s="93" t="n"/>
      <c r="L11" s="93" t="n"/>
      <c r="M11" s="93" t="n"/>
      <c r="N11" s="93" t="n"/>
      <c r="O11" s="93" t="n"/>
      <c r="P11" s="93" t="n"/>
      <c r="Q11" s="93" t="n"/>
      <c r="R11" s="93" t="n"/>
      <c r="S11" s="93" t="n"/>
      <c r="T11" s="93" t="n"/>
      <c r="U11" s="93" t="n"/>
      <c r="V11" s="93" t="n"/>
      <c r="W11" s="93" t="n"/>
      <c r="X11" s="93" t="n"/>
      <c r="Y11" s="93" t="n"/>
      <c r="Z11" s="93" t="n"/>
    </row>
    <row r="12">
      <c r="A12" s="93" t="inlineStr">
        <is>
          <t>AUD-V5-004</t>
        </is>
      </c>
      <c r="B12" s="240" t="inlineStr">
        <is>
          <t>2026-09-08</t>
        </is>
      </c>
      <c r="C12" s="188" t="inlineStr">
        <is>
          <t>Capacity</t>
        </is>
      </c>
      <c r="D12" s="188" t="inlineStr">
        <is>
          <t>Capacity Planning</t>
        </is>
      </c>
      <c r="E12" s="188" t="n">
        <v>1</v>
      </c>
      <c r="F12" s="188" t="inlineStr">
        <is>
          <t>Added work-centre capacity model linked to Job Cards</t>
        </is>
      </c>
      <c r="G12" s="188" t="inlineStr">
        <is>
          <t>System</t>
        </is>
      </c>
      <c r="H12" s="188" t="inlineStr">
        <is>
          <t>Implemented</t>
        </is>
      </c>
      <c r="I12" s="188" t="inlineStr">
        <is>
          <t>Work Centre Master / Capacity</t>
        </is>
      </c>
      <c r="J12" s="188" t="inlineStr">
        <is>
          <t>Released and draft loads vs effective hours</t>
        </is>
      </c>
      <c r="K12" s="93" t="n"/>
      <c r="L12" s="93" t="n"/>
      <c r="M12" s="93" t="n"/>
      <c r="N12" s="93" t="n"/>
      <c r="O12" s="93" t="n"/>
      <c r="P12" s="93" t="n"/>
      <c r="Q12" s="93" t="n"/>
      <c r="R12" s="93" t="n"/>
      <c r="S12" s="93" t="n"/>
      <c r="T12" s="93" t="n"/>
      <c r="U12" s="93" t="n"/>
      <c r="V12" s="93" t="n"/>
      <c r="W12" s="93" t="n"/>
      <c r="X12" s="93" t="n"/>
      <c r="Y12" s="93" t="n"/>
      <c r="Z12" s="93" t="n"/>
    </row>
    <row r="13">
      <c r="A13" s="93" t="inlineStr">
        <is>
          <t>AUD-V5-005</t>
        </is>
      </c>
      <c r="B13" s="240" t="inlineStr">
        <is>
          <t>2026-09-08</t>
        </is>
      </c>
      <c r="C13" s="188" t="inlineStr">
        <is>
          <t>Truth</t>
        </is>
      </c>
      <c r="D13" s="188" t="inlineStr">
        <is>
          <t>Transaction Ledgers</t>
        </is>
      </c>
      <c r="E13" s="188" t="n">
        <v>1</v>
      </c>
      <c r="F13" s="188" t="inlineStr">
        <is>
          <t>Added ledger-specific truth classification</t>
        </is>
      </c>
      <c r="G13" s="188" t="inlineStr">
        <is>
          <t>System</t>
        </is>
      </c>
      <c r="H13" s="188" t="inlineStr">
        <is>
          <t>Implemented</t>
        </is>
      </c>
      <c r="I13" s="188" t="inlineStr">
        <is>
          <t>Orders / Reservations / Movements / Job Cards / PO / GRN</t>
        </is>
      </c>
      <c r="J13" s="188" t="inlineStr">
        <is>
          <t>Master Inventory stays derived state view</t>
        </is>
      </c>
      <c r="K13" s="93" t="n"/>
      <c r="L13" s="93" t="n"/>
      <c r="M13" s="93" t="n"/>
      <c r="N13" s="93" t="n"/>
      <c r="O13" s="93" t="n"/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</row>
    <row r="14">
      <c r="A14" s="93" t="inlineStr">
        <is>
          <t>AUD-V5-006</t>
        </is>
      </c>
      <c r="B14" s="240" t="inlineStr">
        <is>
          <t>2026-09-08</t>
        </is>
      </c>
      <c r="C14" s="188" t="inlineStr">
        <is>
          <t>Governance</t>
        </is>
      </c>
      <c r="D14" s="188" t="inlineStr">
        <is>
          <t>Decision Register</t>
        </is>
      </c>
      <c r="E14" s="188" t="n">
        <v>1</v>
      </c>
      <c r="F14" s="188" t="inlineStr">
        <is>
          <t>Added decision approval/closure register</t>
        </is>
      </c>
      <c r="G14" s="188" t="inlineStr">
        <is>
          <t>System</t>
        </is>
      </c>
      <c r="H14" s="188" t="inlineStr">
        <is>
          <t>Implemented</t>
        </is>
      </c>
      <c r="I14" s="188" t="inlineStr">
        <is>
          <t>Decision Register</t>
        </is>
      </c>
      <c r="J14" s="188" t="inlineStr">
        <is>
          <t>IBPE recommendation to auditable management decision</t>
        </is>
      </c>
      <c r="K14" s="93" t="n"/>
      <c r="L14" s="93" t="n"/>
      <c r="M14" s="93" t="n"/>
      <c r="N14" s="93" t="n"/>
      <c r="O14" s="93" t="n"/>
      <c r="P14" s="93" t="n"/>
      <c r="Q14" s="93" t="n"/>
      <c r="R14" s="93" t="n"/>
      <c r="S14" s="93" t="n"/>
      <c r="T14" s="93" t="n"/>
      <c r="U14" s="93" t="n"/>
      <c r="V14" s="93" t="n"/>
      <c r="W14" s="93" t="n"/>
      <c r="X14" s="93" t="n"/>
      <c r="Y14" s="93" t="n"/>
      <c r="Z14" s="93" t="n"/>
    </row>
    <row r="15">
      <c r="A15" s="93">
        <f>IF(D15="","","AUD-"&amp;TEXT(ROW()-3,"0000"))</f>
        <v/>
      </c>
      <c r="B15" s="240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93" t="n"/>
      <c r="L15" s="93" t="n"/>
      <c r="M15" s="93" t="n"/>
      <c r="N15" s="93" t="n"/>
      <c r="O15" s="93" t="n"/>
      <c r="P15" s="93" t="n"/>
      <c r="Q15" s="93" t="n"/>
      <c r="R15" s="93" t="n"/>
      <c r="S15" s="93" t="n"/>
      <c r="T15" s="93" t="n"/>
      <c r="U15" s="93" t="n"/>
      <c r="V15" s="93" t="n"/>
      <c r="W15" s="93" t="n"/>
      <c r="X15" s="93" t="n"/>
      <c r="Y15" s="93" t="n"/>
      <c r="Z15" s="93" t="n"/>
    </row>
    <row r="16">
      <c r="A16" s="93">
        <f>IF(D16="","","AUD-"&amp;TEXT(ROW()-3,"0000"))</f>
        <v/>
      </c>
      <c r="B16" s="240" t="n"/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</row>
    <row r="17">
      <c r="A17" s="93">
        <f>IF(D17="","","AUD-"&amp;TEXT(ROW()-3,"0000"))</f>
        <v/>
      </c>
      <c r="B17" s="240" t="n"/>
      <c r="C17" s="188" t="n"/>
      <c r="D17" s="188" t="n"/>
      <c r="E17" s="188" t="n"/>
      <c r="F17" s="188" t="n"/>
      <c r="G17" s="188" t="n"/>
      <c r="H17" s="188" t="n"/>
      <c r="I17" s="188" t="n"/>
      <c r="J17" s="188" t="n"/>
      <c r="K17" s="93" t="n"/>
      <c r="L17" s="93" t="n"/>
      <c r="M17" s="93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</row>
    <row r="18">
      <c r="A18" s="93">
        <f>IF(D18="","","AUD-"&amp;TEXT(ROW()-3,"0000"))</f>
        <v/>
      </c>
      <c r="B18" s="240" t="n"/>
      <c r="C18" s="188" t="n"/>
      <c r="D18" s="188" t="n"/>
      <c r="E18" s="188" t="n"/>
      <c r="F18" s="188" t="n"/>
      <c r="G18" s="188" t="n"/>
      <c r="H18" s="188" t="n"/>
      <c r="I18" s="188" t="n"/>
      <c r="J18" s="188" t="n"/>
      <c r="K18" s="93" t="n"/>
      <c r="L18" s="93" t="n"/>
      <c r="M18" s="93" t="n"/>
      <c r="N18" s="93" t="n"/>
      <c r="O18" s="93" t="n"/>
      <c r="P18" s="93" t="n"/>
      <c r="Q18" s="93" t="n"/>
      <c r="R18" s="93" t="n"/>
      <c r="S18" s="93" t="n"/>
      <c r="T18" s="93" t="n"/>
      <c r="U18" s="93" t="n"/>
      <c r="V18" s="93" t="n"/>
      <c r="W18" s="93" t="n"/>
      <c r="X18" s="93" t="n"/>
      <c r="Y18" s="93" t="n"/>
      <c r="Z18" s="93" t="n"/>
    </row>
    <row r="19">
      <c r="A19" s="93">
        <f>IF(D19="","","AUD-"&amp;TEXT(ROW()-3,"0000"))</f>
        <v/>
      </c>
      <c r="B19" s="240" t="n"/>
      <c r="C19" s="188" t="n"/>
      <c r="D19" s="188" t="n"/>
      <c r="E19" s="188" t="n"/>
      <c r="F19" s="188" t="n"/>
      <c r="G19" s="188" t="n"/>
      <c r="H19" s="188" t="n"/>
      <c r="I19" s="188" t="n"/>
      <c r="J19" s="188" t="n"/>
      <c r="K19" s="93" t="n"/>
      <c r="L19" s="93" t="n"/>
      <c r="M19" s="93" t="n"/>
      <c r="N19" s="93" t="n"/>
      <c r="O19" s="93" t="n"/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</row>
    <row r="20">
      <c r="A20" s="93">
        <f>IF(D20="","","AUD-"&amp;TEXT(ROW()-3,"0000"))</f>
        <v/>
      </c>
      <c r="B20" s="240" t="n"/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</row>
    <row r="21">
      <c r="A21" s="93">
        <f>IF(D21="","","AUD-"&amp;TEXT(ROW()-3,"0000"))</f>
        <v/>
      </c>
      <c r="B21" s="240" t="n"/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93" t="n"/>
      <c r="L21" s="93" t="n"/>
      <c r="M21" s="93" t="n"/>
      <c r="N21" s="93" t="n"/>
      <c r="O21" s="93" t="n"/>
      <c r="P21" s="93" t="n"/>
      <c r="Q21" s="93" t="n"/>
      <c r="R21" s="93" t="n"/>
      <c r="S21" s="93" t="n"/>
      <c r="T21" s="93" t="n"/>
      <c r="U21" s="93" t="n"/>
      <c r="V21" s="93" t="n"/>
      <c r="W21" s="93" t="n"/>
      <c r="X21" s="93" t="n"/>
      <c r="Y21" s="93" t="n"/>
      <c r="Z21" s="93" t="n"/>
    </row>
    <row r="22">
      <c r="A22" s="93">
        <f>IF(D22="","","AUD-"&amp;TEXT(ROW()-3,"0000"))</f>
        <v/>
      </c>
      <c r="B22" s="240" t="n"/>
      <c r="C22" s="188" t="n"/>
      <c r="D22" s="188" t="n"/>
      <c r="E22" s="188" t="n"/>
      <c r="F22" s="188" t="n"/>
      <c r="G22" s="188" t="n"/>
      <c r="H22" s="188" t="n"/>
      <c r="I22" s="188" t="n"/>
      <c r="J22" s="188" t="n"/>
      <c r="K22" s="93" t="n"/>
      <c r="L22" s="93" t="n"/>
      <c r="M22" s="93" t="n"/>
      <c r="N22" s="93" t="n"/>
      <c r="O22" s="93" t="n"/>
      <c r="P22" s="93" t="n"/>
      <c r="Q22" s="93" t="n"/>
      <c r="R22" s="93" t="n"/>
      <c r="S22" s="93" t="n"/>
      <c r="T22" s="93" t="n"/>
      <c r="U22" s="93" t="n"/>
      <c r="V22" s="93" t="n"/>
      <c r="W22" s="93" t="n"/>
      <c r="X22" s="93" t="n"/>
      <c r="Y22" s="93" t="n"/>
      <c r="Z22" s="93" t="n"/>
    </row>
    <row r="23">
      <c r="A23" s="93">
        <f>IF(D23="","","AUD-"&amp;TEXT(ROW()-3,"0000"))</f>
        <v/>
      </c>
      <c r="B23" s="240" t="n"/>
      <c r="C23" s="188" t="n"/>
      <c r="D23" s="188" t="n"/>
      <c r="E23" s="188" t="n"/>
      <c r="F23" s="188" t="n"/>
      <c r="G23" s="188" t="n"/>
      <c r="H23" s="188" t="n"/>
      <c r="I23" s="188" t="n"/>
      <c r="J23" s="188" t="n"/>
      <c r="K23" s="93" t="n"/>
      <c r="L23" s="93" t="n"/>
      <c r="M23" s="93" t="n"/>
      <c r="N23" s="93" t="n"/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</row>
    <row r="24">
      <c r="A24" s="93">
        <f>IF(D24="","","AUD-"&amp;TEXT(ROW()-3,"0000"))</f>
        <v/>
      </c>
      <c r="B24" s="240" t="n"/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93" t="n"/>
      <c r="L24" s="93" t="n"/>
      <c r="M24" s="93" t="n"/>
      <c r="N24" s="93" t="n"/>
      <c r="O24" s="93" t="n"/>
      <c r="P24" s="93" t="n"/>
      <c r="Q24" s="93" t="n"/>
      <c r="R24" s="93" t="n"/>
      <c r="S24" s="93" t="n"/>
      <c r="T24" s="93" t="n"/>
      <c r="U24" s="93" t="n"/>
      <c r="V24" s="93" t="n"/>
      <c r="W24" s="93" t="n"/>
      <c r="X24" s="93" t="n"/>
      <c r="Y24" s="93" t="n"/>
      <c r="Z24" s="93" t="n"/>
    </row>
    <row r="25">
      <c r="A25" s="93">
        <f>IF(D25="","","AUD-"&amp;TEXT(ROW()-3,"0000"))</f>
        <v/>
      </c>
      <c r="B25" s="240" t="n"/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93" t="n"/>
      <c r="L25" s="93" t="n"/>
      <c r="M25" s="93" t="n"/>
      <c r="N25" s="93" t="n"/>
      <c r="O25" s="93" t="n"/>
      <c r="P25" s="93" t="n"/>
      <c r="Q25" s="93" t="n"/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</row>
    <row r="26">
      <c r="A26" s="93">
        <f>IF(D26="","","AUD-"&amp;TEXT(ROW()-3,"0000"))</f>
        <v/>
      </c>
      <c r="B26" s="240" t="n"/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93" t="n"/>
      <c r="L26" s="93" t="n"/>
      <c r="M26" s="93" t="n"/>
      <c r="N26" s="93" t="n"/>
      <c r="O26" s="93" t="n"/>
      <c r="P26" s="93" t="n"/>
      <c r="Q26" s="93" t="n"/>
      <c r="R26" s="93" t="n"/>
      <c r="S26" s="93" t="n"/>
      <c r="T26" s="93" t="n"/>
      <c r="U26" s="93" t="n"/>
      <c r="V26" s="93" t="n"/>
      <c r="W26" s="93" t="n"/>
      <c r="X26" s="93" t="n"/>
      <c r="Y26" s="93" t="n"/>
      <c r="Z26" s="93" t="n"/>
    </row>
    <row r="27">
      <c r="A27" s="93">
        <f>IF(D27="","","AUD-"&amp;TEXT(ROW()-3,"0000"))</f>
        <v/>
      </c>
      <c r="B27" s="240" t="n"/>
      <c r="C27" s="188" t="n"/>
      <c r="D27" s="188" t="n"/>
      <c r="E27" s="188" t="n"/>
      <c r="F27" s="188" t="n"/>
      <c r="G27" s="188" t="n"/>
      <c r="H27" s="188" t="n"/>
      <c r="I27" s="188" t="n"/>
      <c r="J27" s="188" t="n"/>
      <c r="K27" s="93" t="n"/>
      <c r="L27" s="93" t="n"/>
      <c r="M27" s="93" t="n"/>
      <c r="N27" s="93" t="n"/>
      <c r="O27" s="93" t="n"/>
      <c r="P27" s="93" t="n"/>
      <c r="Q27" s="93" t="n"/>
      <c r="R27" s="93" t="n"/>
      <c r="S27" s="93" t="n"/>
      <c r="T27" s="93" t="n"/>
      <c r="U27" s="93" t="n"/>
      <c r="V27" s="93" t="n"/>
      <c r="W27" s="93" t="n"/>
      <c r="X27" s="93" t="n"/>
      <c r="Y27" s="93" t="n"/>
      <c r="Z27" s="93" t="n"/>
    </row>
    <row r="28">
      <c r="A28" s="93">
        <f>IF(D28="","","AUD-"&amp;TEXT(ROW()-3,"0000"))</f>
        <v/>
      </c>
      <c r="B28" s="240" t="n"/>
      <c r="C28" s="188" t="n"/>
      <c r="D28" s="188" t="n"/>
      <c r="E28" s="188" t="n"/>
      <c r="F28" s="188" t="n"/>
      <c r="G28" s="188" t="n"/>
      <c r="H28" s="188" t="n"/>
      <c r="I28" s="188" t="n"/>
      <c r="J28" s="188" t="n"/>
      <c r="K28" s="93" t="n"/>
      <c r="L28" s="93" t="n"/>
      <c r="M28" s="93" t="n"/>
      <c r="N28" s="93" t="n"/>
      <c r="O28" s="93" t="n"/>
      <c r="P28" s="93" t="n"/>
      <c r="Q28" s="93" t="n"/>
      <c r="R28" s="93" t="n"/>
      <c r="S28" s="93" t="n"/>
      <c r="T28" s="93" t="n"/>
      <c r="U28" s="93" t="n"/>
      <c r="V28" s="93" t="n"/>
      <c r="W28" s="93" t="n"/>
      <c r="X28" s="93" t="n"/>
      <c r="Y28" s="93" t="n"/>
      <c r="Z28" s="93" t="n"/>
    </row>
    <row r="29">
      <c r="A29" s="93">
        <f>IF(D29="","","AUD-"&amp;TEXT(ROW()-3,"0000"))</f>
        <v/>
      </c>
      <c r="B29" s="240" t="n"/>
      <c r="C29" s="188" t="n"/>
      <c r="D29" s="188" t="n"/>
      <c r="E29" s="188" t="n"/>
      <c r="F29" s="188" t="n"/>
      <c r="G29" s="188" t="n"/>
      <c r="H29" s="188" t="n"/>
      <c r="I29" s="188" t="n"/>
      <c r="J29" s="188" t="n"/>
      <c r="K29" s="93" t="n"/>
      <c r="L29" s="93" t="n"/>
      <c r="M29" s="93" t="n"/>
      <c r="N29" s="93" t="n"/>
      <c r="O29" s="93" t="n"/>
      <c r="P29" s="93" t="n"/>
      <c r="Q29" s="93" t="n"/>
      <c r="R29" s="93" t="n"/>
      <c r="S29" s="93" t="n"/>
      <c r="T29" s="93" t="n"/>
      <c r="U29" s="93" t="n"/>
      <c r="V29" s="93" t="n"/>
      <c r="W29" s="93" t="n"/>
      <c r="X29" s="93" t="n"/>
      <c r="Y29" s="93" t="n"/>
      <c r="Z29" s="93" t="n"/>
    </row>
    <row r="30">
      <c r="A30" s="93">
        <f>IF(D30="","","AUD-"&amp;TEXT(ROW()-3,"0000"))</f>
        <v/>
      </c>
      <c r="B30" s="240" t="n"/>
      <c r="C30" s="188" t="n"/>
      <c r="D30" s="188" t="n"/>
      <c r="E30" s="188" t="n"/>
      <c r="F30" s="188" t="n"/>
      <c r="G30" s="188" t="n"/>
      <c r="H30" s="188" t="n"/>
      <c r="I30" s="188" t="n"/>
      <c r="J30" s="188" t="n"/>
      <c r="K30" s="93" t="n"/>
      <c r="L30" s="93" t="n"/>
      <c r="M30" s="93" t="n"/>
      <c r="N30" s="93" t="n"/>
      <c r="O30" s="93" t="n"/>
      <c r="P30" s="93" t="n"/>
      <c r="Q30" s="93" t="n"/>
      <c r="R30" s="93" t="n"/>
      <c r="S30" s="93" t="n"/>
      <c r="T30" s="93" t="n"/>
      <c r="U30" s="93" t="n"/>
      <c r="V30" s="93" t="n"/>
      <c r="W30" s="93" t="n"/>
      <c r="X30" s="93" t="n"/>
      <c r="Y30" s="93" t="n"/>
      <c r="Z30" s="93" t="n"/>
    </row>
    <row r="31">
      <c r="A31" s="93">
        <f>IF(D31="","","AUD-"&amp;TEXT(ROW()-3,"0000"))</f>
        <v/>
      </c>
      <c r="B31" s="240" t="n"/>
      <c r="C31" s="188" t="n"/>
      <c r="D31" s="188" t="n"/>
      <c r="E31" s="188" t="n"/>
      <c r="F31" s="188" t="n"/>
      <c r="G31" s="188" t="n"/>
      <c r="H31" s="188" t="n"/>
      <c r="I31" s="188" t="n"/>
      <c r="J31" s="188" t="n"/>
      <c r="K31" s="93" t="n"/>
      <c r="L31" s="93" t="n"/>
      <c r="M31" s="93" t="n"/>
      <c r="N31" s="93" t="n"/>
      <c r="O31" s="93" t="n"/>
      <c r="P31" s="93" t="n"/>
      <c r="Q31" s="93" t="n"/>
      <c r="R31" s="93" t="n"/>
      <c r="S31" s="93" t="n"/>
      <c r="T31" s="93" t="n"/>
      <c r="U31" s="93" t="n"/>
      <c r="V31" s="93" t="n"/>
      <c r="W31" s="93" t="n"/>
      <c r="X31" s="93" t="n"/>
      <c r="Y31" s="93" t="n"/>
      <c r="Z31" s="93" t="n"/>
    </row>
    <row r="32">
      <c r="A32" s="93">
        <f>IF(D32="","","AUD-"&amp;TEXT(ROW()-3,"0000"))</f>
        <v/>
      </c>
      <c r="B32" s="240" t="n"/>
      <c r="C32" s="188" t="n"/>
      <c r="D32" s="188" t="n"/>
      <c r="E32" s="188" t="n"/>
      <c r="F32" s="188" t="n"/>
      <c r="G32" s="188" t="n"/>
      <c r="H32" s="188" t="n"/>
      <c r="I32" s="188" t="n"/>
      <c r="J32" s="188" t="n"/>
      <c r="K32" s="93" t="n"/>
      <c r="L32" s="93" t="n"/>
      <c r="M32" s="93" t="n"/>
      <c r="N32" s="93" t="n"/>
      <c r="O32" s="93" t="n"/>
      <c r="P32" s="93" t="n"/>
      <c r="Q32" s="93" t="n"/>
      <c r="R32" s="93" t="n"/>
      <c r="S32" s="93" t="n"/>
      <c r="T32" s="93" t="n"/>
      <c r="U32" s="93" t="n"/>
      <c r="V32" s="93" t="n"/>
      <c r="W32" s="93" t="n"/>
      <c r="X32" s="93" t="n"/>
      <c r="Y32" s="93" t="n"/>
      <c r="Z32" s="93" t="n"/>
    </row>
    <row r="33">
      <c r="A33" s="93">
        <f>IF(D33="","","AUD-"&amp;TEXT(ROW()-3,"0000"))</f>
        <v/>
      </c>
      <c r="B33" s="240" t="n"/>
      <c r="C33" s="188" t="n"/>
      <c r="D33" s="188" t="n"/>
      <c r="E33" s="188" t="n"/>
      <c r="F33" s="188" t="n"/>
      <c r="G33" s="188" t="n"/>
      <c r="H33" s="188" t="n"/>
      <c r="I33" s="188" t="n"/>
      <c r="J33" s="188" t="n"/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  <c r="T33" s="93" t="n"/>
      <c r="U33" s="93" t="n"/>
      <c r="V33" s="93" t="n"/>
      <c r="W33" s="93" t="n"/>
      <c r="X33" s="93" t="n"/>
      <c r="Y33" s="93" t="n"/>
      <c r="Z33" s="93" t="n"/>
    </row>
    <row r="34">
      <c r="A34" s="93">
        <f>IF(D34="","","AUD-"&amp;TEXT(ROW()-3,"0000"))</f>
        <v/>
      </c>
      <c r="B34" s="240" t="n"/>
      <c r="C34" s="188" t="n"/>
      <c r="D34" s="188" t="n"/>
      <c r="E34" s="188" t="n"/>
      <c r="F34" s="188" t="n"/>
      <c r="G34" s="188" t="n"/>
      <c r="H34" s="188" t="n"/>
      <c r="I34" s="188" t="n"/>
      <c r="J34" s="188" t="n"/>
      <c r="K34" s="93" t="n"/>
      <c r="L34" s="93" t="n"/>
      <c r="M34" s="93" t="n"/>
      <c r="N34" s="93" t="n"/>
      <c r="O34" s="93" t="n"/>
      <c r="P34" s="93" t="n"/>
      <c r="Q34" s="93" t="n"/>
      <c r="R34" s="93" t="n"/>
      <c r="S34" s="93" t="n"/>
      <c r="T34" s="93" t="n"/>
      <c r="U34" s="93" t="n"/>
      <c r="V34" s="93" t="n"/>
      <c r="W34" s="93" t="n"/>
      <c r="X34" s="93" t="n"/>
      <c r="Y34" s="93" t="n"/>
      <c r="Z34" s="93" t="n"/>
    </row>
    <row r="35">
      <c r="A35" s="93">
        <f>IF(D35="","","AUD-"&amp;TEXT(ROW()-3,"0000"))</f>
        <v/>
      </c>
      <c r="B35" s="240" t="n"/>
      <c r="C35" s="188" t="n"/>
      <c r="D35" s="188" t="n"/>
      <c r="E35" s="188" t="n"/>
      <c r="F35" s="188" t="n"/>
      <c r="G35" s="188" t="n"/>
      <c r="H35" s="188" t="n"/>
      <c r="I35" s="188" t="n"/>
      <c r="J35" s="188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93" t="n"/>
      <c r="U35" s="93" t="n"/>
      <c r="V35" s="93" t="n"/>
      <c r="W35" s="93" t="n"/>
      <c r="X35" s="93" t="n"/>
      <c r="Y35" s="93" t="n"/>
      <c r="Z35" s="93" t="n"/>
    </row>
    <row r="36">
      <c r="A36" s="93">
        <f>IF(D36="","","AUD-"&amp;TEXT(ROW()-3,"0000"))</f>
        <v/>
      </c>
      <c r="B36" s="240" t="n"/>
      <c r="C36" s="188" t="n"/>
      <c r="D36" s="188" t="n"/>
      <c r="E36" s="188" t="n"/>
      <c r="F36" s="188" t="n"/>
      <c r="G36" s="188" t="n"/>
      <c r="H36" s="188" t="n"/>
      <c r="I36" s="188" t="n"/>
      <c r="J36" s="188" t="n"/>
      <c r="K36" s="93" t="n"/>
      <c r="L36" s="93" t="n"/>
      <c r="M36" s="93" t="n"/>
      <c r="N36" s="93" t="n"/>
      <c r="O36" s="93" t="n"/>
      <c r="P36" s="93" t="n"/>
      <c r="Q36" s="93" t="n"/>
      <c r="R36" s="93" t="n"/>
      <c r="S36" s="93" t="n"/>
      <c r="T36" s="93" t="n"/>
      <c r="U36" s="93" t="n"/>
      <c r="V36" s="93" t="n"/>
      <c r="W36" s="93" t="n"/>
      <c r="X36" s="93" t="n"/>
      <c r="Y36" s="93" t="n"/>
      <c r="Z36" s="93" t="n"/>
    </row>
    <row r="37">
      <c r="A37" s="93">
        <f>IF(D37="","","AUD-"&amp;TEXT(ROW()-3,"0000"))</f>
        <v/>
      </c>
      <c r="B37" s="240" t="n"/>
      <c r="C37" s="188" t="n"/>
      <c r="D37" s="188" t="n"/>
      <c r="E37" s="188" t="n"/>
      <c r="F37" s="188" t="n"/>
      <c r="G37" s="188" t="n"/>
      <c r="H37" s="188" t="n"/>
      <c r="I37" s="188" t="n"/>
      <c r="J37" s="188" t="n"/>
      <c r="K37" s="93" t="n"/>
      <c r="L37" s="93" t="n"/>
      <c r="M37" s="93" t="n"/>
      <c r="N37" s="93" t="n"/>
      <c r="O37" s="93" t="n"/>
      <c r="P37" s="93" t="n"/>
      <c r="Q37" s="93" t="n"/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</row>
    <row r="38">
      <c r="A38" s="93">
        <f>IF(D38="","","AUD-"&amp;TEXT(ROW()-3,"0000"))</f>
        <v/>
      </c>
      <c r="B38" s="240" t="n"/>
      <c r="C38" s="188" t="n"/>
      <c r="D38" s="188" t="n"/>
      <c r="E38" s="188" t="n"/>
      <c r="F38" s="188" t="n"/>
      <c r="G38" s="188" t="n"/>
      <c r="H38" s="188" t="n"/>
      <c r="I38" s="188" t="n"/>
      <c r="J38" s="188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</row>
    <row r="39">
      <c r="A39" s="93">
        <f>IF(D39="","","AUD-"&amp;TEXT(ROW()-3,"0000"))</f>
        <v/>
      </c>
      <c r="B39" s="240" t="n"/>
      <c r="C39" s="188" t="n"/>
      <c r="D39" s="188" t="n"/>
      <c r="E39" s="188" t="n"/>
      <c r="F39" s="188" t="n"/>
      <c r="G39" s="188" t="n"/>
      <c r="H39" s="188" t="n"/>
      <c r="I39" s="188" t="n"/>
      <c r="J39" s="188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</row>
    <row r="40">
      <c r="A40" s="93">
        <f>IF(D40="","","AUD-"&amp;TEXT(ROW()-3,"0000"))</f>
        <v/>
      </c>
      <c r="B40" s="240" t="n"/>
      <c r="C40" s="188" t="n"/>
      <c r="D40" s="188" t="n"/>
      <c r="E40" s="188" t="n"/>
      <c r="F40" s="188" t="n"/>
      <c r="G40" s="188" t="n"/>
      <c r="H40" s="188" t="n"/>
      <c r="I40" s="188" t="n"/>
      <c r="J40" s="188" t="n"/>
      <c r="K40" s="93" t="n"/>
      <c r="L40" s="93" t="n"/>
      <c r="M40" s="93" t="n"/>
      <c r="N40" s="93" t="n"/>
      <c r="O40" s="93" t="n"/>
      <c r="P40" s="93" t="n"/>
      <c r="Q40" s="93" t="n"/>
      <c r="R40" s="93" t="n"/>
      <c r="S40" s="93" t="n"/>
      <c r="T40" s="93" t="n"/>
      <c r="U40" s="93" t="n"/>
      <c r="V40" s="93" t="n"/>
      <c r="W40" s="93" t="n"/>
      <c r="X40" s="93" t="n"/>
      <c r="Y40" s="93" t="n"/>
      <c r="Z40" s="93" t="n"/>
    </row>
    <row r="41">
      <c r="A41" s="93">
        <f>IF(D41="","","AUD-"&amp;TEXT(ROW()-3,"0000"))</f>
        <v/>
      </c>
      <c r="B41" s="240" t="n"/>
      <c r="C41" s="188" t="n"/>
      <c r="D41" s="188" t="n"/>
      <c r="E41" s="188" t="n"/>
      <c r="F41" s="188" t="n"/>
      <c r="G41" s="188" t="n"/>
      <c r="H41" s="188" t="n"/>
      <c r="I41" s="188" t="n"/>
      <c r="J41" s="188" t="n"/>
      <c r="K41" s="93" t="n"/>
      <c r="L41" s="93" t="n"/>
      <c r="M41" s="93" t="n"/>
      <c r="N41" s="93" t="n"/>
      <c r="O41" s="93" t="n"/>
      <c r="P41" s="93" t="n"/>
      <c r="Q41" s="93" t="n"/>
      <c r="R41" s="93" t="n"/>
      <c r="S41" s="93" t="n"/>
      <c r="T41" s="93" t="n"/>
      <c r="U41" s="93" t="n"/>
      <c r="V41" s="93" t="n"/>
      <c r="W41" s="93" t="n"/>
      <c r="X41" s="93" t="n"/>
      <c r="Y41" s="93" t="n"/>
      <c r="Z41" s="93" t="n"/>
    </row>
    <row r="42">
      <c r="A42" s="93">
        <f>IF(D42="","","AUD-"&amp;TEXT(ROW()-3,"0000"))</f>
        <v/>
      </c>
      <c r="B42" s="240" t="n"/>
      <c r="C42" s="188" t="n"/>
      <c r="D42" s="188" t="n"/>
      <c r="E42" s="188" t="n"/>
      <c r="F42" s="188" t="n"/>
      <c r="G42" s="188" t="n"/>
      <c r="H42" s="188" t="n"/>
      <c r="I42" s="188" t="n"/>
      <c r="J42" s="188" t="n"/>
      <c r="K42" s="93" t="n"/>
      <c r="L42" s="93" t="n"/>
      <c r="M42" s="93" t="n"/>
      <c r="N42" s="93" t="n"/>
      <c r="O42" s="93" t="n"/>
      <c r="P42" s="93" t="n"/>
      <c r="Q42" s="93" t="n"/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</row>
    <row r="43">
      <c r="A43" s="93">
        <f>IF(D43="","","AUD-"&amp;TEXT(ROW()-3,"0000"))</f>
        <v/>
      </c>
      <c r="B43" s="240" t="n"/>
      <c r="C43" s="188" t="n"/>
      <c r="D43" s="188" t="n"/>
      <c r="E43" s="188" t="n"/>
      <c r="F43" s="188" t="n"/>
      <c r="G43" s="188" t="n"/>
      <c r="H43" s="188" t="n"/>
      <c r="I43" s="188" t="n"/>
      <c r="J43" s="188" t="n"/>
      <c r="K43" s="93" t="n"/>
      <c r="L43" s="93" t="n"/>
      <c r="M43" s="93" t="n"/>
      <c r="N43" s="93" t="n"/>
      <c r="O43" s="93" t="n"/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</row>
    <row r="44">
      <c r="A44" s="93">
        <f>IF(D44="","","AUD-"&amp;TEXT(ROW()-3,"0000"))</f>
        <v/>
      </c>
      <c r="B44" s="240" t="n"/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93" t="n"/>
      <c r="L44" s="93" t="n"/>
      <c r="M44" s="93" t="n"/>
      <c r="N44" s="93" t="n"/>
      <c r="O44" s="93" t="n"/>
      <c r="P44" s="93" t="n"/>
      <c r="Q44" s="93" t="n"/>
      <c r="R44" s="93" t="n"/>
      <c r="S44" s="93" t="n"/>
      <c r="T44" s="93" t="n"/>
      <c r="U44" s="93" t="n"/>
      <c r="V44" s="93" t="n"/>
      <c r="W44" s="93" t="n"/>
      <c r="X44" s="93" t="n"/>
      <c r="Y44" s="93" t="n"/>
      <c r="Z44" s="93" t="n"/>
    </row>
    <row r="45">
      <c r="A45" s="93">
        <f>IF(D45="","","AUD-"&amp;TEXT(ROW()-3,"0000"))</f>
        <v/>
      </c>
      <c r="B45" s="240" t="n"/>
      <c r="C45" s="188" t="n"/>
      <c r="D45" s="188" t="n"/>
      <c r="E45" s="188" t="n"/>
      <c r="F45" s="188" t="n"/>
      <c r="G45" s="188" t="n"/>
      <c r="H45" s="188" t="n"/>
      <c r="I45" s="188" t="n"/>
      <c r="J45" s="188" t="n"/>
      <c r="K45" s="93" t="n"/>
      <c r="L45" s="93" t="n"/>
      <c r="M45" s="93" t="n"/>
      <c r="N45" s="93" t="n"/>
      <c r="O45" s="93" t="n"/>
      <c r="P45" s="93" t="n"/>
      <c r="Q45" s="93" t="n"/>
      <c r="R45" s="93" t="n"/>
      <c r="S45" s="93" t="n"/>
      <c r="T45" s="93" t="n"/>
      <c r="U45" s="93" t="n"/>
      <c r="V45" s="93" t="n"/>
      <c r="W45" s="93" t="n"/>
      <c r="X45" s="93" t="n"/>
      <c r="Y45" s="93" t="n"/>
      <c r="Z45" s="93" t="n"/>
    </row>
    <row r="46">
      <c r="A46" s="93">
        <f>IF(D46="","","AUD-"&amp;TEXT(ROW()-3,"0000"))</f>
        <v/>
      </c>
      <c r="B46" s="240" t="n"/>
      <c r="C46" s="188" t="n"/>
      <c r="D46" s="188" t="n"/>
      <c r="E46" s="188" t="n"/>
      <c r="F46" s="188" t="n"/>
      <c r="G46" s="188" t="n"/>
      <c r="H46" s="188" t="n"/>
      <c r="I46" s="188" t="n"/>
      <c r="J46" s="188" t="n"/>
      <c r="K46" s="93" t="n"/>
      <c r="L46" s="93" t="n"/>
      <c r="M46" s="93" t="n"/>
      <c r="N46" s="93" t="n"/>
      <c r="O46" s="93" t="n"/>
      <c r="P46" s="93" t="n"/>
      <c r="Q46" s="93" t="n"/>
      <c r="R46" s="93" t="n"/>
      <c r="S46" s="93" t="n"/>
      <c r="T46" s="93" t="n"/>
      <c r="U46" s="93" t="n"/>
      <c r="V46" s="93" t="n"/>
      <c r="W46" s="93" t="n"/>
      <c r="X46" s="93" t="n"/>
      <c r="Y46" s="93" t="n"/>
      <c r="Z46" s="93" t="n"/>
    </row>
    <row r="47">
      <c r="A47" s="93">
        <f>IF(D47="","","AUD-"&amp;TEXT(ROW()-3,"0000"))</f>
        <v/>
      </c>
      <c r="B47" s="240" t="n"/>
      <c r="C47" s="188" t="n"/>
      <c r="D47" s="188" t="n"/>
      <c r="E47" s="188" t="n"/>
      <c r="F47" s="188" t="n"/>
      <c r="G47" s="188" t="n"/>
      <c r="H47" s="188" t="n"/>
      <c r="I47" s="188" t="n"/>
      <c r="J47" s="188" t="n"/>
      <c r="K47" s="93" t="n"/>
      <c r="L47" s="93" t="n"/>
      <c r="M47" s="93" t="n"/>
      <c r="N47" s="93" t="n"/>
      <c r="O47" s="93" t="n"/>
      <c r="P47" s="93" t="n"/>
      <c r="Q47" s="93" t="n"/>
      <c r="R47" s="93" t="n"/>
      <c r="S47" s="93" t="n"/>
      <c r="T47" s="93" t="n"/>
      <c r="U47" s="93" t="n"/>
      <c r="V47" s="93" t="n"/>
      <c r="W47" s="93" t="n"/>
      <c r="X47" s="93" t="n"/>
      <c r="Y47" s="93" t="n"/>
      <c r="Z47" s="93" t="n"/>
    </row>
    <row r="48">
      <c r="A48" s="93">
        <f>IF(D48="","","AUD-"&amp;TEXT(ROW()-3,"0000"))</f>
        <v/>
      </c>
      <c r="B48" s="240" t="n"/>
      <c r="C48" s="188" t="n"/>
      <c r="D48" s="188" t="n"/>
      <c r="E48" s="188" t="n"/>
      <c r="F48" s="188" t="n"/>
      <c r="G48" s="188" t="n"/>
      <c r="H48" s="188" t="n"/>
      <c r="I48" s="188" t="n"/>
      <c r="J48" s="188" t="n"/>
      <c r="K48" s="93" t="n"/>
      <c r="L48" s="93" t="n"/>
      <c r="M48" s="93" t="n"/>
      <c r="N48" s="93" t="n"/>
      <c r="O48" s="93" t="n"/>
      <c r="P48" s="93" t="n"/>
      <c r="Q48" s="93" t="n"/>
      <c r="R48" s="93" t="n"/>
      <c r="S48" s="93" t="n"/>
      <c r="T48" s="93" t="n"/>
      <c r="U48" s="93" t="n"/>
      <c r="V48" s="93" t="n"/>
      <c r="W48" s="93" t="n"/>
      <c r="X48" s="93" t="n"/>
      <c r="Y48" s="93" t="n"/>
      <c r="Z48" s="93" t="n"/>
    </row>
    <row r="49">
      <c r="A49" s="93">
        <f>IF(D49="","","AUD-"&amp;TEXT(ROW()-3,"0000"))</f>
        <v/>
      </c>
      <c r="B49" s="240" t="n"/>
      <c r="C49" s="188" t="n"/>
      <c r="D49" s="188" t="n"/>
      <c r="E49" s="188" t="n"/>
      <c r="F49" s="188" t="n"/>
      <c r="G49" s="188" t="n"/>
      <c r="H49" s="188" t="n"/>
      <c r="I49" s="188" t="n"/>
      <c r="J49" s="188" t="n"/>
      <c r="K49" s="93" t="n"/>
      <c r="L49" s="93" t="n"/>
      <c r="M49" s="93" t="n"/>
      <c r="N49" s="93" t="n"/>
      <c r="O49" s="93" t="n"/>
      <c r="P49" s="93" t="n"/>
      <c r="Q49" s="93" t="n"/>
      <c r="R49" s="93" t="n"/>
      <c r="S49" s="93" t="n"/>
      <c r="T49" s="93" t="n"/>
      <c r="U49" s="93" t="n"/>
      <c r="V49" s="93" t="n"/>
      <c r="W49" s="93" t="n"/>
      <c r="X49" s="93" t="n"/>
      <c r="Y49" s="93" t="n"/>
      <c r="Z49" s="93" t="n"/>
    </row>
    <row r="50">
      <c r="A50" s="93">
        <f>IF(D50="","","AUD-"&amp;TEXT(ROW()-3,"0000"))</f>
        <v/>
      </c>
      <c r="B50" s="240" t="n"/>
      <c r="C50" s="188" t="n"/>
      <c r="D50" s="188" t="n"/>
      <c r="E50" s="188" t="n"/>
      <c r="F50" s="188" t="n"/>
      <c r="G50" s="188" t="n"/>
      <c r="H50" s="188" t="n"/>
      <c r="I50" s="188" t="n"/>
      <c r="J50" s="188" t="n"/>
      <c r="K50" s="93" t="n"/>
      <c r="L50" s="93" t="n"/>
      <c r="M50" s="93" t="n"/>
      <c r="N50" s="93" t="n"/>
      <c r="O50" s="93" t="n"/>
      <c r="P50" s="93" t="n"/>
      <c r="Q50" s="93" t="n"/>
      <c r="R50" s="93" t="n"/>
      <c r="S50" s="93" t="n"/>
      <c r="T50" s="93" t="n"/>
      <c r="U50" s="93" t="n"/>
      <c r="V50" s="93" t="n"/>
      <c r="W50" s="93" t="n"/>
      <c r="X50" s="93" t="n"/>
      <c r="Y50" s="93" t="n"/>
      <c r="Z50" s="93" t="n"/>
    </row>
    <row r="51">
      <c r="A51" s="93">
        <f>IF(D51="","","AUD-"&amp;TEXT(ROW()-3,"0000"))</f>
        <v/>
      </c>
      <c r="B51" s="240" t="n"/>
      <c r="C51" s="188" t="n"/>
      <c r="D51" s="188" t="n"/>
      <c r="E51" s="188" t="n"/>
      <c r="F51" s="188" t="n"/>
      <c r="G51" s="188" t="n"/>
      <c r="H51" s="188" t="n"/>
      <c r="I51" s="188" t="n"/>
      <c r="J51" s="188" t="n"/>
      <c r="K51" s="93" t="n"/>
      <c r="L51" s="93" t="n"/>
      <c r="M51" s="93" t="n"/>
      <c r="N51" s="93" t="n"/>
      <c r="O51" s="93" t="n"/>
      <c r="P51" s="93" t="n"/>
      <c r="Q51" s="93" t="n"/>
      <c r="R51" s="93" t="n"/>
      <c r="S51" s="93" t="n"/>
      <c r="T51" s="93" t="n"/>
      <c r="U51" s="93" t="n"/>
      <c r="V51" s="93" t="n"/>
      <c r="W51" s="93" t="n"/>
      <c r="X51" s="93" t="n"/>
      <c r="Y51" s="93" t="n"/>
      <c r="Z51" s="93" t="n"/>
    </row>
    <row r="52">
      <c r="A52" s="93">
        <f>IF(D52="","","AUD-"&amp;TEXT(ROW()-3,"0000"))</f>
        <v/>
      </c>
      <c r="B52" s="240" t="n"/>
      <c r="C52" s="188" t="n"/>
      <c r="D52" s="188" t="n"/>
      <c r="E52" s="188" t="n"/>
      <c r="F52" s="188" t="n"/>
      <c r="G52" s="188" t="n"/>
      <c r="H52" s="188" t="n"/>
      <c r="I52" s="188" t="n"/>
      <c r="J52" s="188" t="n"/>
      <c r="K52" s="93" t="n"/>
      <c r="L52" s="93" t="n"/>
      <c r="M52" s="93" t="n"/>
      <c r="N52" s="93" t="n"/>
      <c r="O52" s="93" t="n"/>
      <c r="P52" s="93" t="n"/>
      <c r="Q52" s="93" t="n"/>
      <c r="R52" s="93" t="n"/>
      <c r="S52" s="93" t="n"/>
      <c r="T52" s="93" t="n"/>
      <c r="U52" s="93" t="n"/>
      <c r="V52" s="93" t="n"/>
      <c r="W52" s="93" t="n"/>
      <c r="X52" s="93" t="n"/>
      <c r="Y52" s="93" t="n"/>
      <c r="Z52" s="93" t="n"/>
    </row>
    <row r="53">
      <c r="A53" s="93">
        <f>IF(D53="","","AUD-"&amp;TEXT(ROW()-3,"0000"))</f>
        <v/>
      </c>
      <c r="B53" s="240" t="n"/>
      <c r="C53" s="188" t="n"/>
      <c r="D53" s="188" t="n"/>
      <c r="E53" s="188" t="n"/>
      <c r="F53" s="188" t="n"/>
      <c r="G53" s="188" t="n"/>
      <c r="H53" s="188" t="n"/>
      <c r="I53" s="188" t="n"/>
      <c r="J53" s="188" t="n"/>
      <c r="K53" s="93" t="n"/>
      <c r="L53" s="93" t="n"/>
      <c r="M53" s="93" t="n"/>
      <c r="N53" s="93" t="n"/>
      <c r="O53" s="93" t="n"/>
      <c r="P53" s="93" t="n"/>
      <c r="Q53" s="93" t="n"/>
      <c r="R53" s="93" t="n"/>
      <c r="S53" s="93" t="n"/>
      <c r="T53" s="93" t="n"/>
      <c r="U53" s="93" t="n"/>
      <c r="V53" s="93" t="n"/>
      <c r="W53" s="93" t="n"/>
      <c r="X53" s="93" t="n"/>
      <c r="Y53" s="93" t="n"/>
      <c r="Z53" s="93" t="n"/>
    </row>
    <row r="54">
      <c r="A54" s="93">
        <f>IF(D54="","","AUD-"&amp;TEXT(ROW()-3,"0000"))</f>
        <v/>
      </c>
      <c r="B54" s="240" t="n"/>
      <c r="C54" s="188" t="n"/>
      <c r="D54" s="188" t="n"/>
      <c r="E54" s="188" t="n"/>
      <c r="F54" s="188" t="n"/>
      <c r="G54" s="188" t="n"/>
      <c r="H54" s="188" t="n"/>
      <c r="I54" s="188" t="n"/>
      <c r="J54" s="188" t="n"/>
      <c r="K54" s="93" t="n"/>
      <c r="L54" s="93" t="n"/>
      <c r="M54" s="93" t="n"/>
      <c r="N54" s="93" t="n"/>
      <c r="O54" s="93" t="n"/>
      <c r="P54" s="93" t="n"/>
      <c r="Q54" s="93" t="n"/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</row>
    <row r="55">
      <c r="A55" s="93">
        <f>IF(D55="","","AUD-"&amp;TEXT(ROW()-3,"0000"))</f>
        <v/>
      </c>
      <c r="B55" s="240" t="n"/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93" t="n"/>
      <c r="L55" s="93" t="n"/>
      <c r="M55" s="93" t="n"/>
      <c r="N55" s="93" t="n"/>
      <c r="O55" s="93" t="n"/>
      <c r="P55" s="93" t="n"/>
      <c r="Q55" s="93" t="n"/>
      <c r="R55" s="93" t="n"/>
      <c r="S55" s="93" t="n"/>
      <c r="T55" s="93" t="n"/>
      <c r="U55" s="93" t="n"/>
      <c r="V55" s="93" t="n"/>
      <c r="W55" s="93" t="n"/>
      <c r="X55" s="93" t="n"/>
      <c r="Y55" s="93" t="n"/>
      <c r="Z55" s="93" t="n"/>
    </row>
    <row r="56">
      <c r="A56" s="93">
        <f>IF(D56="","","AUD-"&amp;TEXT(ROW()-3,"0000"))</f>
        <v/>
      </c>
      <c r="B56" s="240" t="n"/>
      <c r="C56" s="188" t="n"/>
      <c r="D56" s="188" t="n"/>
      <c r="E56" s="188" t="n"/>
      <c r="F56" s="188" t="n"/>
      <c r="G56" s="188" t="n"/>
      <c r="H56" s="188" t="n"/>
      <c r="I56" s="188" t="n"/>
      <c r="J56" s="188" t="n"/>
      <c r="K56" s="93" t="n"/>
      <c r="L56" s="93" t="n"/>
      <c r="M56" s="93" t="n"/>
      <c r="N56" s="93" t="n"/>
      <c r="O56" s="93" t="n"/>
      <c r="P56" s="93" t="n"/>
      <c r="Q56" s="93" t="n"/>
      <c r="R56" s="93" t="n"/>
      <c r="S56" s="93" t="n"/>
      <c r="T56" s="93" t="n"/>
      <c r="U56" s="93" t="n"/>
      <c r="V56" s="93" t="n"/>
      <c r="W56" s="93" t="n"/>
      <c r="X56" s="93" t="n"/>
      <c r="Y56" s="93" t="n"/>
      <c r="Z56" s="93" t="n"/>
    </row>
    <row r="57">
      <c r="A57" s="93">
        <f>IF(D57="","","AUD-"&amp;TEXT(ROW()-3,"0000"))</f>
        <v/>
      </c>
      <c r="B57" s="240" t="n"/>
      <c r="C57" s="188" t="n"/>
      <c r="D57" s="188" t="n"/>
      <c r="E57" s="188" t="n"/>
      <c r="F57" s="188" t="n"/>
      <c r="G57" s="188" t="n"/>
      <c r="H57" s="188" t="n"/>
      <c r="I57" s="188" t="n"/>
      <c r="J57" s="188" t="n"/>
      <c r="K57" s="93" t="n"/>
      <c r="L57" s="93" t="n"/>
      <c r="M57" s="93" t="n"/>
      <c r="N57" s="93" t="n"/>
      <c r="O57" s="93" t="n"/>
      <c r="P57" s="93" t="n"/>
      <c r="Q57" s="93" t="n"/>
      <c r="R57" s="93" t="n"/>
      <c r="S57" s="93" t="n"/>
      <c r="T57" s="93" t="n"/>
      <c r="U57" s="93" t="n"/>
      <c r="V57" s="93" t="n"/>
      <c r="W57" s="93" t="n"/>
      <c r="X57" s="93" t="n"/>
      <c r="Y57" s="93" t="n"/>
      <c r="Z57" s="93" t="n"/>
    </row>
    <row r="58">
      <c r="A58" s="93">
        <f>IF(D58="","","AUD-"&amp;TEXT(ROW()-3,"0000"))</f>
        <v/>
      </c>
      <c r="B58" s="240" t="n"/>
      <c r="C58" s="188" t="n"/>
      <c r="D58" s="188" t="n"/>
      <c r="E58" s="188" t="n"/>
      <c r="F58" s="188" t="n"/>
      <c r="G58" s="188" t="n"/>
      <c r="H58" s="188" t="n"/>
      <c r="I58" s="188" t="n"/>
      <c r="J58" s="188" t="n"/>
      <c r="K58" s="93" t="n"/>
      <c r="L58" s="93" t="n"/>
      <c r="M58" s="93" t="n"/>
      <c r="N58" s="93" t="n"/>
      <c r="O58" s="93" t="n"/>
      <c r="P58" s="93" t="n"/>
      <c r="Q58" s="93" t="n"/>
      <c r="R58" s="93" t="n"/>
      <c r="S58" s="93" t="n"/>
      <c r="T58" s="93" t="n"/>
      <c r="U58" s="93" t="n"/>
      <c r="V58" s="93" t="n"/>
      <c r="W58" s="93" t="n"/>
      <c r="X58" s="93" t="n"/>
      <c r="Y58" s="93" t="n"/>
      <c r="Z58" s="93" t="n"/>
    </row>
    <row r="59">
      <c r="A59" s="93">
        <f>IF(D59="","","AUD-"&amp;TEXT(ROW()-3,"0000"))</f>
        <v/>
      </c>
      <c r="B59" s="240" t="n"/>
      <c r="C59" s="188" t="n"/>
      <c r="D59" s="188" t="n"/>
      <c r="E59" s="188" t="n"/>
      <c r="F59" s="188" t="n"/>
      <c r="G59" s="188" t="n"/>
      <c r="H59" s="188" t="n"/>
      <c r="I59" s="188" t="n"/>
      <c r="J59" s="188" t="n"/>
      <c r="K59" s="93" t="n"/>
      <c r="L59" s="93" t="n"/>
      <c r="M59" s="93" t="n"/>
      <c r="N59" s="93" t="n"/>
      <c r="O59" s="93" t="n"/>
      <c r="P59" s="93" t="n"/>
      <c r="Q59" s="93" t="n"/>
      <c r="R59" s="93" t="n"/>
      <c r="S59" s="93" t="n"/>
      <c r="T59" s="93" t="n"/>
      <c r="U59" s="93" t="n"/>
      <c r="V59" s="93" t="n"/>
      <c r="W59" s="93" t="n"/>
      <c r="X59" s="93" t="n"/>
      <c r="Y59" s="93" t="n"/>
      <c r="Z59" s="93" t="n"/>
    </row>
    <row r="60">
      <c r="A60" s="93">
        <f>IF(D60="","","AUD-"&amp;TEXT(ROW()-3,"0000"))</f>
        <v/>
      </c>
      <c r="B60" s="240" t="n"/>
      <c r="C60" s="188" t="n"/>
      <c r="D60" s="188" t="n"/>
      <c r="E60" s="188" t="n"/>
      <c r="F60" s="188" t="n"/>
      <c r="G60" s="188" t="n"/>
      <c r="H60" s="188" t="n"/>
      <c r="I60" s="188" t="n"/>
      <c r="J60" s="188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93" t="n"/>
      <c r="Z60" s="93" t="n"/>
    </row>
    <row r="61">
      <c r="A61" s="93">
        <f>IF(D61="","","AUD-"&amp;TEXT(ROW()-3,"0000"))</f>
        <v/>
      </c>
      <c r="B61" s="240" t="n"/>
      <c r="C61" s="188" t="n"/>
      <c r="D61" s="188" t="n"/>
      <c r="E61" s="188" t="n"/>
      <c r="F61" s="188" t="n"/>
      <c r="G61" s="188" t="n"/>
      <c r="H61" s="188" t="n"/>
      <c r="I61" s="188" t="n"/>
      <c r="J61" s="188" t="n"/>
      <c r="K61" s="93" t="n"/>
      <c r="L61" s="93" t="n"/>
      <c r="M61" s="93" t="n"/>
      <c r="N61" s="93" t="n"/>
      <c r="O61" s="93" t="n"/>
      <c r="P61" s="93" t="n"/>
      <c r="Q61" s="93" t="n"/>
      <c r="R61" s="93" t="n"/>
      <c r="S61" s="93" t="n"/>
      <c r="T61" s="93" t="n"/>
      <c r="U61" s="93" t="n"/>
      <c r="V61" s="93" t="n"/>
      <c r="W61" s="93" t="n"/>
      <c r="X61" s="93" t="n"/>
      <c r="Y61" s="93" t="n"/>
      <c r="Z61" s="93" t="n"/>
    </row>
    <row r="62">
      <c r="A62" s="93">
        <f>IF(D62="","","AUD-"&amp;TEXT(ROW()-3,"0000"))</f>
        <v/>
      </c>
      <c r="B62" s="240" t="n"/>
      <c r="C62" s="188" t="n"/>
      <c r="D62" s="188" t="n"/>
      <c r="E62" s="188" t="n"/>
      <c r="F62" s="188" t="n"/>
      <c r="G62" s="188" t="n"/>
      <c r="H62" s="188" t="n"/>
      <c r="I62" s="188" t="n"/>
      <c r="J62" s="188" t="n"/>
      <c r="K62" s="93" t="n"/>
      <c r="L62" s="93" t="n"/>
      <c r="M62" s="93" t="n"/>
      <c r="N62" s="93" t="n"/>
      <c r="O62" s="93" t="n"/>
      <c r="P62" s="93" t="n"/>
      <c r="Q62" s="93" t="n"/>
      <c r="R62" s="93" t="n"/>
      <c r="S62" s="93" t="n"/>
      <c r="T62" s="93" t="n"/>
      <c r="U62" s="93" t="n"/>
      <c r="V62" s="93" t="n"/>
      <c r="W62" s="93" t="n"/>
      <c r="X62" s="93" t="n"/>
      <c r="Y62" s="93" t="n"/>
      <c r="Z62" s="93" t="n"/>
    </row>
    <row r="63">
      <c r="A63" s="93">
        <f>IF(D63="","","AUD-"&amp;TEXT(ROW()-3,"0000"))</f>
        <v/>
      </c>
      <c r="B63" s="240" t="n"/>
      <c r="C63" s="188" t="n"/>
      <c r="D63" s="188" t="n"/>
      <c r="E63" s="188" t="n"/>
      <c r="F63" s="188" t="n"/>
      <c r="G63" s="188" t="n"/>
      <c r="H63" s="188" t="n"/>
      <c r="I63" s="188" t="n"/>
      <c r="J63" s="188" t="n"/>
      <c r="K63" s="93" t="n"/>
      <c r="L63" s="93" t="n"/>
      <c r="M63" s="93" t="n"/>
      <c r="N63" s="93" t="n"/>
      <c r="O63" s="93" t="n"/>
      <c r="P63" s="93" t="n"/>
      <c r="Q63" s="93" t="n"/>
      <c r="R63" s="93" t="n"/>
      <c r="S63" s="93" t="n"/>
      <c r="T63" s="93" t="n"/>
      <c r="U63" s="93" t="n"/>
      <c r="V63" s="93" t="n"/>
      <c r="W63" s="93" t="n"/>
      <c r="X63" s="93" t="n"/>
      <c r="Y63" s="93" t="n"/>
      <c r="Z63" s="93" t="n"/>
    </row>
    <row r="64">
      <c r="A64" s="93">
        <f>IF(D64="","","AUD-"&amp;TEXT(ROW()-3,"0000"))</f>
        <v/>
      </c>
      <c r="B64" s="240" t="n"/>
      <c r="C64" s="188" t="n"/>
      <c r="D64" s="188" t="n"/>
      <c r="E64" s="188" t="n"/>
      <c r="F64" s="188" t="n"/>
      <c r="G64" s="188" t="n"/>
      <c r="H64" s="188" t="n"/>
      <c r="I64" s="188" t="n"/>
      <c r="J64" s="188" t="n"/>
      <c r="K64" s="93" t="n"/>
      <c r="L64" s="93" t="n"/>
      <c r="M64" s="93" t="n"/>
      <c r="N64" s="93" t="n"/>
      <c r="O64" s="93" t="n"/>
      <c r="P64" s="93" t="n"/>
      <c r="Q64" s="93" t="n"/>
      <c r="R64" s="93" t="n"/>
      <c r="S64" s="93" t="n"/>
      <c r="T64" s="93" t="n"/>
      <c r="U64" s="93" t="n"/>
      <c r="V64" s="93" t="n"/>
      <c r="W64" s="93" t="n"/>
      <c r="X64" s="93" t="n"/>
      <c r="Y64" s="93" t="n"/>
      <c r="Z64" s="93" t="n"/>
    </row>
    <row r="65">
      <c r="A65" s="93">
        <f>IF(D65="","","AUD-"&amp;TEXT(ROW()-3,"0000"))</f>
        <v/>
      </c>
      <c r="B65" s="240" t="n"/>
      <c r="C65" s="188" t="n"/>
      <c r="D65" s="188" t="n"/>
      <c r="E65" s="188" t="n"/>
      <c r="F65" s="188" t="n"/>
      <c r="G65" s="188" t="n"/>
      <c r="H65" s="188" t="n"/>
      <c r="I65" s="188" t="n"/>
      <c r="J65" s="188" t="n"/>
      <c r="K65" s="93" t="n"/>
      <c r="L65" s="93" t="n"/>
      <c r="M65" s="93" t="n"/>
      <c r="N65" s="93" t="n"/>
      <c r="O65" s="93" t="n"/>
      <c r="P65" s="93" t="n"/>
      <c r="Q65" s="93" t="n"/>
      <c r="R65" s="93" t="n"/>
      <c r="S65" s="93" t="n"/>
      <c r="T65" s="93" t="n"/>
      <c r="U65" s="93" t="n"/>
      <c r="V65" s="93" t="n"/>
      <c r="W65" s="93" t="n"/>
      <c r="X65" s="93" t="n"/>
      <c r="Y65" s="93" t="n"/>
      <c r="Z65" s="93" t="n"/>
    </row>
    <row r="66">
      <c r="A66" s="93">
        <f>IF(D66="","","AUD-"&amp;TEXT(ROW()-3,"0000"))</f>
        <v/>
      </c>
      <c r="B66" s="240" t="n"/>
      <c r="C66" s="188" t="n"/>
      <c r="D66" s="188" t="n"/>
      <c r="E66" s="188" t="n"/>
      <c r="F66" s="188" t="n"/>
      <c r="G66" s="188" t="n"/>
      <c r="H66" s="188" t="n"/>
      <c r="I66" s="188" t="n"/>
      <c r="J66" s="188" t="n"/>
      <c r="K66" s="93" t="n"/>
      <c r="L66" s="93" t="n"/>
      <c r="M66" s="93" t="n"/>
      <c r="N66" s="93" t="n"/>
      <c r="O66" s="93" t="n"/>
      <c r="P66" s="93" t="n"/>
      <c r="Q66" s="93" t="n"/>
      <c r="R66" s="93" t="n"/>
      <c r="S66" s="93" t="n"/>
      <c r="T66" s="93" t="n"/>
      <c r="U66" s="93" t="n"/>
      <c r="V66" s="93" t="n"/>
      <c r="W66" s="93" t="n"/>
      <c r="X66" s="93" t="n"/>
      <c r="Y66" s="93" t="n"/>
      <c r="Z66" s="93" t="n"/>
    </row>
    <row r="67">
      <c r="A67" s="93">
        <f>IF(D67="","","AUD-"&amp;TEXT(ROW()-3,"0000"))</f>
        <v/>
      </c>
      <c r="B67" s="240" t="n"/>
      <c r="C67" s="188" t="n"/>
      <c r="D67" s="188" t="n"/>
      <c r="E67" s="188" t="n"/>
      <c r="F67" s="188" t="n"/>
      <c r="G67" s="188" t="n"/>
      <c r="H67" s="188" t="n"/>
      <c r="I67" s="188" t="n"/>
      <c r="J67" s="188" t="n"/>
      <c r="K67" s="93" t="n"/>
      <c r="L67" s="93" t="n"/>
      <c r="M67" s="93" t="n"/>
      <c r="N67" s="93" t="n"/>
      <c r="O67" s="93" t="n"/>
      <c r="P67" s="93" t="n"/>
      <c r="Q67" s="93" t="n"/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</row>
    <row r="68">
      <c r="A68" s="93">
        <f>IF(D68="","","AUD-"&amp;TEXT(ROW()-3,"0000"))</f>
        <v/>
      </c>
      <c r="B68" s="240" t="n"/>
      <c r="C68" s="188" t="n"/>
      <c r="D68" s="188" t="n"/>
      <c r="E68" s="188" t="n"/>
      <c r="F68" s="188" t="n"/>
      <c r="G68" s="188" t="n"/>
      <c r="H68" s="188" t="n"/>
      <c r="I68" s="188" t="n"/>
      <c r="J68" s="188" t="n"/>
      <c r="K68" s="93" t="n"/>
      <c r="L68" s="93" t="n"/>
      <c r="M68" s="93" t="n"/>
      <c r="N68" s="93" t="n"/>
      <c r="O68" s="93" t="n"/>
      <c r="P68" s="93" t="n"/>
      <c r="Q68" s="93" t="n"/>
      <c r="R68" s="93" t="n"/>
      <c r="S68" s="93" t="n"/>
      <c r="T68" s="93" t="n"/>
      <c r="U68" s="93" t="n"/>
      <c r="V68" s="93" t="n"/>
      <c r="W68" s="93" t="n"/>
      <c r="X68" s="93" t="n"/>
      <c r="Y68" s="93" t="n"/>
      <c r="Z68" s="93" t="n"/>
    </row>
    <row r="69">
      <c r="A69" s="93">
        <f>IF(D69="","","AUD-"&amp;TEXT(ROW()-3,"0000"))</f>
        <v/>
      </c>
      <c r="B69" s="240" t="n"/>
      <c r="C69" s="188" t="n"/>
      <c r="D69" s="188" t="n"/>
      <c r="E69" s="188" t="n"/>
      <c r="F69" s="188" t="n"/>
      <c r="G69" s="188" t="n"/>
      <c r="H69" s="188" t="n"/>
      <c r="I69" s="188" t="n"/>
      <c r="J69" s="188" t="n"/>
      <c r="K69" s="93" t="n"/>
      <c r="L69" s="93" t="n"/>
      <c r="M69" s="93" t="n"/>
      <c r="N69" s="93" t="n"/>
      <c r="O69" s="93" t="n"/>
      <c r="P69" s="93" t="n"/>
      <c r="Q69" s="93" t="n"/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</row>
    <row r="70">
      <c r="A70" s="93">
        <f>IF(D70="","","AUD-"&amp;TEXT(ROW()-3,"0000"))</f>
        <v/>
      </c>
      <c r="B70" s="240" t="n"/>
      <c r="C70" s="188" t="n"/>
      <c r="D70" s="188" t="n"/>
      <c r="E70" s="188" t="n"/>
      <c r="F70" s="188" t="n"/>
      <c r="G70" s="188" t="n"/>
      <c r="H70" s="188" t="n"/>
      <c r="I70" s="188" t="n"/>
      <c r="J70" s="188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3" t="n"/>
      <c r="V70" s="93" t="n"/>
      <c r="W70" s="93" t="n"/>
      <c r="X70" s="93" t="n"/>
      <c r="Y70" s="93" t="n"/>
      <c r="Z70" s="93" t="n"/>
    </row>
    <row r="71">
      <c r="A71" s="93">
        <f>IF(D71="","","AUD-"&amp;TEXT(ROW()-3,"0000"))</f>
        <v/>
      </c>
      <c r="B71" s="240" t="n"/>
      <c r="C71" s="188" t="n"/>
      <c r="D71" s="188" t="n"/>
      <c r="E71" s="188" t="n"/>
      <c r="F71" s="188" t="n"/>
      <c r="G71" s="188" t="n"/>
      <c r="H71" s="188" t="n"/>
      <c r="I71" s="188" t="n"/>
      <c r="J71" s="188" t="n"/>
      <c r="K71" s="93" t="n"/>
      <c r="L71" s="93" t="n"/>
      <c r="M71" s="93" t="n"/>
      <c r="N71" s="93" t="n"/>
      <c r="O71" s="93" t="n"/>
      <c r="P71" s="93" t="n"/>
      <c r="Q71" s="93" t="n"/>
      <c r="R71" s="93" t="n"/>
      <c r="S71" s="93" t="n"/>
      <c r="T71" s="93" t="n"/>
      <c r="U71" s="93" t="n"/>
      <c r="V71" s="93" t="n"/>
      <c r="W71" s="93" t="n"/>
      <c r="X71" s="93" t="n"/>
      <c r="Y71" s="93" t="n"/>
      <c r="Z71" s="93" t="n"/>
    </row>
    <row r="72">
      <c r="A72" s="93">
        <f>IF(D72="","","AUD-"&amp;TEXT(ROW()-3,"0000"))</f>
        <v/>
      </c>
      <c r="B72" s="240" t="n"/>
      <c r="C72" s="188" t="n"/>
      <c r="D72" s="188" t="n"/>
      <c r="E72" s="188" t="n"/>
      <c r="F72" s="188" t="n"/>
      <c r="G72" s="188" t="n"/>
      <c r="H72" s="188" t="n"/>
      <c r="I72" s="188" t="n"/>
      <c r="J72" s="188" t="n"/>
      <c r="K72" s="93" t="n"/>
      <c r="L72" s="93" t="n"/>
      <c r="M72" s="93" t="n"/>
      <c r="N72" s="93" t="n"/>
      <c r="O72" s="93" t="n"/>
      <c r="P72" s="93" t="n"/>
      <c r="Q72" s="93" t="n"/>
      <c r="R72" s="93" t="n"/>
      <c r="S72" s="93" t="n"/>
      <c r="T72" s="93" t="n"/>
      <c r="U72" s="93" t="n"/>
      <c r="V72" s="93" t="n"/>
      <c r="W72" s="93" t="n"/>
      <c r="X72" s="93" t="n"/>
      <c r="Y72" s="93" t="n"/>
      <c r="Z72" s="93" t="n"/>
    </row>
    <row r="73">
      <c r="A73" s="93">
        <f>IF(D73="","","AUD-"&amp;TEXT(ROW()-3,"0000"))</f>
        <v/>
      </c>
      <c r="B73" s="240" t="n"/>
      <c r="C73" s="188" t="n"/>
      <c r="D73" s="188" t="n"/>
      <c r="E73" s="188" t="n"/>
      <c r="F73" s="188" t="n"/>
      <c r="G73" s="188" t="n"/>
      <c r="H73" s="188" t="n"/>
      <c r="I73" s="188" t="n"/>
      <c r="J73" s="188" t="n"/>
      <c r="K73" s="93" t="n"/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</row>
    <row r="74">
      <c r="A74" s="93">
        <f>IF(D74="","","AUD-"&amp;TEXT(ROW()-3,"0000"))</f>
        <v/>
      </c>
      <c r="B74" s="240" t="n"/>
      <c r="C74" s="188" t="n"/>
      <c r="D74" s="188" t="n"/>
      <c r="E74" s="188" t="n"/>
      <c r="F74" s="188" t="n"/>
      <c r="G74" s="188" t="n"/>
      <c r="H74" s="188" t="n"/>
      <c r="I74" s="188" t="n"/>
      <c r="J74" s="188" t="n"/>
      <c r="K74" s="93" t="n"/>
      <c r="L74" s="93" t="n"/>
      <c r="M74" s="93" t="n"/>
      <c r="N74" s="93" t="n"/>
      <c r="O74" s="93" t="n"/>
      <c r="P74" s="93" t="n"/>
      <c r="Q74" s="93" t="n"/>
      <c r="R74" s="93" t="n"/>
      <c r="S74" s="93" t="n"/>
      <c r="T74" s="93" t="n"/>
      <c r="U74" s="93" t="n"/>
      <c r="V74" s="93" t="n"/>
      <c r="W74" s="93" t="n"/>
      <c r="X74" s="93" t="n"/>
      <c r="Y74" s="93" t="n"/>
      <c r="Z74" s="93" t="n"/>
    </row>
    <row r="75">
      <c r="A75" s="93">
        <f>IF(D75="","","AUD-"&amp;TEXT(ROW()-3,"0000"))</f>
        <v/>
      </c>
      <c r="B75" s="240" t="n"/>
      <c r="C75" s="188" t="n"/>
      <c r="D75" s="188" t="n"/>
      <c r="E75" s="188" t="n"/>
      <c r="F75" s="188" t="n"/>
      <c r="G75" s="188" t="n"/>
      <c r="H75" s="188" t="n"/>
      <c r="I75" s="188" t="n"/>
      <c r="J75" s="188" t="n"/>
      <c r="K75" s="93" t="n"/>
      <c r="L75" s="93" t="n"/>
      <c r="M75" s="93" t="n"/>
      <c r="N75" s="93" t="n"/>
      <c r="O75" s="93" t="n"/>
      <c r="P75" s="93" t="n"/>
      <c r="Q75" s="93" t="n"/>
      <c r="R75" s="93" t="n"/>
      <c r="S75" s="93" t="n"/>
      <c r="T75" s="93" t="n"/>
      <c r="U75" s="93" t="n"/>
      <c r="V75" s="93" t="n"/>
      <c r="W75" s="93" t="n"/>
      <c r="X75" s="93" t="n"/>
      <c r="Y75" s="93" t="n"/>
      <c r="Z75" s="93" t="n"/>
    </row>
    <row r="76">
      <c r="A76" s="93">
        <f>IF(D76="","","AUD-"&amp;TEXT(ROW()-3,"0000"))</f>
        <v/>
      </c>
      <c r="B76" s="240" t="n"/>
      <c r="C76" s="188" t="n"/>
      <c r="D76" s="188" t="n"/>
      <c r="E76" s="188" t="n"/>
      <c r="F76" s="188" t="n"/>
      <c r="G76" s="188" t="n"/>
      <c r="H76" s="188" t="n"/>
      <c r="I76" s="188" t="n"/>
      <c r="J76" s="188" t="n"/>
      <c r="K76" s="93" t="n"/>
      <c r="L76" s="93" t="n"/>
      <c r="M76" s="93" t="n"/>
      <c r="N76" s="93" t="n"/>
      <c r="O76" s="93" t="n"/>
      <c r="P76" s="93" t="n"/>
      <c r="Q76" s="93" t="n"/>
      <c r="R76" s="93" t="n"/>
      <c r="S76" s="93" t="n"/>
      <c r="T76" s="93" t="n"/>
      <c r="U76" s="93" t="n"/>
      <c r="V76" s="93" t="n"/>
      <c r="W76" s="93" t="n"/>
      <c r="X76" s="93" t="n"/>
      <c r="Y76" s="93" t="n"/>
      <c r="Z76" s="93" t="n"/>
    </row>
    <row r="77">
      <c r="A77" s="93">
        <f>IF(D77="","","AUD-"&amp;TEXT(ROW()-3,"0000"))</f>
        <v/>
      </c>
      <c r="B77" s="240" t="n"/>
      <c r="C77" s="188" t="n"/>
      <c r="D77" s="188" t="n"/>
      <c r="E77" s="188" t="n"/>
      <c r="F77" s="188" t="n"/>
      <c r="G77" s="188" t="n"/>
      <c r="H77" s="188" t="n"/>
      <c r="I77" s="188" t="n"/>
      <c r="J77" s="188" t="n"/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3" t="n"/>
      <c r="V77" s="93" t="n"/>
      <c r="W77" s="93" t="n"/>
      <c r="X77" s="93" t="n"/>
      <c r="Y77" s="93" t="n"/>
      <c r="Z77" s="93" t="n"/>
    </row>
    <row r="78">
      <c r="A78" s="93">
        <f>IF(D78="","","AUD-"&amp;TEXT(ROW()-3,"0000"))</f>
        <v/>
      </c>
      <c r="B78" s="240" t="n"/>
      <c r="C78" s="188" t="n"/>
      <c r="D78" s="188" t="n"/>
      <c r="E78" s="188" t="n"/>
      <c r="F78" s="188" t="n"/>
      <c r="G78" s="188" t="n"/>
      <c r="H78" s="188" t="n"/>
      <c r="I78" s="188" t="n"/>
      <c r="J78" s="188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3" t="n"/>
      <c r="V78" s="93" t="n"/>
      <c r="W78" s="93" t="n"/>
      <c r="X78" s="93" t="n"/>
      <c r="Y78" s="93" t="n"/>
      <c r="Z78" s="93" t="n"/>
    </row>
    <row r="79">
      <c r="A79" s="93">
        <f>IF(D79="","","AUD-"&amp;TEXT(ROW()-3,"0000"))</f>
        <v/>
      </c>
      <c r="B79" s="240" t="n"/>
      <c r="C79" s="188" t="n"/>
      <c r="D79" s="188" t="n"/>
      <c r="E79" s="188" t="n"/>
      <c r="F79" s="188" t="n"/>
      <c r="G79" s="188" t="n"/>
      <c r="H79" s="188" t="n"/>
      <c r="I79" s="188" t="n"/>
      <c r="J79" s="188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</row>
    <row r="80">
      <c r="A80" s="93">
        <f>IF(D80="","","AUD-"&amp;TEXT(ROW()-3,"0000"))</f>
        <v/>
      </c>
      <c r="B80" s="240" t="n"/>
      <c r="C80" s="188" t="n"/>
      <c r="D80" s="188" t="n"/>
      <c r="E80" s="188" t="n"/>
      <c r="F80" s="188" t="n"/>
      <c r="G80" s="188" t="n"/>
      <c r="H80" s="188" t="n"/>
      <c r="I80" s="188" t="n"/>
      <c r="J80" s="188" t="n"/>
      <c r="K80" s="93" t="n"/>
      <c r="L80" s="93" t="n"/>
      <c r="M80" s="93" t="n"/>
      <c r="N80" s="93" t="n"/>
      <c r="O80" s="93" t="n"/>
      <c r="P80" s="93" t="n"/>
      <c r="Q80" s="93" t="n"/>
      <c r="R80" s="93" t="n"/>
      <c r="S80" s="93" t="n"/>
      <c r="T80" s="93" t="n"/>
      <c r="U80" s="93" t="n"/>
      <c r="V80" s="93" t="n"/>
      <c r="W80" s="93" t="n"/>
      <c r="X80" s="93" t="n"/>
      <c r="Y80" s="93" t="n"/>
      <c r="Z80" s="93" t="n"/>
    </row>
    <row r="81">
      <c r="A81" s="93">
        <f>IF(D81="","","AUD-"&amp;TEXT(ROW()-3,"0000"))</f>
        <v/>
      </c>
      <c r="B81" s="240" t="n"/>
      <c r="C81" s="188" t="n"/>
      <c r="D81" s="188" t="n"/>
      <c r="E81" s="188" t="n"/>
      <c r="F81" s="188" t="n"/>
      <c r="G81" s="188" t="n"/>
      <c r="H81" s="188" t="n"/>
      <c r="I81" s="188" t="n"/>
      <c r="J81" s="188" t="n"/>
      <c r="K81" s="93" t="n"/>
      <c r="L81" s="93" t="n"/>
      <c r="M81" s="93" t="n"/>
      <c r="N81" s="93" t="n"/>
      <c r="O81" s="93" t="n"/>
      <c r="P81" s="93" t="n"/>
      <c r="Q81" s="93" t="n"/>
      <c r="R81" s="93" t="n"/>
      <c r="S81" s="93" t="n"/>
      <c r="T81" s="93" t="n"/>
      <c r="U81" s="93" t="n"/>
      <c r="V81" s="93" t="n"/>
      <c r="W81" s="93" t="n"/>
      <c r="X81" s="93" t="n"/>
      <c r="Y81" s="93" t="n"/>
      <c r="Z81" s="93" t="n"/>
    </row>
    <row r="82">
      <c r="A82" s="93">
        <f>IF(D82="","","AUD-"&amp;TEXT(ROW()-3,"0000"))</f>
        <v/>
      </c>
      <c r="B82" s="240" t="n"/>
      <c r="C82" s="188" t="n"/>
      <c r="D82" s="188" t="n"/>
      <c r="E82" s="188" t="n"/>
      <c r="F82" s="188" t="n"/>
      <c r="G82" s="188" t="n"/>
      <c r="H82" s="188" t="n"/>
      <c r="I82" s="188" t="n"/>
      <c r="J82" s="188" t="n"/>
      <c r="K82" s="93" t="n"/>
      <c r="L82" s="93" t="n"/>
      <c r="M82" s="93" t="n"/>
      <c r="N82" s="93" t="n"/>
      <c r="O82" s="93" t="n"/>
      <c r="P82" s="93" t="n"/>
      <c r="Q82" s="93" t="n"/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</row>
    <row r="83">
      <c r="A83" s="93">
        <f>IF(D83="","","AUD-"&amp;TEXT(ROW()-3,"0000"))</f>
        <v/>
      </c>
      <c r="B83" s="240" t="n"/>
      <c r="C83" s="188" t="n"/>
      <c r="D83" s="188" t="n"/>
      <c r="E83" s="188" t="n"/>
      <c r="F83" s="188" t="n"/>
      <c r="G83" s="188" t="n"/>
      <c r="H83" s="188" t="n"/>
      <c r="I83" s="188" t="n"/>
      <c r="J83" s="188" t="n"/>
      <c r="K83" s="93" t="n"/>
      <c r="L83" s="93" t="n"/>
      <c r="M83" s="93" t="n"/>
      <c r="N83" s="93" t="n"/>
      <c r="O83" s="93" t="n"/>
      <c r="P83" s="93" t="n"/>
      <c r="Q83" s="93" t="n"/>
      <c r="R83" s="93" t="n"/>
      <c r="S83" s="93" t="n"/>
      <c r="T83" s="93" t="n"/>
      <c r="U83" s="93" t="n"/>
      <c r="V83" s="93" t="n"/>
      <c r="W83" s="93" t="n"/>
      <c r="X83" s="93" t="n"/>
      <c r="Y83" s="93" t="n"/>
      <c r="Z83" s="93" t="n"/>
    </row>
    <row r="84">
      <c r="A84" s="93">
        <f>IF(D84="","","AUD-"&amp;TEXT(ROW()-3,"0000"))</f>
        <v/>
      </c>
      <c r="B84" s="240" t="n"/>
      <c r="C84" s="188" t="n"/>
      <c r="D84" s="188" t="n"/>
      <c r="E84" s="188" t="n"/>
      <c r="F84" s="188" t="n"/>
      <c r="G84" s="188" t="n"/>
      <c r="H84" s="188" t="n"/>
      <c r="I84" s="188" t="n"/>
      <c r="J84" s="188" t="n"/>
      <c r="K84" s="93" t="n"/>
      <c r="L84" s="93" t="n"/>
      <c r="M84" s="93" t="n"/>
      <c r="N84" s="93" t="n"/>
      <c r="O84" s="93" t="n"/>
      <c r="P84" s="93" t="n"/>
      <c r="Q84" s="93" t="n"/>
      <c r="R84" s="93" t="n"/>
      <c r="S84" s="93" t="n"/>
      <c r="T84" s="93" t="n"/>
      <c r="U84" s="93" t="n"/>
      <c r="V84" s="93" t="n"/>
      <c r="W84" s="93" t="n"/>
      <c r="X84" s="93" t="n"/>
      <c r="Y84" s="93" t="n"/>
      <c r="Z84" s="93" t="n"/>
    </row>
    <row r="85">
      <c r="A85" s="93">
        <f>IF(D85="","","AUD-"&amp;TEXT(ROW()-3,"0000"))</f>
        <v/>
      </c>
      <c r="B85" s="240" t="n"/>
      <c r="C85" s="188" t="n"/>
      <c r="D85" s="188" t="n"/>
      <c r="E85" s="188" t="n"/>
      <c r="F85" s="188" t="n"/>
      <c r="G85" s="188" t="n"/>
      <c r="H85" s="188" t="n"/>
      <c r="I85" s="188" t="n"/>
      <c r="J85" s="188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</row>
    <row r="86">
      <c r="A86" s="93">
        <f>IF(D86="","","AUD-"&amp;TEXT(ROW()-3,"0000"))</f>
        <v/>
      </c>
      <c r="B86" s="240" t="n"/>
      <c r="C86" s="188" t="n"/>
      <c r="D86" s="188" t="n"/>
      <c r="E86" s="188" t="n"/>
      <c r="F86" s="188" t="n"/>
      <c r="G86" s="188" t="n"/>
      <c r="H86" s="188" t="n"/>
      <c r="I86" s="188" t="n"/>
      <c r="J86" s="188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U86" s="93" t="n"/>
      <c r="V86" s="93" t="n"/>
      <c r="W86" s="93" t="n"/>
      <c r="X86" s="93" t="n"/>
      <c r="Y86" s="93" t="n"/>
      <c r="Z86" s="93" t="n"/>
    </row>
    <row r="87">
      <c r="A87" s="93">
        <f>IF(D87="","","AUD-"&amp;TEXT(ROW()-3,"0000"))</f>
        <v/>
      </c>
      <c r="B87" s="240" t="n"/>
      <c r="C87" s="188" t="n"/>
      <c r="D87" s="188" t="n"/>
      <c r="E87" s="188" t="n"/>
      <c r="F87" s="188" t="n"/>
      <c r="G87" s="188" t="n"/>
      <c r="H87" s="188" t="n"/>
      <c r="I87" s="188" t="n"/>
      <c r="J87" s="188" t="n"/>
      <c r="K87" s="93" t="n"/>
      <c r="L87" s="93" t="n"/>
      <c r="M87" s="93" t="n"/>
      <c r="N87" s="93" t="n"/>
      <c r="O87" s="93" t="n"/>
      <c r="P87" s="93" t="n"/>
      <c r="Q87" s="93" t="n"/>
      <c r="R87" s="93" t="n"/>
      <c r="S87" s="93" t="n"/>
      <c r="T87" s="93" t="n"/>
      <c r="U87" s="93" t="n"/>
      <c r="V87" s="93" t="n"/>
      <c r="W87" s="93" t="n"/>
      <c r="X87" s="93" t="n"/>
      <c r="Y87" s="93" t="n"/>
      <c r="Z87" s="93" t="n"/>
    </row>
    <row r="88">
      <c r="A88" s="93">
        <f>IF(D88="","","AUD-"&amp;TEXT(ROW()-3,"0000"))</f>
        <v/>
      </c>
      <c r="B88" s="240" t="n"/>
      <c r="C88" s="188" t="n"/>
      <c r="D88" s="188" t="n"/>
      <c r="E88" s="188" t="n"/>
      <c r="F88" s="188" t="n"/>
      <c r="G88" s="188" t="n"/>
      <c r="H88" s="188" t="n"/>
      <c r="I88" s="188" t="n"/>
      <c r="J88" s="188" t="n"/>
      <c r="K88" s="93" t="n"/>
      <c r="L88" s="93" t="n"/>
      <c r="M88" s="93" t="n"/>
      <c r="N88" s="93" t="n"/>
      <c r="O88" s="93" t="n"/>
      <c r="P88" s="93" t="n"/>
      <c r="Q88" s="93" t="n"/>
      <c r="R88" s="93" t="n"/>
      <c r="S88" s="93" t="n"/>
      <c r="T88" s="93" t="n"/>
      <c r="U88" s="93" t="n"/>
      <c r="V88" s="93" t="n"/>
      <c r="W88" s="93" t="n"/>
      <c r="X88" s="93" t="n"/>
      <c r="Y88" s="93" t="n"/>
      <c r="Z88" s="93" t="n"/>
    </row>
    <row r="89">
      <c r="A89" s="93">
        <f>IF(D89="","","AUD-"&amp;TEXT(ROW()-3,"0000"))</f>
        <v/>
      </c>
      <c r="B89" s="240" t="n"/>
      <c r="C89" s="188" t="n"/>
      <c r="D89" s="188" t="n"/>
      <c r="E89" s="188" t="n"/>
      <c r="F89" s="188" t="n"/>
      <c r="G89" s="188" t="n"/>
      <c r="H89" s="188" t="n"/>
      <c r="I89" s="188" t="n"/>
      <c r="J89" s="188" t="n"/>
      <c r="K89" s="93" t="n"/>
      <c r="L89" s="93" t="n"/>
      <c r="M89" s="93" t="n"/>
      <c r="N89" s="93" t="n"/>
      <c r="O89" s="93" t="n"/>
      <c r="P89" s="93" t="n"/>
      <c r="Q89" s="93" t="n"/>
      <c r="R89" s="93" t="n"/>
      <c r="S89" s="93" t="n"/>
      <c r="T89" s="93" t="n"/>
      <c r="U89" s="93" t="n"/>
      <c r="V89" s="93" t="n"/>
      <c r="W89" s="93" t="n"/>
      <c r="X89" s="93" t="n"/>
      <c r="Y89" s="93" t="n"/>
      <c r="Z89" s="93" t="n"/>
    </row>
    <row r="90">
      <c r="A90" s="93">
        <f>IF(D90="","","AUD-"&amp;TEXT(ROW()-3,"0000"))</f>
        <v/>
      </c>
      <c r="B90" s="240" t="n"/>
      <c r="C90" s="188" t="n"/>
      <c r="D90" s="188" t="n"/>
      <c r="E90" s="188" t="n"/>
      <c r="F90" s="188" t="n"/>
      <c r="G90" s="188" t="n"/>
      <c r="H90" s="188" t="n"/>
      <c r="I90" s="188" t="n"/>
      <c r="J90" s="188" t="n"/>
      <c r="K90" s="93" t="n"/>
      <c r="L90" s="93" t="n"/>
      <c r="M90" s="93" t="n"/>
      <c r="N90" s="93" t="n"/>
      <c r="O90" s="93" t="n"/>
      <c r="P90" s="93" t="n"/>
      <c r="Q90" s="93" t="n"/>
      <c r="R90" s="93" t="n"/>
      <c r="S90" s="93" t="n"/>
      <c r="T90" s="93" t="n"/>
      <c r="U90" s="93" t="n"/>
      <c r="V90" s="93" t="n"/>
      <c r="W90" s="93" t="n"/>
      <c r="X90" s="93" t="n"/>
      <c r="Y90" s="93" t="n"/>
      <c r="Z90" s="93" t="n"/>
    </row>
    <row r="91">
      <c r="A91" s="93">
        <f>IF(D91="","","AUD-"&amp;TEXT(ROW()-3,"0000"))</f>
        <v/>
      </c>
      <c r="B91" s="240" t="n"/>
      <c r="C91" s="188" t="n"/>
      <c r="D91" s="188" t="n"/>
      <c r="E91" s="188" t="n"/>
      <c r="F91" s="188" t="n"/>
      <c r="G91" s="188" t="n"/>
      <c r="H91" s="188" t="n"/>
      <c r="I91" s="188" t="n"/>
      <c r="J91" s="188" t="n"/>
      <c r="K91" s="93" t="n"/>
      <c r="L91" s="93" t="n"/>
      <c r="M91" s="93" t="n"/>
      <c r="N91" s="93" t="n"/>
      <c r="O91" s="93" t="n"/>
      <c r="P91" s="93" t="n"/>
      <c r="Q91" s="93" t="n"/>
      <c r="R91" s="93" t="n"/>
      <c r="S91" s="93" t="n"/>
      <c r="T91" s="93" t="n"/>
      <c r="U91" s="93" t="n"/>
      <c r="V91" s="93" t="n"/>
      <c r="W91" s="93" t="n"/>
      <c r="X91" s="93" t="n"/>
      <c r="Y91" s="93" t="n"/>
      <c r="Z91" s="93" t="n"/>
    </row>
    <row r="92">
      <c r="A92" s="93">
        <f>IF(D92="","","AUD-"&amp;TEXT(ROW()-3,"0000"))</f>
        <v/>
      </c>
      <c r="B92" s="240" t="n"/>
      <c r="C92" s="188" t="n"/>
      <c r="D92" s="188" t="n"/>
      <c r="E92" s="188" t="n"/>
      <c r="F92" s="188" t="n"/>
      <c r="G92" s="188" t="n"/>
      <c r="H92" s="188" t="n"/>
      <c r="I92" s="188" t="n"/>
      <c r="J92" s="188" t="n"/>
      <c r="K92" s="93" t="n"/>
      <c r="L92" s="93" t="n"/>
      <c r="M92" s="93" t="n"/>
      <c r="N92" s="93" t="n"/>
      <c r="O92" s="93" t="n"/>
      <c r="P92" s="93" t="n"/>
      <c r="Q92" s="93" t="n"/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</row>
    <row r="93">
      <c r="A93" s="93">
        <f>IF(D93="","","AUD-"&amp;TEXT(ROW()-3,"0000"))</f>
        <v/>
      </c>
      <c r="B93" s="240" t="n"/>
      <c r="C93" s="188" t="n"/>
      <c r="D93" s="188" t="n"/>
      <c r="E93" s="188" t="n"/>
      <c r="F93" s="188" t="n"/>
      <c r="G93" s="188" t="n"/>
      <c r="H93" s="188" t="n"/>
      <c r="I93" s="188" t="n"/>
      <c r="J93" s="188" t="n"/>
      <c r="K93" s="93" t="n"/>
      <c r="L93" s="93" t="n"/>
      <c r="M93" s="93" t="n"/>
      <c r="N93" s="93" t="n"/>
      <c r="O93" s="93" t="n"/>
      <c r="P93" s="93" t="n"/>
      <c r="Q93" s="93" t="n"/>
      <c r="R93" s="93" t="n"/>
      <c r="S93" s="93" t="n"/>
      <c r="T93" s="93" t="n"/>
      <c r="U93" s="93" t="n"/>
      <c r="V93" s="93" t="n"/>
      <c r="W93" s="93" t="n"/>
      <c r="X93" s="93" t="n"/>
      <c r="Y93" s="93" t="n"/>
      <c r="Z93" s="93" t="n"/>
    </row>
    <row r="94">
      <c r="A94" s="93">
        <f>IF(D94="","","AUD-"&amp;TEXT(ROW()-3,"0000"))</f>
        <v/>
      </c>
      <c r="B94" s="240" t="n"/>
      <c r="C94" s="188" t="n"/>
      <c r="D94" s="188" t="n"/>
      <c r="E94" s="188" t="n"/>
      <c r="F94" s="188" t="n"/>
      <c r="G94" s="188" t="n"/>
      <c r="H94" s="188" t="n"/>
      <c r="I94" s="188" t="n"/>
      <c r="J94" s="188" t="n"/>
      <c r="K94" s="93" t="n"/>
      <c r="L94" s="93" t="n"/>
      <c r="M94" s="93" t="n"/>
      <c r="N94" s="93" t="n"/>
      <c r="O94" s="93" t="n"/>
      <c r="P94" s="93" t="n"/>
      <c r="Q94" s="93" t="n"/>
      <c r="R94" s="93" t="n"/>
      <c r="S94" s="93" t="n"/>
      <c r="T94" s="93" t="n"/>
      <c r="U94" s="93" t="n"/>
      <c r="V94" s="93" t="n"/>
      <c r="W94" s="93" t="n"/>
      <c r="X94" s="93" t="n"/>
      <c r="Y94" s="93" t="n"/>
      <c r="Z94" s="93" t="n"/>
    </row>
    <row r="95">
      <c r="A95" s="93">
        <f>IF(D95="","","AUD-"&amp;TEXT(ROW()-3,"0000"))</f>
        <v/>
      </c>
      <c r="B95" s="240" t="n"/>
      <c r="C95" s="188" t="n"/>
      <c r="D95" s="188" t="n"/>
      <c r="E95" s="188" t="n"/>
      <c r="F95" s="188" t="n"/>
      <c r="G95" s="188" t="n"/>
      <c r="H95" s="188" t="n"/>
      <c r="I95" s="188" t="n"/>
      <c r="J95" s="188" t="n"/>
      <c r="K95" s="93" t="n"/>
      <c r="L95" s="93" t="n"/>
      <c r="M95" s="93" t="n"/>
      <c r="N95" s="93" t="n"/>
      <c r="O95" s="93" t="n"/>
      <c r="P95" s="93" t="n"/>
      <c r="Q95" s="93" t="n"/>
      <c r="R95" s="93" t="n"/>
      <c r="S95" s="93" t="n"/>
      <c r="T95" s="93" t="n"/>
      <c r="U95" s="93" t="n"/>
      <c r="V95" s="93" t="n"/>
      <c r="W95" s="93" t="n"/>
      <c r="X95" s="93" t="n"/>
      <c r="Y95" s="93" t="n"/>
      <c r="Z95" s="93" t="n"/>
    </row>
    <row r="96">
      <c r="A96" s="93">
        <f>IF(D96="","","AUD-"&amp;TEXT(ROW()-3,"0000"))</f>
        <v/>
      </c>
      <c r="B96" s="240" t="n"/>
      <c r="C96" s="188" t="n"/>
      <c r="D96" s="188" t="n"/>
      <c r="E96" s="188" t="n"/>
      <c r="F96" s="188" t="n"/>
      <c r="G96" s="188" t="n"/>
      <c r="H96" s="188" t="n"/>
      <c r="I96" s="188" t="n"/>
      <c r="J96" s="188" t="n"/>
      <c r="K96" s="93" t="n"/>
      <c r="L96" s="93" t="n"/>
      <c r="M96" s="93" t="n"/>
      <c r="N96" s="93" t="n"/>
      <c r="O96" s="93" t="n"/>
      <c r="P96" s="93" t="n"/>
      <c r="Q96" s="93" t="n"/>
      <c r="R96" s="93" t="n"/>
      <c r="S96" s="93" t="n"/>
      <c r="T96" s="93" t="n"/>
      <c r="U96" s="93" t="n"/>
      <c r="V96" s="93" t="n"/>
      <c r="W96" s="93" t="n"/>
      <c r="X96" s="93" t="n"/>
      <c r="Y96" s="93" t="n"/>
      <c r="Z96" s="93" t="n"/>
    </row>
    <row r="97">
      <c r="A97" s="93">
        <f>IF(D97="","","AUD-"&amp;TEXT(ROW()-3,"0000"))</f>
        <v/>
      </c>
      <c r="B97" s="240" t="n"/>
      <c r="C97" s="188" t="n"/>
      <c r="D97" s="188" t="n"/>
      <c r="E97" s="188" t="n"/>
      <c r="F97" s="188" t="n"/>
      <c r="G97" s="188" t="n"/>
      <c r="H97" s="188" t="n"/>
      <c r="I97" s="188" t="n"/>
      <c r="J97" s="188" t="n"/>
      <c r="K97" s="93" t="n"/>
      <c r="L97" s="93" t="n"/>
      <c r="M97" s="93" t="n"/>
      <c r="N97" s="93" t="n"/>
      <c r="O97" s="93" t="n"/>
      <c r="P97" s="93" t="n"/>
      <c r="Q97" s="93" t="n"/>
      <c r="R97" s="93" t="n"/>
      <c r="S97" s="93" t="n"/>
      <c r="T97" s="93" t="n"/>
      <c r="U97" s="93" t="n"/>
      <c r="V97" s="93" t="n"/>
      <c r="W97" s="93" t="n"/>
      <c r="X97" s="93" t="n"/>
      <c r="Y97" s="93" t="n"/>
      <c r="Z97" s="93" t="n"/>
    </row>
    <row r="98">
      <c r="A98" s="93">
        <f>IF(D98="","","AUD-"&amp;TEXT(ROW()-3,"0000"))</f>
        <v/>
      </c>
      <c r="B98" s="240" t="n"/>
      <c r="C98" s="188" t="n"/>
      <c r="D98" s="188" t="n"/>
      <c r="E98" s="188" t="n"/>
      <c r="F98" s="188" t="n"/>
      <c r="G98" s="188" t="n"/>
      <c r="H98" s="188" t="n"/>
      <c r="I98" s="188" t="n"/>
      <c r="J98" s="188" t="n"/>
      <c r="K98" s="93" t="n"/>
      <c r="L98" s="93" t="n"/>
      <c r="M98" s="93" t="n"/>
      <c r="N98" s="93" t="n"/>
      <c r="O98" s="93" t="n"/>
      <c r="P98" s="93" t="n"/>
      <c r="Q98" s="93" t="n"/>
      <c r="R98" s="93" t="n"/>
      <c r="S98" s="93" t="n"/>
      <c r="T98" s="93" t="n"/>
      <c r="U98" s="93" t="n"/>
      <c r="V98" s="93" t="n"/>
      <c r="W98" s="93" t="n"/>
      <c r="X98" s="93" t="n"/>
      <c r="Y98" s="93" t="n"/>
      <c r="Z98" s="93" t="n"/>
    </row>
    <row r="99">
      <c r="A99" s="93">
        <f>IF(D99="","","AUD-"&amp;TEXT(ROW()-3,"0000"))</f>
        <v/>
      </c>
      <c r="B99" s="240" t="n"/>
      <c r="C99" s="188" t="n"/>
      <c r="D99" s="188" t="n"/>
      <c r="E99" s="188" t="n"/>
      <c r="F99" s="188" t="n"/>
      <c r="G99" s="188" t="n"/>
      <c r="H99" s="188" t="n"/>
      <c r="I99" s="188" t="n"/>
      <c r="J99" s="188" t="n"/>
      <c r="K99" s="93" t="n"/>
      <c r="L99" s="93" t="n"/>
      <c r="M99" s="93" t="n"/>
      <c r="N99" s="93" t="n"/>
      <c r="O99" s="93" t="n"/>
      <c r="P99" s="93" t="n"/>
      <c r="Q99" s="93" t="n"/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</row>
    <row r="100">
      <c r="A100" s="93">
        <f>IF(D100="","","AUD-"&amp;TEXT(ROW()-3,"0000"))</f>
        <v/>
      </c>
      <c r="B100" s="240" t="n"/>
      <c r="C100" s="188" t="n"/>
      <c r="D100" s="188" t="n"/>
      <c r="E100" s="188" t="n"/>
      <c r="F100" s="188" t="n"/>
      <c r="G100" s="188" t="n"/>
      <c r="H100" s="188" t="n"/>
      <c r="I100" s="188" t="n"/>
      <c r="J100" s="188" t="n"/>
      <c r="K100" s="93" t="n"/>
      <c r="L100" s="93" t="n"/>
      <c r="M100" s="93" t="n"/>
      <c r="N100" s="93" t="n"/>
      <c r="O100" s="93" t="n"/>
      <c r="P100" s="93" t="n"/>
      <c r="Q100" s="93" t="n"/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</row>
    <row r="101">
      <c r="A101" s="93">
        <f>IF(D101="","","AUD-"&amp;TEXT(ROW()-3,"0000"))</f>
        <v/>
      </c>
      <c r="B101" s="240" t="n"/>
      <c r="C101" s="188" t="n"/>
      <c r="D101" s="188" t="n"/>
      <c r="E101" s="188" t="n"/>
      <c r="F101" s="188" t="n"/>
      <c r="G101" s="188" t="n"/>
      <c r="H101" s="188" t="n"/>
      <c r="I101" s="188" t="n"/>
      <c r="J101" s="188" t="n"/>
      <c r="K101" s="93" t="n"/>
      <c r="L101" s="93" t="n"/>
      <c r="M101" s="93" t="n"/>
      <c r="N101" s="93" t="n"/>
      <c r="O101" s="93" t="n"/>
      <c r="P101" s="93" t="n"/>
      <c r="Q101" s="93" t="n"/>
      <c r="R101" s="93" t="n"/>
      <c r="S101" s="93" t="n"/>
      <c r="T101" s="93" t="n"/>
      <c r="U101" s="93" t="n"/>
      <c r="V101" s="93" t="n"/>
      <c r="W101" s="93" t="n"/>
      <c r="X101" s="93" t="n"/>
      <c r="Y101" s="93" t="n"/>
      <c r="Z101" s="93" t="n"/>
    </row>
    <row r="102">
      <c r="A102" s="93">
        <f>IF(D102="","","AUD-"&amp;TEXT(ROW()-3,"0000"))</f>
        <v/>
      </c>
      <c r="B102" s="240" t="n"/>
      <c r="C102" s="188" t="n"/>
      <c r="D102" s="188" t="n"/>
      <c r="E102" s="188" t="n"/>
      <c r="F102" s="188" t="n"/>
      <c r="G102" s="188" t="n"/>
      <c r="H102" s="188" t="n"/>
      <c r="I102" s="188" t="n"/>
      <c r="J102" s="188" t="n"/>
      <c r="K102" s="93" t="n"/>
      <c r="L102" s="93" t="n"/>
      <c r="M102" s="93" t="n"/>
      <c r="N102" s="93" t="n"/>
      <c r="O102" s="93" t="n"/>
      <c r="P102" s="93" t="n"/>
      <c r="Q102" s="93" t="n"/>
      <c r="R102" s="93" t="n"/>
      <c r="S102" s="93" t="n"/>
      <c r="T102" s="93" t="n"/>
      <c r="U102" s="93" t="n"/>
      <c r="V102" s="93" t="n"/>
      <c r="W102" s="93" t="n"/>
      <c r="X102" s="93" t="n"/>
      <c r="Y102" s="93" t="n"/>
      <c r="Z102" s="93" t="n"/>
    </row>
    <row r="103">
      <c r="A103" s="93">
        <f>IF(D103="","","AUD-"&amp;TEXT(ROW()-3,"0000"))</f>
        <v/>
      </c>
      <c r="B103" s="240" t="n"/>
      <c r="C103" s="188" t="n"/>
      <c r="D103" s="188" t="n"/>
      <c r="E103" s="188" t="n"/>
      <c r="F103" s="188" t="n"/>
      <c r="G103" s="188" t="n"/>
      <c r="H103" s="188" t="n"/>
      <c r="I103" s="188" t="n"/>
      <c r="J103" s="188" t="n"/>
      <c r="K103" s="93" t="n"/>
      <c r="L103" s="93" t="n"/>
      <c r="M103" s="93" t="n"/>
      <c r="N103" s="93" t="n"/>
      <c r="O103" s="93" t="n"/>
      <c r="P103" s="93" t="n"/>
      <c r="Q103" s="93" t="n"/>
      <c r="R103" s="93" t="n"/>
      <c r="S103" s="93" t="n"/>
      <c r="T103" s="93" t="n"/>
      <c r="U103" s="93" t="n"/>
      <c r="V103" s="93" t="n"/>
      <c r="W103" s="93" t="n"/>
      <c r="X103" s="93" t="n"/>
      <c r="Y103" s="93" t="n"/>
      <c r="Z103" s="93" t="n"/>
    </row>
    <row r="104">
      <c r="A104" s="93" t="n"/>
      <c r="B104" s="93" t="n"/>
      <c r="C104" s="93" t="n"/>
      <c r="D104" s="93" t="n"/>
      <c r="E104" s="93" t="n"/>
      <c r="F104" s="93" t="n"/>
      <c r="G104" s="93" t="n"/>
      <c r="H104" s="93" t="n"/>
      <c r="I104" s="93" t="n"/>
      <c r="J104" s="93" t="n"/>
      <c r="K104" s="93" t="n"/>
      <c r="L104" s="93" t="n"/>
      <c r="M104" s="93" t="n"/>
      <c r="N104" s="93" t="n"/>
      <c r="O104" s="93" t="n"/>
      <c r="P104" s="93" t="n"/>
      <c r="Q104" s="93" t="n"/>
      <c r="R104" s="93" t="n"/>
      <c r="S104" s="93" t="n"/>
      <c r="T104" s="93" t="n"/>
      <c r="U104" s="93" t="n"/>
      <c r="V104" s="93" t="n"/>
      <c r="W104" s="93" t="n"/>
      <c r="X104" s="93" t="n"/>
      <c r="Y104" s="93" t="n"/>
      <c r="Z104" s="93" t="n"/>
    </row>
    <row r="105">
      <c r="A105" s="93" t="n"/>
      <c r="B105" s="93" t="n"/>
      <c r="C105" s="93" t="n"/>
      <c r="D105" s="93" t="n"/>
      <c r="E105" s="93" t="n"/>
      <c r="F105" s="93" t="n"/>
      <c r="G105" s="93" t="n"/>
      <c r="H105" s="93" t="n"/>
      <c r="I105" s="93" t="n"/>
      <c r="J105" s="93" t="n"/>
      <c r="K105" s="93" t="n"/>
      <c r="L105" s="93" t="n"/>
      <c r="M105" s="93" t="n"/>
      <c r="N105" s="93" t="n"/>
      <c r="O105" s="93" t="n"/>
      <c r="P105" s="93" t="n"/>
      <c r="Q105" s="93" t="n"/>
      <c r="R105" s="93" t="n"/>
      <c r="S105" s="93" t="n"/>
      <c r="T105" s="93" t="n"/>
      <c r="U105" s="93" t="n"/>
      <c r="V105" s="93" t="n"/>
      <c r="W105" s="93" t="n"/>
      <c r="X105" s="93" t="n"/>
      <c r="Y105" s="93" t="n"/>
      <c r="Z105" s="93" t="n"/>
    </row>
    <row r="106">
      <c r="A106" s="93" t="n"/>
      <c r="B106" s="93" t="n"/>
      <c r="C106" s="93" t="n"/>
      <c r="D106" s="93" t="n"/>
      <c r="E106" s="93" t="n"/>
      <c r="F106" s="93" t="n"/>
      <c r="G106" s="93" t="n"/>
      <c r="H106" s="93" t="n"/>
      <c r="I106" s="93" t="n"/>
      <c r="J106" s="93" t="n"/>
      <c r="K106" s="93" t="n"/>
      <c r="L106" s="93" t="n"/>
      <c r="M106" s="93" t="n"/>
      <c r="N106" s="93" t="n"/>
      <c r="O106" s="93" t="n"/>
      <c r="P106" s="93" t="n"/>
      <c r="Q106" s="93" t="n"/>
      <c r="R106" s="93" t="n"/>
      <c r="S106" s="93" t="n"/>
      <c r="T106" s="93" t="n"/>
      <c r="U106" s="93" t="n"/>
      <c r="V106" s="93" t="n"/>
      <c r="W106" s="93" t="n"/>
      <c r="X106" s="93" t="n"/>
      <c r="Y106" s="93" t="n"/>
      <c r="Z106" s="93" t="n"/>
    </row>
    <row r="107">
      <c r="A107" s="93" t="n"/>
      <c r="B107" s="93" t="n"/>
      <c r="C107" s="93" t="n"/>
      <c r="D107" s="93" t="n"/>
      <c r="E107" s="93" t="n"/>
      <c r="F107" s="93" t="n"/>
      <c r="G107" s="93" t="n"/>
      <c r="H107" s="93" t="n"/>
      <c r="I107" s="93" t="n"/>
      <c r="J107" s="93" t="n"/>
      <c r="K107" s="93" t="n"/>
      <c r="L107" s="93" t="n"/>
      <c r="M107" s="93" t="n"/>
      <c r="N107" s="93" t="n"/>
      <c r="O107" s="93" t="n"/>
      <c r="P107" s="93" t="n"/>
      <c r="Q107" s="93" t="n"/>
      <c r="R107" s="93" t="n"/>
      <c r="S107" s="93" t="n"/>
      <c r="T107" s="93" t="n"/>
      <c r="U107" s="93" t="n"/>
      <c r="V107" s="93" t="n"/>
      <c r="W107" s="93" t="n"/>
      <c r="X107" s="93" t="n"/>
      <c r="Y107" s="93" t="n"/>
      <c r="Z107" s="93" t="n"/>
    </row>
    <row r="108">
      <c r="A108" s="93" t="n"/>
      <c r="B108" s="93" t="n"/>
      <c r="C108" s="93" t="n"/>
      <c r="D108" s="93" t="n"/>
      <c r="E108" s="93" t="n"/>
      <c r="F108" s="93" t="n"/>
      <c r="G108" s="93" t="n"/>
      <c r="H108" s="93" t="n"/>
      <c r="I108" s="93" t="n"/>
      <c r="J108" s="93" t="n"/>
      <c r="K108" s="93" t="n"/>
      <c r="L108" s="93" t="n"/>
      <c r="M108" s="93" t="n"/>
      <c r="N108" s="93" t="n"/>
      <c r="O108" s="93" t="n"/>
      <c r="P108" s="93" t="n"/>
      <c r="Q108" s="93" t="n"/>
      <c r="R108" s="93" t="n"/>
      <c r="S108" s="93" t="n"/>
      <c r="T108" s="93" t="n"/>
      <c r="U108" s="93" t="n"/>
      <c r="V108" s="93" t="n"/>
      <c r="W108" s="93" t="n"/>
      <c r="X108" s="93" t="n"/>
      <c r="Y108" s="93" t="n"/>
      <c r="Z108" s="93" t="n"/>
    </row>
    <row r="109">
      <c r="A109" s="93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3" t="n"/>
      <c r="M109" s="93" t="n"/>
      <c r="N109" s="93" t="n"/>
      <c r="O109" s="93" t="n"/>
      <c r="P109" s="93" t="n"/>
      <c r="Q109" s="93" t="n"/>
      <c r="R109" s="93" t="n"/>
      <c r="S109" s="93" t="n"/>
      <c r="T109" s="93" t="n"/>
      <c r="U109" s="93" t="n"/>
      <c r="V109" s="93" t="n"/>
      <c r="W109" s="93" t="n"/>
      <c r="X109" s="93" t="n"/>
      <c r="Y109" s="93" t="n"/>
      <c r="Z109" s="93" t="n"/>
    </row>
    <row r="110">
      <c r="A110" s="93" t="n"/>
      <c r="B110" s="93" t="n"/>
      <c r="C110" s="93" t="n"/>
      <c r="D110" s="93" t="n"/>
      <c r="E110" s="93" t="n"/>
      <c r="F110" s="93" t="n"/>
      <c r="G110" s="93" t="n"/>
      <c r="H110" s="93" t="n"/>
      <c r="I110" s="93" t="n"/>
      <c r="J110" s="93" t="n"/>
      <c r="K110" s="93" t="n"/>
      <c r="L110" s="93" t="n"/>
      <c r="M110" s="93" t="n"/>
      <c r="N110" s="93" t="n"/>
      <c r="O110" s="93" t="n"/>
      <c r="P110" s="93" t="n"/>
      <c r="Q110" s="93" t="n"/>
      <c r="R110" s="93" t="n"/>
      <c r="S110" s="93" t="n"/>
      <c r="T110" s="93" t="n"/>
      <c r="U110" s="93" t="n"/>
      <c r="V110" s="93" t="n"/>
      <c r="W110" s="93" t="n"/>
      <c r="X110" s="93" t="n"/>
      <c r="Y110" s="93" t="n"/>
      <c r="Z110" s="93" t="n"/>
    </row>
    <row r="111">
      <c r="A111" s="93" t="n"/>
      <c r="B111" s="93" t="n"/>
      <c r="C111" s="93" t="n"/>
      <c r="D111" s="93" t="n"/>
      <c r="E111" s="93" t="n"/>
      <c r="F111" s="93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93" t="n"/>
      <c r="P111" s="93" t="n"/>
      <c r="Q111" s="93" t="n"/>
      <c r="R111" s="93" t="n"/>
      <c r="S111" s="93" t="n"/>
      <c r="T111" s="93" t="n"/>
      <c r="U111" s="93" t="n"/>
      <c r="V111" s="93" t="n"/>
      <c r="W111" s="93" t="n"/>
      <c r="X111" s="93" t="n"/>
      <c r="Y111" s="93" t="n"/>
      <c r="Z111" s="93" t="n"/>
    </row>
    <row r="112">
      <c r="A112" s="93" t="n"/>
      <c r="B112" s="93" t="n"/>
      <c r="C112" s="93" t="n"/>
      <c r="D112" s="93" t="n"/>
      <c r="E112" s="93" t="n"/>
      <c r="F112" s="93" t="n"/>
      <c r="G112" s="93" t="n"/>
      <c r="H112" s="93" t="n"/>
      <c r="I112" s="93" t="n"/>
      <c r="J112" s="93" t="n"/>
      <c r="K112" s="93" t="n"/>
      <c r="L112" s="93" t="n"/>
      <c r="M112" s="93" t="n"/>
      <c r="N112" s="93" t="n"/>
      <c r="O112" s="93" t="n"/>
      <c r="P112" s="93" t="n"/>
      <c r="Q112" s="93" t="n"/>
      <c r="R112" s="93" t="n"/>
      <c r="S112" s="93" t="n"/>
      <c r="T112" s="93" t="n"/>
      <c r="U112" s="93" t="n"/>
      <c r="V112" s="93" t="n"/>
      <c r="W112" s="93" t="n"/>
      <c r="X112" s="93" t="n"/>
      <c r="Y112" s="93" t="n"/>
      <c r="Z112" s="93" t="n"/>
    </row>
    <row r="113">
      <c r="A113" s="93" t="n"/>
      <c r="B113" s="93" t="n"/>
      <c r="C113" s="93" t="n"/>
      <c r="D113" s="93" t="n"/>
      <c r="E113" s="93" t="n"/>
      <c r="F113" s="93" t="n"/>
      <c r="G113" s="93" t="n"/>
      <c r="H113" s="93" t="n"/>
      <c r="I113" s="93" t="n"/>
      <c r="J113" s="93" t="n"/>
      <c r="K113" s="93" t="n"/>
      <c r="L113" s="93" t="n"/>
      <c r="M113" s="93" t="n"/>
      <c r="N113" s="93" t="n"/>
      <c r="O113" s="93" t="n"/>
      <c r="P113" s="93" t="n"/>
      <c r="Q113" s="93" t="n"/>
      <c r="R113" s="93" t="n"/>
      <c r="S113" s="93" t="n"/>
      <c r="T113" s="93" t="n"/>
      <c r="U113" s="93" t="n"/>
      <c r="V113" s="93" t="n"/>
      <c r="W113" s="93" t="n"/>
      <c r="X113" s="93" t="n"/>
      <c r="Y113" s="93" t="n"/>
      <c r="Z113" s="93" t="n"/>
    </row>
    <row r="114">
      <c r="A114" s="93" t="n"/>
      <c r="B114" s="93" t="n"/>
      <c r="C114" s="93" t="n"/>
      <c r="D114" s="93" t="n"/>
      <c r="E114" s="93" t="n"/>
      <c r="F114" s="93" t="n"/>
      <c r="G114" s="93" t="n"/>
      <c r="H114" s="93" t="n"/>
      <c r="I114" s="93" t="n"/>
      <c r="J114" s="93" t="n"/>
      <c r="K114" s="93" t="n"/>
      <c r="L114" s="93" t="n"/>
      <c r="M114" s="93" t="n"/>
      <c r="N114" s="93" t="n"/>
      <c r="O114" s="93" t="n"/>
      <c r="P114" s="93" t="n"/>
      <c r="Q114" s="93" t="n"/>
      <c r="R114" s="93" t="n"/>
      <c r="S114" s="93" t="n"/>
      <c r="T114" s="93" t="n"/>
      <c r="U114" s="93" t="n"/>
      <c r="V114" s="93" t="n"/>
      <c r="W114" s="93" t="n"/>
      <c r="X114" s="93" t="n"/>
      <c r="Y114" s="93" t="n"/>
      <c r="Z114" s="93" t="n"/>
    </row>
    <row r="115">
      <c r="A115" s="93" t="n"/>
      <c r="B115" s="93" t="n"/>
      <c r="C115" s="93" t="n"/>
      <c r="D115" s="93" t="n"/>
      <c r="E115" s="93" t="n"/>
      <c r="F115" s="93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93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</row>
    <row r="116">
      <c r="A116" s="93" t="n"/>
      <c r="B116" s="93" t="n"/>
      <c r="C116" s="93" t="n"/>
      <c r="D116" s="93" t="n"/>
      <c r="E116" s="93" t="n"/>
      <c r="F116" s="93" t="n"/>
      <c r="G116" s="93" t="n"/>
      <c r="H116" s="93" t="n"/>
      <c r="I116" s="93" t="n"/>
      <c r="J116" s="93" t="n"/>
      <c r="K116" s="93" t="n"/>
      <c r="L116" s="93" t="n"/>
      <c r="M116" s="93" t="n"/>
      <c r="N116" s="93" t="n"/>
      <c r="O116" s="93" t="n"/>
      <c r="P116" s="93" t="n"/>
      <c r="Q116" s="93" t="n"/>
      <c r="R116" s="93" t="n"/>
      <c r="S116" s="93" t="n"/>
      <c r="T116" s="93" t="n"/>
      <c r="U116" s="93" t="n"/>
      <c r="V116" s="93" t="n"/>
      <c r="W116" s="93" t="n"/>
      <c r="X116" s="93" t="n"/>
      <c r="Y116" s="93" t="n"/>
      <c r="Z116" s="93" t="n"/>
    </row>
    <row r="117">
      <c r="A117" s="93" t="n"/>
      <c r="B117" s="93" t="n"/>
      <c r="C117" s="93" t="n"/>
      <c r="D117" s="93" t="n"/>
      <c r="E117" s="93" t="n"/>
      <c r="F117" s="93" t="n"/>
      <c r="G117" s="93" t="n"/>
      <c r="H117" s="93" t="n"/>
      <c r="I117" s="93" t="n"/>
      <c r="J117" s="93" t="n"/>
      <c r="K117" s="93" t="n"/>
      <c r="L117" s="93" t="n"/>
      <c r="M117" s="93" t="n"/>
      <c r="N117" s="93" t="n"/>
      <c r="O117" s="93" t="n"/>
      <c r="P117" s="93" t="n"/>
      <c r="Q117" s="93" t="n"/>
      <c r="R117" s="93" t="n"/>
      <c r="S117" s="93" t="n"/>
      <c r="T117" s="93" t="n"/>
      <c r="U117" s="93" t="n"/>
      <c r="V117" s="93" t="n"/>
      <c r="W117" s="93" t="n"/>
      <c r="X117" s="93" t="n"/>
      <c r="Y117" s="93" t="n"/>
      <c r="Z117" s="93" t="n"/>
    </row>
    <row r="118">
      <c r="A118" s="93" t="n"/>
      <c r="B118" s="93" t="n"/>
      <c r="C118" s="93" t="n"/>
      <c r="D118" s="93" t="n"/>
      <c r="E118" s="93" t="n"/>
      <c r="F118" s="93" t="n"/>
      <c r="G118" s="93" t="n"/>
      <c r="H118" s="93" t="n"/>
      <c r="I118" s="93" t="n"/>
      <c r="J118" s="93" t="n"/>
      <c r="K118" s="93" t="n"/>
      <c r="L118" s="93" t="n"/>
      <c r="M118" s="93" t="n"/>
      <c r="N118" s="93" t="n"/>
      <c r="O118" s="93" t="n"/>
      <c r="P118" s="93" t="n"/>
      <c r="Q118" s="93" t="n"/>
      <c r="R118" s="93" t="n"/>
      <c r="S118" s="93" t="n"/>
      <c r="T118" s="93" t="n"/>
      <c r="U118" s="93" t="n"/>
      <c r="V118" s="93" t="n"/>
      <c r="W118" s="93" t="n"/>
      <c r="X118" s="93" t="n"/>
      <c r="Y118" s="93" t="n"/>
      <c r="Z118" s="93" t="n"/>
    </row>
    <row r="119">
      <c r="A119" s="93" t="n"/>
      <c r="B119" s="93" t="n"/>
      <c r="C119" s="93" t="n"/>
      <c r="D119" s="93" t="n"/>
      <c r="E119" s="93" t="n"/>
      <c r="F119" s="93" t="n"/>
      <c r="G119" s="93" t="n"/>
      <c r="H119" s="93" t="n"/>
      <c r="I119" s="93" t="n"/>
      <c r="J119" s="93" t="n"/>
      <c r="K119" s="93" t="n"/>
      <c r="L119" s="93" t="n"/>
      <c r="M119" s="93" t="n"/>
      <c r="N119" s="93" t="n"/>
      <c r="O119" s="93" t="n"/>
      <c r="P119" s="93" t="n"/>
      <c r="Q119" s="93" t="n"/>
      <c r="R119" s="93" t="n"/>
      <c r="S119" s="93" t="n"/>
      <c r="T119" s="93" t="n"/>
      <c r="U119" s="93" t="n"/>
      <c r="V119" s="93" t="n"/>
      <c r="W119" s="93" t="n"/>
      <c r="X119" s="93" t="n"/>
      <c r="Y119" s="93" t="n"/>
      <c r="Z119" s="93" t="n"/>
    </row>
    <row r="120">
      <c r="A120" s="93" t="n"/>
      <c r="B120" s="93" t="n"/>
      <c r="C120" s="93" t="n"/>
      <c r="D120" s="93" t="n"/>
      <c r="E120" s="93" t="n"/>
      <c r="F120" s="93" t="n"/>
      <c r="G120" s="93" t="n"/>
      <c r="H120" s="93" t="n"/>
      <c r="I120" s="93" t="n"/>
      <c r="J120" s="93" t="n"/>
      <c r="K120" s="93" t="n"/>
      <c r="L120" s="93" t="n"/>
      <c r="M120" s="93" t="n"/>
      <c r="N120" s="93" t="n"/>
      <c r="O120" s="93" t="n"/>
      <c r="P120" s="93" t="n"/>
      <c r="Q120" s="93" t="n"/>
      <c r="R120" s="93" t="n"/>
      <c r="S120" s="93" t="n"/>
      <c r="T120" s="93" t="n"/>
      <c r="U120" s="93" t="n"/>
      <c r="V120" s="93" t="n"/>
      <c r="W120" s="93" t="n"/>
      <c r="X120" s="93" t="n"/>
      <c r="Y120" s="93" t="n"/>
      <c r="Z120" s="93" t="n"/>
    </row>
    <row r="121">
      <c r="A121" s="93" t="n"/>
      <c r="B121" s="93" t="n"/>
      <c r="C121" s="93" t="n"/>
      <c r="D121" s="93" t="n"/>
      <c r="E121" s="93" t="n"/>
      <c r="F121" s="93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93" t="n"/>
      <c r="P121" s="93" t="n"/>
      <c r="Q121" s="93" t="n"/>
      <c r="R121" s="93" t="n"/>
      <c r="S121" s="93" t="n"/>
      <c r="T121" s="93" t="n"/>
      <c r="U121" s="93" t="n"/>
      <c r="V121" s="93" t="n"/>
      <c r="W121" s="93" t="n"/>
      <c r="X121" s="93" t="n"/>
      <c r="Y121" s="93" t="n"/>
      <c r="Z121" s="93" t="n"/>
    </row>
    <row r="122">
      <c r="A122" s="93" t="n"/>
      <c r="B122" s="93" t="n"/>
      <c r="C122" s="93" t="n"/>
      <c r="D122" s="93" t="n"/>
      <c r="E122" s="93" t="n"/>
      <c r="F122" s="93" t="n"/>
      <c r="G122" s="93" t="n"/>
      <c r="H122" s="93" t="n"/>
      <c r="I122" s="93" t="n"/>
      <c r="J122" s="93" t="n"/>
      <c r="K122" s="93" t="n"/>
      <c r="L122" s="93" t="n"/>
      <c r="M122" s="93" t="n"/>
      <c r="N122" s="93" t="n"/>
      <c r="O122" s="93" t="n"/>
      <c r="P122" s="93" t="n"/>
      <c r="Q122" s="93" t="n"/>
      <c r="R122" s="93" t="n"/>
      <c r="S122" s="93" t="n"/>
      <c r="T122" s="93" t="n"/>
      <c r="U122" s="93" t="n"/>
      <c r="V122" s="93" t="n"/>
      <c r="W122" s="93" t="n"/>
      <c r="X122" s="93" t="n"/>
      <c r="Y122" s="93" t="n"/>
      <c r="Z122" s="93" t="n"/>
    </row>
    <row r="123">
      <c r="A123" s="93" t="n"/>
      <c r="B123" s="93" t="n"/>
      <c r="C123" s="93" t="n"/>
      <c r="D123" s="93" t="n"/>
      <c r="E123" s="93" t="n"/>
      <c r="F123" s="93" t="n"/>
      <c r="G123" s="93" t="n"/>
      <c r="H123" s="93" t="n"/>
      <c r="I123" s="93" t="n"/>
      <c r="J123" s="93" t="n"/>
      <c r="K123" s="93" t="n"/>
      <c r="L123" s="93" t="n"/>
      <c r="M123" s="93" t="n"/>
      <c r="N123" s="93" t="n"/>
      <c r="O123" s="93" t="n"/>
      <c r="P123" s="93" t="n"/>
      <c r="Q123" s="93" t="n"/>
      <c r="R123" s="93" t="n"/>
      <c r="S123" s="93" t="n"/>
      <c r="T123" s="93" t="n"/>
      <c r="U123" s="93" t="n"/>
      <c r="V123" s="93" t="n"/>
      <c r="W123" s="93" t="n"/>
      <c r="X123" s="93" t="n"/>
      <c r="Y123" s="93" t="n"/>
      <c r="Z123" s="93" t="n"/>
    </row>
    <row r="124">
      <c r="A124" s="93" t="n"/>
      <c r="B124" s="93" t="n"/>
      <c r="C124" s="93" t="n"/>
      <c r="D124" s="93" t="n"/>
      <c r="E124" s="93" t="n"/>
      <c r="F124" s="93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93" t="n"/>
      <c r="P124" s="93" t="n"/>
      <c r="Q124" s="93" t="n"/>
      <c r="R124" s="93" t="n"/>
      <c r="S124" s="93" t="n"/>
      <c r="T124" s="93" t="n"/>
      <c r="U124" s="93" t="n"/>
      <c r="V124" s="93" t="n"/>
      <c r="W124" s="93" t="n"/>
      <c r="X124" s="93" t="n"/>
      <c r="Y124" s="93" t="n"/>
      <c r="Z124" s="93" t="n"/>
    </row>
    <row r="125">
      <c r="A125" s="93" t="n"/>
      <c r="B125" s="93" t="n"/>
      <c r="C125" s="93" t="n"/>
      <c r="D125" s="93" t="n"/>
      <c r="E125" s="93" t="n"/>
      <c r="F125" s="93" t="n"/>
      <c r="G125" s="93" t="n"/>
      <c r="H125" s="93" t="n"/>
      <c r="I125" s="93" t="n"/>
      <c r="J125" s="93" t="n"/>
      <c r="K125" s="93" t="n"/>
      <c r="L125" s="93" t="n"/>
      <c r="M125" s="93" t="n"/>
      <c r="N125" s="93" t="n"/>
      <c r="O125" s="93" t="n"/>
      <c r="P125" s="93" t="n"/>
      <c r="Q125" s="93" t="n"/>
      <c r="R125" s="93" t="n"/>
      <c r="S125" s="93" t="n"/>
      <c r="T125" s="93" t="n"/>
      <c r="U125" s="93" t="n"/>
      <c r="V125" s="93" t="n"/>
      <c r="W125" s="93" t="n"/>
      <c r="X125" s="93" t="n"/>
      <c r="Y125" s="93" t="n"/>
      <c r="Z125" s="93" t="n"/>
    </row>
    <row r="126">
      <c r="A126" s="93" t="n"/>
      <c r="B126" s="93" t="n"/>
      <c r="C126" s="93" t="n"/>
      <c r="D126" s="93" t="n"/>
      <c r="E126" s="93" t="n"/>
      <c r="F126" s="93" t="n"/>
      <c r="G126" s="93" t="n"/>
      <c r="H126" s="93" t="n"/>
      <c r="I126" s="93" t="n"/>
      <c r="J126" s="93" t="n"/>
      <c r="K126" s="93" t="n"/>
      <c r="L126" s="93" t="n"/>
      <c r="M126" s="93" t="n"/>
      <c r="N126" s="93" t="n"/>
      <c r="O126" s="93" t="n"/>
      <c r="P126" s="93" t="n"/>
      <c r="Q126" s="93" t="n"/>
      <c r="R126" s="93" t="n"/>
      <c r="S126" s="93" t="n"/>
      <c r="T126" s="93" t="n"/>
      <c r="U126" s="93" t="n"/>
      <c r="V126" s="93" t="n"/>
      <c r="W126" s="93" t="n"/>
      <c r="X126" s="93" t="n"/>
      <c r="Y126" s="93" t="n"/>
      <c r="Z126" s="93" t="n"/>
    </row>
    <row r="127">
      <c r="A127" s="93" t="n"/>
      <c r="B127" s="93" t="n"/>
      <c r="C127" s="93" t="n"/>
      <c r="D127" s="93" t="n"/>
      <c r="E127" s="93" t="n"/>
      <c r="F127" s="93" t="n"/>
      <c r="G127" s="93" t="n"/>
      <c r="H127" s="93" t="n"/>
      <c r="I127" s="93" t="n"/>
      <c r="J127" s="93" t="n"/>
      <c r="K127" s="93" t="n"/>
      <c r="L127" s="93" t="n"/>
      <c r="M127" s="93" t="n"/>
      <c r="N127" s="93" t="n"/>
      <c r="O127" s="93" t="n"/>
      <c r="P127" s="93" t="n"/>
      <c r="Q127" s="93" t="n"/>
      <c r="R127" s="93" t="n"/>
      <c r="S127" s="93" t="n"/>
      <c r="T127" s="93" t="n"/>
      <c r="U127" s="93" t="n"/>
      <c r="V127" s="93" t="n"/>
      <c r="W127" s="93" t="n"/>
      <c r="X127" s="93" t="n"/>
      <c r="Y127" s="93" t="n"/>
      <c r="Z127" s="93" t="n"/>
    </row>
    <row r="128">
      <c r="A128" s="93" t="n"/>
      <c r="B128" s="93" t="n"/>
      <c r="C128" s="93" t="n"/>
      <c r="D128" s="93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93" t="n"/>
      <c r="P128" s="93" t="n"/>
      <c r="Q128" s="93" t="n"/>
      <c r="R128" s="93" t="n"/>
      <c r="S128" s="93" t="n"/>
      <c r="T128" s="93" t="n"/>
      <c r="U128" s="93" t="n"/>
      <c r="V128" s="93" t="n"/>
      <c r="W128" s="93" t="n"/>
      <c r="X128" s="93" t="n"/>
      <c r="Y128" s="93" t="n"/>
      <c r="Z128" s="93" t="n"/>
    </row>
    <row r="129">
      <c r="A129" s="93" t="n"/>
      <c r="B129" s="93" t="n"/>
      <c r="C129" s="93" t="n"/>
      <c r="D129" s="93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93" t="n"/>
      <c r="P129" s="93" t="n"/>
      <c r="Q129" s="93" t="n"/>
      <c r="R129" s="93" t="n"/>
      <c r="S129" s="93" t="n"/>
      <c r="T129" s="93" t="n"/>
      <c r="U129" s="93" t="n"/>
      <c r="V129" s="93" t="n"/>
      <c r="W129" s="93" t="n"/>
      <c r="X129" s="93" t="n"/>
      <c r="Y129" s="93" t="n"/>
      <c r="Z129" s="93" t="n"/>
    </row>
    <row r="130">
      <c r="A130" s="93" t="n"/>
      <c r="B130" s="93" t="n"/>
      <c r="C130" s="93" t="n"/>
      <c r="D130" s="93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93" t="n"/>
      <c r="P130" s="93" t="n"/>
      <c r="Q130" s="93" t="n"/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</row>
    <row r="131">
      <c r="A131" s="93" t="n"/>
      <c r="B131" s="93" t="n"/>
      <c r="C131" s="93" t="n"/>
      <c r="D131" s="93" t="n"/>
      <c r="E131" s="93" t="n"/>
      <c r="F131" s="93" t="n"/>
      <c r="G131" s="93" t="n"/>
      <c r="H131" s="93" t="n"/>
      <c r="I131" s="93" t="n"/>
      <c r="J131" s="93" t="n"/>
      <c r="K131" s="93" t="n"/>
      <c r="L131" s="93" t="n"/>
      <c r="M131" s="93" t="n"/>
      <c r="N131" s="93" t="n"/>
      <c r="O131" s="93" t="n"/>
      <c r="P131" s="93" t="n"/>
      <c r="Q131" s="93" t="n"/>
      <c r="R131" s="93" t="n"/>
      <c r="S131" s="93" t="n"/>
      <c r="T131" s="93" t="n"/>
      <c r="U131" s="93" t="n"/>
      <c r="V131" s="93" t="n"/>
      <c r="W131" s="93" t="n"/>
      <c r="X131" s="93" t="n"/>
      <c r="Y131" s="93" t="n"/>
      <c r="Z131" s="93" t="n"/>
    </row>
    <row r="132">
      <c r="A132" s="93" t="n"/>
      <c r="B132" s="93" t="n"/>
      <c r="C132" s="93" t="n"/>
      <c r="D132" s="93" t="n"/>
      <c r="E132" s="93" t="n"/>
      <c r="F132" s="93" t="n"/>
      <c r="G132" s="93" t="n"/>
      <c r="H132" s="93" t="n"/>
      <c r="I132" s="93" t="n"/>
      <c r="J132" s="93" t="n"/>
      <c r="K132" s="93" t="n"/>
      <c r="L132" s="93" t="n"/>
      <c r="M132" s="93" t="n"/>
      <c r="N132" s="93" t="n"/>
      <c r="O132" s="93" t="n"/>
      <c r="P132" s="93" t="n"/>
      <c r="Q132" s="93" t="n"/>
      <c r="R132" s="93" t="n"/>
      <c r="S132" s="93" t="n"/>
      <c r="T132" s="93" t="n"/>
      <c r="U132" s="93" t="n"/>
      <c r="V132" s="93" t="n"/>
      <c r="W132" s="93" t="n"/>
      <c r="X132" s="93" t="n"/>
      <c r="Y132" s="93" t="n"/>
      <c r="Z132" s="93" t="n"/>
    </row>
    <row r="133">
      <c r="A133" s="93" t="n"/>
      <c r="B133" s="93" t="n"/>
      <c r="C133" s="93" t="n"/>
      <c r="D133" s="93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93" t="n"/>
      <c r="P133" s="93" t="n"/>
      <c r="Q133" s="93" t="n"/>
      <c r="R133" s="93" t="n"/>
      <c r="S133" s="93" t="n"/>
      <c r="T133" s="93" t="n"/>
      <c r="U133" s="93" t="n"/>
      <c r="V133" s="93" t="n"/>
      <c r="W133" s="93" t="n"/>
      <c r="X133" s="93" t="n"/>
      <c r="Y133" s="93" t="n"/>
      <c r="Z133" s="93" t="n"/>
    </row>
    <row r="134">
      <c r="A134" s="93" t="n"/>
      <c r="B134" s="93" t="n"/>
      <c r="C134" s="93" t="n"/>
      <c r="D134" s="93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93" t="n"/>
      <c r="P134" s="93" t="n"/>
      <c r="Q134" s="93" t="n"/>
      <c r="R134" s="93" t="n"/>
      <c r="S134" s="93" t="n"/>
      <c r="T134" s="93" t="n"/>
      <c r="U134" s="93" t="n"/>
      <c r="V134" s="93" t="n"/>
      <c r="W134" s="93" t="n"/>
      <c r="X134" s="93" t="n"/>
      <c r="Y134" s="93" t="n"/>
      <c r="Z134" s="93" t="n"/>
    </row>
    <row r="135">
      <c r="A135" s="93" t="n"/>
      <c r="B135" s="93" t="n"/>
      <c r="C135" s="93" t="n"/>
      <c r="D135" s="93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93" t="n"/>
      <c r="P135" s="93" t="n"/>
      <c r="Q135" s="93" t="n"/>
      <c r="R135" s="93" t="n"/>
      <c r="S135" s="93" t="n"/>
      <c r="T135" s="93" t="n"/>
      <c r="U135" s="93" t="n"/>
      <c r="V135" s="93" t="n"/>
      <c r="W135" s="93" t="n"/>
      <c r="X135" s="93" t="n"/>
      <c r="Y135" s="93" t="n"/>
      <c r="Z135" s="93" t="n"/>
    </row>
    <row r="136">
      <c r="A136" s="93" t="n"/>
      <c r="B136" s="93" t="n"/>
      <c r="C136" s="93" t="n"/>
      <c r="D136" s="93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  <c r="U136" s="93" t="n"/>
      <c r="V136" s="93" t="n"/>
      <c r="W136" s="93" t="n"/>
      <c r="X136" s="93" t="n"/>
      <c r="Y136" s="93" t="n"/>
      <c r="Z136" s="93" t="n"/>
    </row>
    <row r="137">
      <c r="A137" s="93" t="n"/>
      <c r="B137" s="93" t="n"/>
      <c r="C137" s="93" t="n"/>
      <c r="D137" s="93" t="n"/>
      <c r="E137" s="93" t="n"/>
      <c r="F137" s="93" t="n"/>
      <c r="G137" s="93" t="n"/>
      <c r="H137" s="93" t="n"/>
      <c r="I137" s="93" t="n"/>
      <c r="J137" s="93" t="n"/>
      <c r="K137" s="93" t="n"/>
      <c r="L137" s="93" t="n"/>
      <c r="M137" s="93" t="n"/>
      <c r="N137" s="93" t="n"/>
      <c r="O137" s="93" t="n"/>
      <c r="P137" s="93" t="n"/>
      <c r="Q137" s="93" t="n"/>
      <c r="R137" s="93" t="n"/>
      <c r="S137" s="93" t="n"/>
      <c r="T137" s="93" t="n"/>
      <c r="U137" s="93" t="n"/>
      <c r="V137" s="93" t="n"/>
      <c r="W137" s="93" t="n"/>
      <c r="X137" s="93" t="n"/>
      <c r="Y137" s="93" t="n"/>
      <c r="Z137" s="93" t="n"/>
    </row>
    <row r="138">
      <c r="A138" s="93" t="n"/>
      <c r="B138" s="93" t="n"/>
      <c r="C138" s="93" t="n"/>
      <c r="D138" s="93" t="n"/>
      <c r="E138" s="93" t="n"/>
      <c r="F138" s="93" t="n"/>
      <c r="G138" s="93" t="n"/>
      <c r="H138" s="93" t="n"/>
      <c r="I138" s="93" t="n"/>
      <c r="J138" s="93" t="n"/>
      <c r="K138" s="93" t="n"/>
      <c r="L138" s="93" t="n"/>
      <c r="M138" s="93" t="n"/>
      <c r="N138" s="93" t="n"/>
      <c r="O138" s="93" t="n"/>
      <c r="P138" s="93" t="n"/>
      <c r="Q138" s="93" t="n"/>
      <c r="R138" s="93" t="n"/>
      <c r="S138" s="93" t="n"/>
      <c r="T138" s="93" t="n"/>
      <c r="U138" s="93" t="n"/>
      <c r="V138" s="93" t="n"/>
      <c r="W138" s="93" t="n"/>
      <c r="X138" s="93" t="n"/>
      <c r="Y138" s="93" t="n"/>
      <c r="Z138" s="93" t="n"/>
    </row>
    <row r="139">
      <c r="A139" s="93" t="n"/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93" t="n"/>
      <c r="N139" s="93" t="n"/>
      <c r="O139" s="93" t="n"/>
      <c r="P139" s="93" t="n"/>
      <c r="Q139" s="93" t="n"/>
      <c r="R139" s="93" t="n"/>
      <c r="S139" s="93" t="n"/>
      <c r="T139" s="93" t="n"/>
      <c r="U139" s="93" t="n"/>
      <c r="V139" s="93" t="n"/>
      <c r="W139" s="93" t="n"/>
      <c r="X139" s="93" t="n"/>
      <c r="Y139" s="93" t="n"/>
      <c r="Z139" s="93" t="n"/>
    </row>
    <row r="140">
      <c r="A140" s="93" t="n"/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93" t="n"/>
      <c r="P140" s="93" t="n"/>
      <c r="Q140" s="93" t="n"/>
      <c r="R140" s="93" t="n"/>
      <c r="S140" s="93" t="n"/>
      <c r="T140" s="93" t="n"/>
      <c r="U140" s="93" t="n"/>
      <c r="V140" s="93" t="n"/>
      <c r="W140" s="93" t="n"/>
      <c r="X140" s="93" t="n"/>
      <c r="Y140" s="93" t="n"/>
      <c r="Z140" s="93" t="n"/>
    </row>
    <row r="141">
      <c r="A141" s="93" t="n"/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93" t="n"/>
      <c r="P141" s="93" t="n"/>
      <c r="Q141" s="93" t="n"/>
      <c r="R141" s="93" t="n"/>
      <c r="S141" s="93" t="n"/>
      <c r="T141" s="93" t="n"/>
      <c r="U141" s="93" t="n"/>
      <c r="V141" s="93" t="n"/>
      <c r="W141" s="93" t="n"/>
      <c r="X141" s="93" t="n"/>
      <c r="Y141" s="93" t="n"/>
      <c r="Z141" s="93" t="n"/>
    </row>
    <row r="142">
      <c r="A142" s="93" t="n"/>
      <c r="B142" s="93" t="n"/>
      <c r="C142" s="93" t="n"/>
      <c r="D142" s="93" t="n"/>
      <c r="E142" s="93" t="n"/>
      <c r="F142" s="93" t="n"/>
      <c r="G142" s="93" t="n"/>
      <c r="H142" s="93" t="n"/>
      <c r="I142" s="93" t="n"/>
      <c r="J142" s="93" t="n"/>
      <c r="K142" s="93" t="n"/>
      <c r="L142" s="93" t="n"/>
      <c r="M142" s="93" t="n"/>
      <c r="N142" s="93" t="n"/>
      <c r="O142" s="93" t="n"/>
      <c r="P142" s="93" t="n"/>
      <c r="Q142" s="93" t="n"/>
      <c r="R142" s="93" t="n"/>
      <c r="S142" s="93" t="n"/>
      <c r="T142" s="93" t="n"/>
      <c r="U142" s="93" t="n"/>
      <c r="V142" s="93" t="n"/>
      <c r="W142" s="93" t="n"/>
      <c r="X142" s="93" t="n"/>
      <c r="Y142" s="93" t="n"/>
      <c r="Z142" s="93" t="n"/>
    </row>
    <row r="143">
      <c r="A143" s="93" t="n"/>
      <c r="B143" s="93" t="n"/>
      <c r="C143" s="93" t="n"/>
      <c r="D143" s="93" t="n"/>
      <c r="E143" s="93" t="n"/>
      <c r="F143" s="93" t="n"/>
      <c r="G143" s="93" t="n"/>
      <c r="H143" s="93" t="n"/>
      <c r="I143" s="93" t="n"/>
      <c r="J143" s="93" t="n"/>
      <c r="K143" s="93" t="n"/>
      <c r="L143" s="93" t="n"/>
      <c r="M143" s="93" t="n"/>
      <c r="N143" s="93" t="n"/>
      <c r="O143" s="93" t="n"/>
      <c r="P143" s="93" t="n"/>
      <c r="Q143" s="93" t="n"/>
      <c r="R143" s="93" t="n"/>
      <c r="S143" s="93" t="n"/>
      <c r="T143" s="93" t="n"/>
      <c r="U143" s="93" t="n"/>
      <c r="V143" s="93" t="n"/>
      <c r="W143" s="93" t="n"/>
      <c r="X143" s="93" t="n"/>
      <c r="Y143" s="93" t="n"/>
      <c r="Z143" s="93" t="n"/>
    </row>
    <row r="144">
      <c r="A144" s="93" t="n"/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93" t="n"/>
      <c r="P144" s="93" t="n"/>
      <c r="Q144" s="93" t="n"/>
      <c r="R144" s="93" t="n"/>
      <c r="S144" s="93" t="n"/>
      <c r="T144" s="93" t="n"/>
      <c r="U144" s="93" t="n"/>
      <c r="V144" s="93" t="n"/>
      <c r="W144" s="93" t="n"/>
      <c r="X144" s="93" t="n"/>
      <c r="Y144" s="93" t="n"/>
      <c r="Z144" s="93" t="n"/>
    </row>
    <row r="145">
      <c r="A145" s="93" t="n"/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93" t="n"/>
      <c r="P145" s="93" t="n"/>
      <c r="Q145" s="93" t="n"/>
      <c r="R145" s="93" t="n"/>
      <c r="S145" s="93" t="n"/>
      <c r="T145" s="93" t="n"/>
      <c r="U145" s="93" t="n"/>
      <c r="V145" s="93" t="n"/>
      <c r="W145" s="93" t="n"/>
      <c r="X145" s="93" t="n"/>
      <c r="Y145" s="93" t="n"/>
      <c r="Z145" s="93" t="n"/>
    </row>
    <row r="146">
      <c r="A146" s="93" t="n"/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93" t="n"/>
      <c r="P146" s="93" t="n"/>
      <c r="Q146" s="93" t="n"/>
      <c r="R146" s="93" t="n"/>
      <c r="S146" s="93" t="n"/>
      <c r="T146" s="93" t="n"/>
      <c r="U146" s="93" t="n"/>
      <c r="V146" s="93" t="n"/>
      <c r="W146" s="93" t="n"/>
      <c r="X146" s="93" t="n"/>
      <c r="Y146" s="93" t="n"/>
      <c r="Z146" s="93" t="n"/>
    </row>
    <row r="147">
      <c r="A147" s="93" t="n"/>
      <c r="B147" s="93" t="n"/>
      <c r="C147" s="93" t="n"/>
      <c r="D147" s="93" t="n"/>
      <c r="E147" s="93" t="n"/>
      <c r="F147" s="93" t="n"/>
      <c r="G147" s="93" t="n"/>
      <c r="H147" s="93" t="n"/>
      <c r="I147" s="93" t="n"/>
      <c r="J147" s="93" t="n"/>
      <c r="K147" s="93" t="n"/>
      <c r="L147" s="93" t="n"/>
      <c r="M147" s="93" t="n"/>
      <c r="N147" s="93" t="n"/>
      <c r="O147" s="93" t="n"/>
      <c r="P147" s="93" t="n"/>
      <c r="Q147" s="93" t="n"/>
      <c r="R147" s="93" t="n"/>
      <c r="S147" s="93" t="n"/>
      <c r="T147" s="93" t="n"/>
      <c r="U147" s="93" t="n"/>
      <c r="V147" s="93" t="n"/>
      <c r="W147" s="93" t="n"/>
      <c r="X147" s="93" t="n"/>
      <c r="Y147" s="93" t="n"/>
      <c r="Z147" s="93" t="n"/>
    </row>
    <row r="148">
      <c r="A148" s="93" t="n"/>
      <c r="B148" s="93" t="n"/>
      <c r="C148" s="93" t="n"/>
      <c r="D148" s="93" t="n"/>
      <c r="E148" s="93" t="n"/>
      <c r="F148" s="93" t="n"/>
      <c r="G148" s="93" t="n"/>
      <c r="H148" s="93" t="n"/>
      <c r="I148" s="93" t="n"/>
      <c r="J148" s="93" t="n"/>
      <c r="K148" s="93" t="n"/>
      <c r="L148" s="93" t="n"/>
      <c r="M148" s="93" t="n"/>
      <c r="N148" s="93" t="n"/>
      <c r="O148" s="93" t="n"/>
      <c r="P148" s="93" t="n"/>
      <c r="Q148" s="93" t="n"/>
      <c r="R148" s="93" t="n"/>
      <c r="S148" s="93" t="n"/>
      <c r="T148" s="93" t="n"/>
      <c r="U148" s="93" t="n"/>
      <c r="V148" s="93" t="n"/>
      <c r="W148" s="93" t="n"/>
      <c r="X148" s="93" t="n"/>
      <c r="Y148" s="93" t="n"/>
      <c r="Z148" s="93" t="n"/>
    </row>
    <row r="149">
      <c r="A149" s="93" t="n"/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93" t="n"/>
      <c r="P149" s="93" t="n"/>
      <c r="Q149" s="93" t="n"/>
      <c r="R149" s="93" t="n"/>
      <c r="S149" s="93" t="n"/>
      <c r="T149" s="93" t="n"/>
      <c r="U149" s="93" t="n"/>
      <c r="V149" s="93" t="n"/>
      <c r="W149" s="93" t="n"/>
      <c r="X149" s="93" t="n"/>
      <c r="Y149" s="93" t="n"/>
      <c r="Z149" s="93" t="n"/>
    </row>
    <row r="150">
      <c r="A150" s="93" t="n"/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93" t="n"/>
      <c r="P150" s="93" t="n"/>
      <c r="Q150" s="93" t="n"/>
      <c r="R150" s="93" t="n"/>
      <c r="S150" s="93" t="n"/>
      <c r="T150" s="93" t="n"/>
      <c r="U150" s="93" t="n"/>
      <c r="V150" s="93" t="n"/>
      <c r="W150" s="93" t="n"/>
      <c r="X150" s="93" t="n"/>
      <c r="Y150" s="93" t="n"/>
      <c r="Z150" s="93" t="n"/>
    </row>
    <row r="151">
      <c r="A151" s="93" t="n"/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93" t="n"/>
      <c r="P151" s="93" t="n"/>
      <c r="Q151" s="93" t="n"/>
      <c r="R151" s="93" t="n"/>
      <c r="S151" s="93" t="n"/>
      <c r="T151" s="93" t="n"/>
      <c r="U151" s="93" t="n"/>
      <c r="V151" s="93" t="n"/>
      <c r="W151" s="93" t="n"/>
      <c r="X151" s="93" t="n"/>
      <c r="Y151" s="93" t="n"/>
      <c r="Z151" s="93" t="n"/>
    </row>
    <row r="152">
      <c r="A152" s="93" t="n"/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93" t="n"/>
      <c r="P152" s="93" t="n"/>
      <c r="Q152" s="93" t="n"/>
      <c r="R152" s="93" t="n"/>
      <c r="S152" s="93" t="n"/>
      <c r="T152" s="93" t="n"/>
      <c r="U152" s="93" t="n"/>
      <c r="V152" s="93" t="n"/>
      <c r="W152" s="93" t="n"/>
      <c r="X152" s="93" t="n"/>
      <c r="Y152" s="93" t="n"/>
      <c r="Z152" s="93" t="n"/>
    </row>
    <row r="153">
      <c r="A153" s="93" t="n"/>
      <c r="B153" s="93" t="n"/>
      <c r="C153" s="93" t="n"/>
      <c r="D153" s="93" t="n"/>
      <c r="E153" s="93" t="n"/>
      <c r="F153" s="93" t="n"/>
      <c r="G153" s="93" t="n"/>
      <c r="H153" s="93" t="n"/>
      <c r="I153" s="93" t="n"/>
      <c r="J153" s="93" t="n"/>
      <c r="K153" s="93" t="n"/>
      <c r="L153" s="93" t="n"/>
      <c r="M153" s="93" t="n"/>
      <c r="N153" s="93" t="n"/>
      <c r="O153" s="93" t="n"/>
      <c r="P153" s="93" t="n"/>
      <c r="Q153" s="93" t="n"/>
      <c r="R153" s="93" t="n"/>
      <c r="S153" s="93" t="n"/>
      <c r="T153" s="93" t="n"/>
      <c r="U153" s="93" t="n"/>
      <c r="V153" s="93" t="n"/>
      <c r="W153" s="93" t="n"/>
      <c r="X153" s="93" t="n"/>
      <c r="Y153" s="93" t="n"/>
      <c r="Z153" s="93" t="n"/>
    </row>
    <row r="154">
      <c r="A154" s="93" t="n"/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93" t="n"/>
      <c r="P154" s="93" t="n"/>
      <c r="Q154" s="93" t="n"/>
      <c r="R154" s="93" t="n"/>
      <c r="S154" s="93" t="n"/>
      <c r="T154" s="93" t="n"/>
      <c r="U154" s="93" t="n"/>
      <c r="V154" s="93" t="n"/>
      <c r="W154" s="93" t="n"/>
      <c r="X154" s="93" t="n"/>
      <c r="Y154" s="93" t="n"/>
      <c r="Z154" s="93" t="n"/>
    </row>
    <row r="155">
      <c r="A155" s="93" t="n"/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93" t="n"/>
      <c r="P155" s="93" t="n"/>
      <c r="Q155" s="93" t="n"/>
      <c r="R155" s="93" t="n"/>
      <c r="S155" s="93" t="n"/>
      <c r="T155" s="93" t="n"/>
      <c r="U155" s="93" t="n"/>
      <c r="V155" s="93" t="n"/>
      <c r="W155" s="93" t="n"/>
      <c r="X155" s="93" t="n"/>
      <c r="Y155" s="93" t="n"/>
      <c r="Z155" s="93" t="n"/>
    </row>
    <row r="156">
      <c r="A156" s="93" t="n"/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93" t="n"/>
      <c r="P156" s="93" t="n"/>
      <c r="Q156" s="93" t="n"/>
      <c r="R156" s="93" t="n"/>
      <c r="S156" s="93" t="n"/>
      <c r="T156" s="93" t="n"/>
      <c r="U156" s="93" t="n"/>
      <c r="V156" s="93" t="n"/>
      <c r="W156" s="93" t="n"/>
      <c r="X156" s="93" t="n"/>
      <c r="Y156" s="93" t="n"/>
      <c r="Z156" s="93" t="n"/>
    </row>
    <row r="157">
      <c r="A157" s="93" t="n"/>
      <c r="B157" s="93" t="n"/>
      <c r="C157" s="93" t="n"/>
      <c r="D157" s="93" t="n"/>
      <c r="E157" s="93" t="n"/>
      <c r="F157" s="93" t="n"/>
      <c r="G157" s="93" t="n"/>
      <c r="H157" s="93" t="n"/>
      <c r="I157" s="93" t="n"/>
      <c r="J157" s="93" t="n"/>
      <c r="K157" s="93" t="n"/>
      <c r="L157" s="93" t="n"/>
      <c r="M157" s="93" t="n"/>
      <c r="N157" s="93" t="n"/>
      <c r="O157" s="93" t="n"/>
      <c r="P157" s="93" t="n"/>
      <c r="Q157" s="93" t="n"/>
      <c r="R157" s="93" t="n"/>
      <c r="S157" s="93" t="n"/>
      <c r="T157" s="93" t="n"/>
      <c r="U157" s="93" t="n"/>
      <c r="V157" s="93" t="n"/>
      <c r="W157" s="93" t="n"/>
      <c r="X157" s="93" t="n"/>
      <c r="Y157" s="93" t="n"/>
      <c r="Z157" s="93" t="n"/>
    </row>
    <row r="158">
      <c r="A158" s="93" t="n"/>
      <c r="B158" s="93" t="n"/>
      <c r="C158" s="93" t="n"/>
      <c r="D158" s="93" t="n"/>
      <c r="E158" s="93" t="n"/>
      <c r="F158" s="93" t="n"/>
      <c r="G158" s="93" t="n"/>
      <c r="H158" s="93" t="n"/>
      <c r="I158" s="93" t="n"/>
      <c r="J158" s="93" t="n"/>
      <c r="K158" s="93" t="n"/>
      <c r="L158" s="93" t="n"/>
      <c r="M158" s="93" t="n"/>
      <c r="N158" s="93" t="n"/>
      <c r="O158" s="93" t="n"/>
      <c r="P158" s="93" t="n"/>
      <c r="Q158" s="93" t="n"/>
      <c r="R158" s="93" t="n"/>
      <c r="S158" s="93" t="n"/>
      <c r="T158" s="93" t="n"/>
      <c r="U158" s="93" t="n"/>
      <c r="V158" s="93" t="n"/>
      <c r="W158" s="93" t="n"/>
      <c r="X158" s="93" t="n"/>
      <c r="Y158" s="93" t="n"/>
      <c r="Z158" s="93" t="n"/>
    </row>
    <row r="159">
      <c r="A159" s="93" t="n"/>
      <c r="B159" s="93" t="n"/>
      <c r="C159" s="93" t="n"/>
      <c r="D159" s="93" t="n"/>
      <c r="E159" s="93" t="n"/>
      <c r="F159" s="93" t="n"/>
      <c r="G159" s="93" t="n"/>
      <c r="H159" s="93" t="n"/>
      <c r="I159" s="93" t="n"/>
      <c r="J159" s="93" t="n"/>
      <c r="K159" s="93" t="n"/>
      <c r="L159" s="93" t="n"/>
      <c r="M159" s="93" t="n"/>
      <c r="N159" s="93" t="n"/>
      <c r="O159" s="93" t="n"/>
      <c r="P159" s="93" t="n"/>
      <c r="Q159" s="93" t="n"/>
      <c r="R159" s="93" t="n"/>
      <c r="S159" s="93" t="n"/>
      <c r="T159" s="93" t="n"/>
      <c r="U159" s="93" t="n"/>
      <c r="V159" s="93" t="n"/>
      <c r="W159" s="93" t="n"/>
      <c r="X159" s="93" t="n"/>
      <c r="Y159" s="93" t="n"/>
      <c r="Z159" s="93" t="n"/>
    </row>
    <row r="160">
      <c r="A160" s="93" t="n"/>
      <c r="B160" s="93" t="n"/>
      <c r="C160" s="93" t="n"/>
      <c r="D160" s="93" t="n"/>
      <c r="E160" s="93" t="n"/>
      <c r="F160" s="93" t="n"/>
      <c r="G160" s="93" t="n"/>
      <c r="H160" s="93" t="n"/>
      <c r="I160" s="93" t="n"/>
      <c r="J160" s="93" t="n"/>
      <c r="K160" s="93" t="n"/>
      <c r="L160" s="93" t="n"/>
      <c r="M160" s="93" t="n"/>
      <c r="N160" s="93" t="n"/>
      <c r="O160" s="93" t="n"/>
      <c r="P160" s="93" t="n"/>
      <c r="Q160" s="93" t="n"/>
      <c r="R160" s="93" t="n"/>
      <c r="S160" s="93" t="n"/>
      <c r="T160" s="93" t="n"/>
      <c r="U160" s="93" t="n"/>
      <c r="V160" s="93" t="n"/>
      <c r="W160" s="93" t="n"/>
      <c r="X160" s="93" t="n"/>
      <c r="Y160" s="93" t="n"/>
      <c r="Z160" s="93" t="n"/>
    </row>
    <row r="161">
      <c r="A161" s="93" t="n"/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93" t="n"/>
      <c r="P161" s="93" t="n"/>
      <c r="Q161" s="93" t="n"/>
      <c r="R161" s="93" t="n"/>
      <c r="S161" s="93" t="n"/>
      <c r="T161" s="93" t="n"/>
      <c r="U161" s="93" t="n"/>
      <c r="V161" s="93" t="n"/>
      <c r="W161" s="93" t="n"/>
      <c r="X161" s="93" t="n"/>
      <c r="Y161" s="93" t="n"/>
      <c r="Z161" s="93" t="n"/>
    </row>
    <row r="162">
      <c r="A162" s="93" t="n"/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93" t="n"/>
      <c r="P162" s="93" t="n"/>
      <c r="Q162" s="93" t="n"/>
      <c r="R162" s="93" t="n"/>
      <c r="S162" s="93" t="n"/>
      <c r="T162" s="93" t="n"/>
      <c r="U162" s="93" t="n"/>
      <c r="V162" s="93" t="n"/>
      <c r="W162" s="93" t="n"/>
      <c r="X162" s="93" t="n"/>
      <c r="Y162" s="93" t="n"/>
      <c r="Z162" s="93" t="n"/>
    </row>
    <row r="163">
      <c r="A163" s="93" t="n"/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93" t="n"/>
      <c r="P163" s="93" t="n"/>
      <c r="Q163" s="93" t="n"/>
      <c r="R163" s="93" t="n"/>
      <c r="S163" s="93" t="n"/>
      <c r="T163" s="93" t="n"/>
      <c r="U163" s="93" t="n"/>
      <c r="V163" s="93" t="n"/>
      <c r="W163" s="93" t="n"/>
      <c r="X163" s="93" t="n"/>
      <c r="Y163" s="93" t="n"/>
      <c r="Z163" s="93" t="n"/>
    </row>
    <row r="164">
      <c r="A164" s="93" t="n"/>
      <c r="B164" s="93" t="n"/>
      <c r="C164" s="93" t="n"/>
      <c r="D164" s="93" t="n"/>
      <c r="E164" s="93" t="n"/>
      <c r="F164" s="93" t="n"/>
      <c r="G164" s="93" t="n"/>
      <c r="H164" s="93" t="n"/>
      <c r="I164" s="93" t="n"/>
      <c r="J164" s="93" t="n"/>
      <c r="K164" s="93" t="n"/>
      <c r="L164" s="93" t="n"/>
      <c r="M164" s="93" t="n"/>
      <c r="N164" s="93" t="n"/>
      <c r="O164" s="93" t="n"/>
      <c r="P164" s="93" t="n"/>
      <c r="Q164" s="93" t="n"/>
      <c r="R164" s="93" t="n"/>
      <c r="S164" s="93" t="n"/>
      <c r="T164" s="93" t="n"/>
      <c r="U164" s="93" t="n"/>
      <c r="V164" s="93" t="n"/>
      <c r="W164" s="93" t="n"/>
      <c r="X164" s="93" t="n"/>
      <c r="Y164" s="93" t="n"/>
      <c r="Z164" s="93" t="n"/>
    </row>
    <row r="165">
      <c r="A165" s="93" t="n"/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93" t="n"/>
      <c r="P165" s="93" t="n"/>
      <c r="Q165" s="93" t="n"/>
      <c r="R165" s="93" t="n"/>
      <c r="S165" s="93" t="n"/>
      <c r="T165" s="93" t="n"/>
      <c r="U165" s="93" t="n"/>
      <c r="V165" s="93" t="n"/>
      <c r="W165" s="93" t="n"/>
      <c r="X165" s="93" t="n"/>
      <c r="Y165" s="93" t="n"/>
      <c r="Z165" s="93" t="n"/>
    </row>
    <row r="166">
      <c r="A166" s="93" t="n"/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93" t="n"/>
      <c r="P166" s="93" t="n"/>
      <c r="Q166" s="93" t="n"/>
      <c r="R166" s="93" t="n"/>
      <c r="S166" s="93" t="n"/>
      <c r="T166" s="93" t="n"/>
      <c r="U166" s="93" t="n"/>
      <c r="V166" s="93" t="n"/>
      <c r="W166" s="93" t="n"/>
      <c r="X166" s="93" t="n"/>
      <c r="Y166" s="93" t="n"/>
      <c r="Z166" s="93" t="n"/>
    </row>
    <row r="167">
      <c r="A167" s="93" t="n"/>
      <c r="B167" s="93" t="n"/>
      <c r="C167" s="93" t="n"/>
      <c r="D167" s="93" t="n"/>
      <c r="E167" s="93" t="n"/>
      <c r="F167" s="93" t="n"/>
      <c r="G167" s="93" t="n"/>
      <c r="H167" s="93" t="n"/>
      <c r="I167" s="93" t="n"/>
      <c r="J167" s="93" t="n"/>
      <c r="K167" s="93" t="n"/>
      <c r="L167" s="93" t="n"/>
      <c r="M167" s="93" t="n"/>
      <c r="N167" s="93" t="n"/>
      <c r="O167" s="93" t="n"/>
      <c r="P167" s="93" t="n"/>
      <c r="Q167" s="93" t="n"/>
      <c r="R167" s="93" t="n"/>
      <c r="S167" s="93" t="n"/>
      <c r="T167" s="93" t="n"/>
      <c r="U167" s="93" t="n"/>
      <c r="V167" s="93" t="n"/>
      <c r="W167" s="93" t="n"/>
      <c r="X167" s="93" t="n"/>
      <c r="Y167" s="93" t="n"/>
      <c r="Z167" s="93" t="n"/>
    </row>
    <row r="168">
      <c r="A168" s="93" t="n"/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93" t="n"/>
      <c r="P168" s="93" t="n"/>
      <c r="Q168" s="93" t="n"/>
      <c r="R168" s="93" t="n"/>
      <c r="S168" s="93" t="n"/>
      <c r="T168" s="93" t="n"/>
      <c r="U168" s="93" t="n"/>
      <c r="V168" s="93" t="n"/>
      <c r="W168" s="93" t="n"/>
      <c r="X168" s="93" t="n"/>
      <c r="Y168" s="93" t="n"/>
      <c r="Z168" s="93" t="n"/>
    </row>
    <row r="169">
      <c r="A169" s="93" t="n"/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93" t="n"/>
      <c r="P169" s="93" t="n"/>
      <c r="Q169" s="93" t="n"/>
      <c r="R169" s="93" t="n"/>
      <c r="S169" s="93" t="n"/>
      <c r="T169" s="93" t="n"/>
      <c r="U169" s="93" t="n"/>
      <c r="V169" s="93" t="n"/>
      <c r="W169" s="93" t="n"/>
      <c r="X169" s="93" t="n"/>
      <c r="Y169" s="93" t="n"/>
      <c r="Z169" s="93" t="n"/>
    </row>
    <row r="170">
      <c r="A170" s="93" t="n"/>
      <c r="B170" s="93" t="n"/>
      <c r="C170" s="93" t="n"/>
      <c r="D170" s="93" t="n"/>
      <c r="E170" s="93" t="n"/>
      <c r="F170" s="93" t="n"/>
      <c r="G170" s="93" t="n"/>
      <c r="H170" s="93" t="n"/>
      <c r="I170" s="93" t="n"/>
      <c r="J170" s="93" t="n"/>
      <c r="K170" s="93" t="n"/>
      <c r="L170" s="93" t="n"/>
      <c r="M170" s="93" t="n"/>
      <c r="N170" s="93" t="n"/>
      <c r="O170" s="93" t="n"/>
      <c r="P170" s="93" t="n"/>
      <c r="Q170" s="93" t="n"/>
      <c r="R170" s="93" t="n"/>
      <c r="S170" s="93" t="n"/>
      <c r="T170" s="93" t="n"/>
      <c r="U170" s="93" t="n"/>
      <c r="V170" s="93" t="n"/>
      <c r="W170" s="93" t="n"/>
      <c r="X170" s="93" t="n"/>
      <c r="Y170" s="93" t="n"/>
      <c r="Z170" s="93" t="n"/>
    </row>
    <row r="171">
      <c r="A171" s="93" t="n"/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93" t="n"/>
      <c r="P171" s="93" t="n"/>
      <c r="Q171" s="93" t="n"/>
      <c r="R171" s="93" t="n"/>
      <c r="S171" s="93" t="n"/>
      <c r="T171" s="93" t="n"/>
      <c r="U171" s="93" t="n"/>
      <c r="V171" s="93" t="n"/>
      <c r="W171" s="93" t="n"/>
      <c r="X171" s="93" t="n"/>
      <c r="Y171" s="93" t="n"/>
      <c r="Z171" s="93" t="n"/>
    </row>
    <row r="172">
      <c r="A172" s="93" t="n"/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93" t="n"/>
      <c r="P172" s="93" t="n"/>
      <c r="Q172" s="93" t="n"/>
      <c r="R172" s="93" t="n"/>
      <c r="S172" s="93" t="n"/>
      <c r="T172" s="93" t="n"/>
      <c r="U172" s="93" t="n"/>
      <c r="V172" s="93" t="n"/>
      <c r="W172" s="93" t="n"/>
      <c r="X172" s="93" t="n"/>
      <c r="Y172" s="93" t="n"/>
      <c r="Z172" s="93" t="n"/>
    </row>
    <row r="173">
      <c r="A173" s="93" t="n"/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93" t="n"/>
      <c r="P173" s="93" t="n"/>
      <c r="Q173" s="93" t="n"/>
      <c r="R173" s="93" t="n"/>
      <c r="S173" s="93" t="n"/>
      <c r="T173" s="93" t="n"/>
      <c r="U173" s="93" t="n"/>
      <c r="V173" s="93" t="n"/>
      <c r="W173" s="93" t="n"/>
      <c r="X173" s="93" t="n"/>
      <c r="Y173" s="93" t="n"/>
      <c r="Z173" s="93" t="n"/>
    </row>
    <row r="174">
      <c r="A174" s="93" t="n"/>
      <c r="B174" s="93" t="n"/>
      <c r="C174" s="93" t="n"/>
      <c r="D174" s="93" t="n"/>
      <c r="E174" s="93" t="n"/>
      <c r="F174" s="93" t="n"/>
      <c r="G174" s="93" t="n"/>
      <c r="H174" s="93" t="n"/>
      <c r="I174" s="93" t="n"/>
      <c r="J174" s="93" t="n"/>
      <c r="K174" s="93" t="n"/>
      <c r="L174" s="93" t="n"/>
      <c r="M174" s="93" t="n"/>
      <c r="N174" s="93" t="n"/>
      <c r="O174" s="93" t="n"/>
      <c r="P174" s="93" t="n"/>
      <c r="Q174" s="93" t="n"/>
      <c r="R174" s="93" t="n"/>
      <c r="S174" s="93" t="n"/>
      <c r="T174" s="93" t="n"/>
      <c r="U174" s="93" t="n"/>
      <c r="V174" s="93" t="n"/>
      <c r="W174" s="93" t="n"/>
      <c r="X174" s="93" t="n"/>
      <c r="Y174" s="93" t="n"/>
      <c r="Z174" s="93" t="n"/>
    </row>
    <row r="175">
      <c r="A175" s="93" t="n"/>
      <c r="B175" s="93" t="n"/>
      <c r="C175" s="93" t="n"/>
      <c r="D175" s="93" t="n"/>
      <c r="E175" s="93" t="n"/>
      <c r="F175" s="93" t="n"/>
      <c r="G175" s="93" t="n"/>
      <c r="H175" s="93" t="n"/>
      <c r="I175" s="93" t="n"/>
      <c r="J175" s="93" t="n"/>
      <c r="K175" s="93" t="n"/>
      <c r="L175" s="93" t="n"/>
      <c r="M175" s="93" t="n"/>
      <c r="N175" s="93" t="n"/>
      <c r="O175" s="93" t="n"/>
      <c r="P175" s="93" t="n"/>
      <c r="Q175" s="93" t="n"/>
      <c r="R175" s="93" t="n"/>
      <c r="S175" s="93" t="n"/>
      <c r="T175" s="93" t="n"/>
      <c r="U175" s="93" t="n"/>
      <c r="V175" s="93" t="n"/>
      <c r="W175" s="93" t="n"/>
      <c r="X175" s="93" t="n"/>
      <c r="Y175" s="93" t="n"/>
      <c r="Z175" s="93" t="n"/>
    </row>
    <row r="176">
      <c r="A176" s="93" t="n"/>
      <c r="B176" s="93" t="n"/>
      <c r="C176" s="93" t="n"/>
      <c r="D176" s="93" t="n"/>
      <c r="E176" s="93" t="n"/>
      <c r="F176" s="93" t="n"/>
      <c r="G176" s="93" t="n"/>
      <c r="H176" s="93" t="n"/>
      <c r="I176" s="93" t="n"/>
      <c r="J176" s="93" t="n"/>
      <c r="K176" s="93" t="n"/>
      <c r="L176" s="93" t="n"/>
      <c r="M176" s="93" t="n"/>
      <c r="N176" s="93" t="n"/>
      <c r="O176" s="93" t="n"/>
      <c r="P176" s="93" t="n"/>
      <c r="Q176" s="93" t="n"/>
      <c r="R176" s="93" t="n"/>
      <c r="S176" s="93" t="n"/>
      <c r="T176" s="93" t="n"/>
      <c r="U176" s="93" t="n"/>
      <c r="V176" s="93" t="n"/>
      <c r="W176" s="93" t="n"/>
      <c r="X176" s="93" t="n"/>
      <c r="Y176" s="93" t="n"/>
      <c r="Z176" s="93" t="n"/>
    </row>
    <row r="177">
      <c r="A177" s="93" t="n"/>
      <c r="B177" s="93" t="n"/>
      <c r="C177" s="93" t="n"/>
      <c r="D177" s="93" t="n"/>
      <c r="E177" s="93" t="n"/>
      <c r="F177" s="93" t="n"/>
      <c r="G177" s="93" t="n"/>
      <c r="H177" s="93" t="n"/>
      <c r="I177" s="93" t="n"/>
      <c r="J177" s="93" t="n"/>
      <c r="K177" s="93" t="n"/>
      <c r="L177" s="93" t="n"/>
      <c r="M177" s="93" t="n"/>
      <c r="N177" s="93" t="n"/>
      <c r="O177" s="93" t="n"/>
      <c r="P177" s="93" t="n"/>
      <c r="Q177" s="93" t="n"/>
      <c r="R177" s="93" t="n"/>
      <c r="S177" s="93" t="n"/>
      <c r="T177" s="93" t="n"/>
      <c r="U177" s="93" t="n"/>
      <c r="V177" s="93" t="n"/>
      <c r="W177" s="93" t="n"/>
      <c r="X177" s="93" t="n"/>
      <c r="Y177" s="93" t="n"/>
      <c r="Z177" s="93" t="n"/>
    </row>
    <row r="178">
      <c r="A178" s="93" t="n"/>
      <c r="B178" s="93" t="n"/>
      <c r="C178" s="93" t="n"/>
      <c r="D178" s="93" t="n"/>
      <c r="E178" s="93" t="n"/>
      <c r="F178" s="93" t="n"/>
      <c r="G178" s="93" t="n"/>
      <c r="H178" s="93" t="n"/>
      <c r="I178" s="93" t="n"/>
      <c r="J178" s="93" t="n"/>
      <c r="K178" s="93" t="n"/>
      <c r="L178" s="93" t="n"/>
      <c r="M178" s="93" t="n"/>
      <c r="N178" s="93" t="n"/>
      <c r="O178" s="93" t="n"/>
      <c r="P178" s="93" t="n"/>
      <c r="Q178" s="93" t="n"/>
      <c r="R178" s="93" t="n"/>
      <c r="S178" s="93" t="n"/>
      <c r="T178" s="93" t="n"/>
      <c r="U178" s="93" t="n"/>
      <c r="V178" s="93" t="n"/>
      <c r="W178" s="93" t="n"/>
      <c r="X178" s="93" t="n"/>
      <c r="Y178" s="93" t="n"/>
      <c r="Z178" s="93" t="n"/>
    </row>
    <row r="179">
      <c r="A179" s="93" t="n"/>
      <c r="B179" s="93" t="n"/>
      <c r="C179" s="93" t="n"/>
      <c r="D179" s="93" t="n"/>
      <c r="E179" s="93" t="n"/>
      <c r="F179" s="93" t="n"/>
      <c r="G179" s="93" t="n"/>
      <c r="H179" s="93" t="n"/>
      <c r="I179" s="93" t="n"/>
      <c r="J179" s="93" t="n"/>
      <c r="K179" s="93" t="n"/>
      <c r="L179" s="93" t="n"/>
      <c r="M179" s="93" t="n"/>
      <c r="N179" s="93" t="n"/>
      <c r="O179" s="93" t="n"/>
      <c r="P179" s="93" t="n"/>
      <c r="Q179" s="93" t="n"/>
      <c r="R179" s="93" t="n"/>
      <c r="S179" s="93" t="n"/>
      <c r="T179" s="93" t="n"/>
      <c r="U179" s="93" t="n"/>
      <c r="V179" s="93" t="n"/>
      <c r="W179" s="93" t="n"/>
      <c r="X179" s="93" t="n"/>
      <c r="Y179" s="93" t="n"/>
      <c r="Z179" s="93" t="n"/>
    </row>
    <row r="180">
      <c r="A180" s="93" t="n"/>
      <c r="B180" s="93" t="n"/>
      <c r="C180" s="93" t="n"/>
      <c r="D180" s="93" t="n"/>
      <c r="E180" s="93" t="n"/>
      <c r="F180" s="93" t="n"/>
      <c r="G180" s="93" t="n"/>
      <c r="H180" s="93" t="n"/>
      <c r="I180" s="93" t="n"/>
      <c r="J180" s="93" t="n"/>
      <c r="K180" s="93" t="n"/>
      <c r="L180" s="93" t="n"/>
      <c r="M180" s="93" t="n"/>
      <c r="N180" s="93" t="n"/>
      <c r="O180" s="93" t="n"/>
      <c r="P180" s="93" t="n"/>
      <c r="Q180" s="93" t="n"/>
      <c r="R180" s="93" t="n"/>
      <c r="S180" s="93" t="n"/>
      <c r="T180" s="93" t="n"/>
      <c r="U180" s="93" t="n"/>
      <c r="V180" s="93" t="n"/>
      <c r="W180" s="93" t="n"/>
      <c r="X180" s="93" t="n"/>
      <c r="Y180" s="93" t="n"/>
      <c r="Z180" s="93" t="n"/>
    </row>
    <row r="181">
      <c r="A181" s="93" t="n"/>
      <c r="B181" s="93" t="n"/>
      <c r="C181" s="93" t="n"/>
      <c r="D181" s="93" t="n"/>
      <c r="E181" s="93" t="n"/>
      <c r="F181" s="93" t="n"/>
      <c r="G181" s="93" t="n"/>
      <c r="H181" s="93" t="n"/>
      <c r="I181" s="93" t="n"/>
      <c r="J181" s="93" t="n"/>
      <c r="K181" s="93" t="n"/>
      <c r="L181" s="93" t="n"/>
      <c r="M181" s="93" t="n"/>
      <c r="N181" s="93" t="n"/>
      <c r="O181" s="93" t="n"/>
      <c r="P181" s="93" t="n"/>
      <c r="Q181" s="93" t="n"/>
      <c r="R181" s="93" t="n"/>
      <c r="S181" s="93" t="n"/>
      <c r="T181" s="93" t="n"/>
      <c r="U181" s="93" t="n"/>
      <c r="V181" s="93" t="n"/>
      <c r="W181" s="93" t="n"/>
      <c r="X181" s="93" t="n"/>
      <c r="Y181" s="93" t="n"/>
      <c r="Z181" s="93" t="n"/>
    </row>
    <row r="182">
      <c r="A182" s="93" t="n"/>
      <c r="B182" s="93" t="n"/>
      <c r="C182" s="93" t="n"/>
      <c r="D182" s="93" t="n"/>
      <c r="E182" s="93" t="n"/>
      <c r="F182" s="93" t="n"/>
      <c r="G182" s="93" t="n"/>
      <c r="H182" s="93" t="n"/>
      <c r="I182" s="93" t="n"/>
      <c r="J182" s="93" t="n"/>
      <c r="K182" s="93" t="n"/>
      <c r="L182" s="93" t="n"/>
      <c r="M182" s="93" t="n"/>
      <c r="N182" s="93" t="n"/>
      <c r="O182" s="93" t="n"/>
      <c r="P182" s="93" t="n"/>
      <c r="Q182" s="93" t="n"/>
      <c r="R182" s="93" t="n"/>
      <c r="S182" s="93" t="n"/>
      <c r="T182" s="93" t="n"/>
      <c r="U182" s="93" t="n"/>
      <c r="V182" s="93" t="n"/>
      <c r="W182" s="93" t="n"/>
      <c r="X182" s="93" t="n"/>
      <c r="Y182" s="93" t="n"/>
      <c r="Z182" s="93" t="n"/>
    </row>
    <row r="183">
      <c r="A183" s="93" t="n"/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93" t="n"/>
      <c r="P183" s="93" t="n"/>
      <c r="Q183" s="93" t="n"/>
      <c r="R183" s="93" t="n"/>
      <c r="S183" s="93" t="n"/>
      <c r="T183" s="93" t="n"/>
      <c r="U183" s="93" t="n"/>
      <c r="V183" s="93" t="n"/>
      <c r="W183" s="93" t="n"/>
      <c r="X183" s="93" t="n"/>
      <c r="Y183" s="93" t="n"/>
      <c r="Z183" s="93" t="n"/>
    </row>
    <row r="184">
      <c r="A184" s="93" t="n"/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93" t="n"/>
      <c r="P184" s="93" t="n"/>
      <c r="Q184" s="93" t="n"/>
      <c r="R184" s="93" t="n"/>
      <c r="S184" s="93" t="n"/>
      <c r="T184" s="93" t="n"/>
      <c r="U184" s="93" t="n"/>
      <c r="V184" s="93" t="n"/>
      <c r="W184" s="93" t="n"/>
      <c r="X184" s="93" t="n"/>
      <c r="Y184" s="93" t="n"/>
      <c r="Z184" s="93" t="n"/>
    </row>
    <row r="185">
      <c r="A185" s="93" t="n"/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93" t="n"/>
      <c r="P185" s="93" t="n"/>
      <c r="Q185" s="93" t="n"/>
      <c r="R185" s="93" t="n"/>
      <c r="S185" s="93" t="n"/>
      <c r="T185" s="93" t="n"/>
      <c r="U185" s="93" t="n"/>
      <c r="V185" s="93" t="n"/>
      <c r="W185" s="93" t="n"/>
      <c r="X185" s="93" t="n"/>
      <c r="Y185" s="93" t="n"/>
      <c r="Z185" s="93" t="n"/>
    </row>
    <row r="186">
      <c r="A186" s="93" t="n"/>
      <c r="B186" s="93" t="n"/>
      <c r="C186" s="93" t="n"/>
      <c r="D186" s="93" t="n"/>
      <c r="E186" s="93" t="n"/>
      <c r="F186" s="93" t="n"/>
      <c r="G186" s="93" t="n"/>
      <c r="H186" s="93" t="n"/>
      <c r="I186" s="93" t="n"/>
      <c r="J186" s="93" t="n"/>
      <c r="K186" s="93" t="n"/>
      <c r="L186" s="93" t="n"/>
      <c r="M186" s="93" t="n"/>
      <c r="N186" s="93" t="n"/>
      <c r="O186" s="93" t="n"/>
      <c r="P186" s="93" t="n"/>
      <c r="Q186" s="93" t="n"/>
      <c r="R186" s="93" t="n"/>
      <c r="S186" s="93" t="n"/>
      <c r="T186" s="93" t="n"/>
      <c r="U186" s="93" t="n"/>
      <c r="V186" s="93" t="n"/>
      <c r="W186" s="93" t="n"/>
      <c r="X186" s="93" t="n"/>
      <c r="Y186" s="93" t="n"/>
      <c r="Z186" s="93" t="n"/>
    </row>
    <row r="187">
      <c r="A187" s="93" t="n"/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93" t="n"/>
      <c r="P187" s="93" t="n"/>
      <c r="Q187" s="93" t="n"/>
      <c r="R187" s="93" t="n"/>
      <c r="S187" s="93" t="n"/>
      <c r="T187" s="93" t="n"/>
      <c r="U187" s="93" t="n"/>
      <c r="V187" s="93" t="n"/>
      <c r="W187" s="93" t="n"/>
      <c r="X187" s="93" t="n"/>
      <c r="Y187" s="93" t="n"/>
      <c r="Z187" s="93" t="n"/>
    </row>
    <row r="188">
      <c r="A188" s="93" t="n"/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93" t="n"/>
      <c r="P188" s="93" t="n"/>
      <c r="Q188" s="93" t="n"/>
      <c r="R188" s="93" t="n"/>
      <c r="S188" s="93" t="n"/>
      <c r="T188" s="93" t="n"/>
      <c r="U188" s="93" t="n"/>
      <c r="V188" s="93" t="n"/>
      <c r="W188" s="93" t="n"/>
      <c r="X188" s="93" t="n"/>
      <c r="Y188" s="93" t="n"/>
      <c r="Z188" s="93" t="n"/>
    </row>
    <row r="189">
      <c r="A189" s="93" t="n"/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93" t="n"/>
      <c r="P189" s="93" t="n"/>
      <c r="Q189" s="93" t="n"/>
      <c r="R189" s="93" t="n"/>
      <c r="S189" s="93" t="n"/>
      <c r="T189" s="93" t="n"/>
      <c r="U189" s="93" t="n"/>
      <c r="V189" s="93" t="n"/>
      <c r="W189" s="93" t="n"/>
      <c r="X189" s="93" t="n"/>
      <c r="Y189" s="93" t="n"/>
      <c r="Z189" s="93" t="n"/>
    </row>
    <row r="190">
      <c r="A190" s="93" t="n"/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93" t="n"/>
      <c r="P190" s="93" t="n"/>
      <c r="Q190" s="93" t="n"/>
      <c r="R190" s="93" t="n"/>
      <c r="S190" s="93" t="n"/>
      <c r="T190" s="93" t="n"/>
      <c r="U190" s="93" t="n"/>
      <c r="V190" s="93" t="n"/>
      <c r="W190" s="93" t="n"/>
      <c r="X190" s="93" t="n"/>
      <c r="Y190" s="93" t="n"/>
      <c r="Z190" s="93" t="n"/>
    </row>
    <row r="191">
      <c r="A191" s="93" t="n"/>
      <c r="B191" s="93" t="n"/>
      <c r="C191" s="93" t="n"/>
      <c r="D191" s="93" t="n"/>
      <c r="E191" s="93" t="n"/>
      <c r="F191" s="93" t="n"/>
      <c r="G191" s="93" t="n"/>
      <c r="H191" s="93" t="n"/>
      <c r="I191" s="93" t="n"/>
      <c r="J191" s="93" t="n"/>
      <c r="K191" s="93" t="n"/>
      <c r="L191" s="93" t="n"/>
      <c r="M191" s="93" t="n"/>
      <c r="N191" s="93" t="n"/>
      <c r="O191" s="93" t="n"/>
      <c r="P191" s="93" t="n"/>
      <c r="Q191" s="93" t="n"/>
      <c r="R191" s="93" t="n"/>
      <c r="S191" s="93" t="n"/>
      <c r="T191" s="93" t="n"/>
      <c r="U191" s="93" t="n"/>
      <c r="V191" s="93" t="n"/>
      <c r="W191" s="93" t="n"/>
      <c r="X191" s="93" t="n"/>
      <c r="Y191" s="93" t="n"/>
      <c r="Z191" s="93" t="n"/>
    </row>
    <row r="192">
      <c r="A192" s="93" t="n"/>
      <c r="B192" s="93" t="n"/>
      <c r="C192" s="93" t="n"/>
      <c r="D192" s="93" t="n"/>
      <c r="E192" s="93" t="n"/>
      <c r="F192" s="93" t="n"/>
      <c r="G192" s="93" t="n"/>
      <c r="H192" s="93" t="n"/>
      <c r="I192" s="93" t="n"/>
      <c r="J192" s="93" t="n"/>
      <c r="K192" s="93" t="n"/>
      <c r="L192" s="93" t="n"/>
      <c r="M192" s="93" t="n"/>
      <c r="N192" s="93" t="n"/>
      <c r="O192" s="93" t="n"/>
      <c r="P192" s="93" t="n"/>
      <c r="Q192" s="93" t="n"/>
      <c r="R192" s="93" t="n"/>
      <c r="S192" s="93" t="n"/>
      <c r="T192" s="93" t="n"/>
      <c r="U192" s="93" t="n"/>
      <c r="V192" s="93" t="n"/>
      <c r="W192" s="93" t="n"/>
      <c r="X192" s="93" t="n"/>
      <c r="Y192" s="93" t="n"/>
      <c r="Z192" s="93" t="n"/>
    </row>
    <row r="193">
      <c r="A193" s="93" t="n"/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93" t="n"/>
      <c r="P193" s="93" t="n"/>
      <c r="Q193" s="93" t="n"/>
      <c r="R193" s="93" t="n"/>
      <c r="S193" s="93" t="n"/>
      <c r="T193" s="93" t="n"/>
      <c r="U193" s="93" t="n"/>
      <c r="V193" s="93" t="n"/>
      <c r="W193" s="93" t="n"/>
      <c r="X193" s="93" t="n"/>
      <c r="Y193" s="93" t="n"/>
      <c r="Z193" s="93" t="n"/>
    </row>
    <row r="194">
      <c r="A194" s="93" t="n"/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93" t="n"/>
      <c r="P194" s="93" t="n"/>
      <c r="Q194" s="93" t="n"/>
      <c r="R194" s="93" t="n"/>
      <c r="S194" s="93" t="n"/>
      <c r="T194" s="93" t="n"/>
      <c r="U194" s="93" t="n"/>
      <c r="V194" s="93" t="n"/>
      <c r="W194" s="93" t="n"/>
      <c r="X194" s="93" t="n"/>
      <c r="Y194" s="93" t="n"/>
      <c r="Z194" s="93" t="n"/>
    </row>
    <row r="195">
      <c r="A195" s="93" t="n"/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93" t="n"/>
      <c r="P195" s="93" t="n"/>
      <c r="Q195" s="93" t="n"/>
      <c r="R195" s="93" t="n"/>
      <c r="S195" s="93" t="n"/>
      <c r="T195" s="93" t="n"/>
      <c r="U195" s="93" t="n"/>
      <c r="V195" s="93" t="n"/>
      <c r="W195" s="93" t="n"/>
      <c r="X195" s="93" t="n"/>
      <c r="Y195" s="93" t="n"/>
      <c r="Z195" s="93" t="n"/>
    </row>
    <row r="196">
      <c r="A196" s="93" t="n"/>
      <c r="B196" s="93" t="n"/>
      <c r="C196" s="93" t="n"/>
      <c r="D196" s="93" t="n"/>
      <c r="E196" s="93" t="n"/>
      <c r="F196" s="93" t="n"/>
      <c r="G196" s="93" t="n"/>
      <c r="H196" s="93" t="n"/>
      <c r="I196" s="93" t="n"/>
      <c r="J196" s="93" t="n"/>
      <c r="K196" s="93" t="n"/>
      <c r="L196" s="93" t="n"/>
      <c r="M196" s="93" t="n"/>
      <c r="N196" s="93" t="n"/>
      <c r="O196" s="93" t="n"/>
      <c r="P196" s="93" t="n"/>
      <c r="Q196" s="93" t="n"/>
      <c r="R196" s="93" t="n"/>
      <c r="S196" s="93" t="n"/>
      <c r="T196" s="93" t="n"/>
      <c r="U196" s="93" t="n"/>
      <c r="V196" s="93" t="n"/>
      <c r="W196" s="93" t="n"/>
      <c r="X196" s="93" t="n"/>
      <c r="Y196" s="93" t="n"/>
      <c r="Z196" s="93" t="n"/>
    </row>
    <row r="197">
      <c r="A197" s="93" t="n"/>
      <c r="B197" s="93" t="n"/>
      <c r="C197" s="93" t="n"/>
      <c r="D197" s="93" t="n"/>
      <c r="E197" s="93" t="n"/>
      <c r="F197" s="93" t="n"/>
      <c r="G197" s="93" t="n"/>
      <c r="H197" s="93" t="n"/>
      <c r="I197" s="93" t="n"/>
      <c r="J197" s="93" t="n"/>
      <c r="K197" s="93" t="n"/>
      <c r="L197" s="93" t="n"/>
      <c r="M197" s="93" t="n"/>
      <c r="N197" s="93" t="n"/>
      <c r="O197" s="93" t="n"/>
      <c r="P197" s="93" t="n"/>
      <c r="Q197" s="93" t="n"/>
      <c r="R197" s="93" t="n"/>
      <c r="S197" s="93" t="n"/>
      <c r="T197" s="93" t="n"/>
      <c r="U197" s="93" t="n"/>
      <c r="V197" s="93" t="n"/>
      <c r="W197" s="93" t="n"/>
      <c r="X197" s="93" t="n"/>
      <c r="Y197" s="93" t="n"/>
      <c r="Z197" s="93" t="n"/>
    </row>
    <row r="198">
      <c r="A198" s="93" t="n"/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93" t="n"/>
      <c r="P198" s="93" t="n"/>
      <c r="Q198" s="93" t="n"/>
      <c r="R198" s="93" t="n"/>
      <c r="S198" s="93" t="n"/>
      <c r="T198" s="93" t="n"/>
      <c r="U198" s="93" t="n"/>
      <c r="V198" s="93" t="n"/>
      <c r="W198" s="93" t="n"/>
      <c r="X198" s="93" t="n"/>
      <c r="Y198" s="93" t="n"/>
      <c r="Z198" s="93" t="n"/>
    </row>
    <row r="199">
      <c r="A199" s="93" t="n"/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93" t="n"/>
      <c r="P199" s="93" t="n"/>
      <c r="Q199" s="93" t="n"/>
      <c r="R199" s="93" t="n"/>
      <c r="S199" s="93" t="n"/>
      <c r="T199" s="93" t="n"/>
      <c r="U199" s="93" t="n"/>
      <c r="V199" s="93" t="n"/>
      <c r="W199" s="93" t="n"/>
      <c r="X199" s="93" t="n"/>
      <c r="Y199" s="93" t="n"/>
      <c r="Z199" s="93" t="n"/>
    </row>
    <row r="200">
      <c r="A200" s="93" t="n"/>
      <c r="B200" s="93" t="n"/>
      <c r="C200" s="93" t="n"/>
      <c r="D200" s="93" t="n"/>
      <c r="E200" s="93" t="n"/>
      <c r="F200" s="93" t="n"/>
      <c r="G200" s="93" t="n"/>
      <c r="H200" s="93" t="n"/>
      <c r="I200" s="93" t="n"/>
      <c r="J200" s="93" t="n"/>
      <c r="K200" s="93" t="n"/>
      <c r="L200" s="93" t="n"/>
      <c r="M200" s="93" t="n"/>
      <c r="N200" s="93" t="n"/>
      <c r="O200" s="93" t="n"/>
      <c r="P200" s="93" t="n"/>
      <c r="Q200" s="93" t="n"/>
      <c r="R200" s="93" t="n"/>
      <c r="S200" s="93" t="n"/>
      <c r="T200" s="93" t="n"/>
      <c r="U200" s="93" t="n"/>
      <c r="V200" s="93" t="n"/>
      <c r="W200" s="93" t="n"/>
      <c r="X200" s="93" t="n"/>
      <c r="Y200" s="93" t="n"/>
      <c r="Z200" s="93" t="n"/>
    </row>
    <row r="201">
      <c r="A201" s="93" t="n"/>
      <c r="B201" s="93" t="n"/>
      <c r="C201" s="93" t="n"/>
      <c r="D201" s="93" t="n"/>
      <c r="E201" s="93" t="n"/>
      <c r="F201" s="93" t="n"/>
      <c r="G201" s="93" t="n"/>
      <c r="H201" s="93" t="n"/>
      <c r="I201" s="93" t="n"/>
      <c r="J201" s="93" t="n"/>
      <c r="K201" s="93" t="n"/>
      <c r="L201" s="93" t="n"/>
      <c r="M201" s="93" t="n"/>
      <c r="N201" s="93" t="n"/>
      <c r="O201" s="93" t="n"/>
      <c r="P201" s="93" t="n"/>
      <c r="Q201" s="93" t="n"/>
      <c r="R201" s="93" t="n"/>
      <c r="S201" s="93" t="n"/>
      <c r="T201" s="93" t="n"/>
      <c r="U201" s="93" t="n"/>
      <c r="V201" s="93" t="n"/>
      <c r="W201" s="93" t="n"/>
      <c r="X201" s="93" t="n"/>
      <c r="Y201" s="93" t="n"/>
      <c r="Z201" s="93" t="n"/>
    </row>
    <row r="202">
      <c r="A202" s="93" t="n"/>
      <c r="B202" s="93" t="n"/>
      <c r="C202" s="93" t="n"/>
      <c r="D202" s="93" t="n"/>
      <c r="E202" s="93" t="n"/>
      <c r="F202" s="93" t="n"/>
      <c r="G202" s="93" t="n"/>
      <c r="H202" s="93" t="n"/>
      <c r="I202" s="93" t="n"/>
      <c r="J202" s="93" t="n"/>
      <c r="K202" s="93" t="n"/>
      <c r="L202" s="93" t="n"/>
      <c r="M202" s="93" t="n"/>
      <c r="N202" s="93" t="n"/>
      <c r="O202" s="93" t="n"/>
      <c r="P202" s="93" t="n"/>
      <c r="Q202" s="93" t="n"/>
      <c r="R202" s="93" t="n"/>
      <c r="S202" s="93" t="n"/>
      <c r="T202" s="93" t="n"/>
      <c r="U202" s="93" t="n"/>
      <c r="V202" s="93" t="n"/>
      <c r="W202" s="93" t="n"/>
      <c r="X202" s="93" t="n"/>
      <c r="Y202" s="93" t="n"/>
      <c r="Z202" s="93" t="n"/>
    </row>
    <row r="203">
      <c r="A203" s="93" t="n"/>
      <c r="B203" s="93" t="n"/>
      <c r="C203" s="93" t="n"/>
      <c r="D203" s="93" t="n"/>
      <c r="E203" s="93" t="n"/>
      <c r="F203" s="93" t="n"/>
      <c r="G203" s="93" t="n"/>
      <c r="H203" s="93" t="n"/>
      <c r="I203" s="93" t="n"/>
      <c r="J203" s="93" t="n"/>
      <c r="K203" s="93" t="n"/>
      <c r="L203" s="93" t="n"/>
      <c r="M203" s="93" t="n"/>
      <c r="N203" s="93" t="n"/>
      <c r="O203" s="93" t="n"/>
      <c r="P203" s="93" t="n"/>
      <c r="Q203" s="93" t="n"/>
      <c r="R203" s="93" t="n"/>
      <c r="S203" s="93" t="n"/>
      <c r="T203" s="93" t="n"/>
      <c r="U203" s="93" t="n"/>
      <c r="V203" s="93" t="n"/>
      <c r="W203" s="93" t="n"/>
      <c r="X203" s="93" t="n"/>
      <c r="Y203" s="93" t="n"/>
      <c r="Z203" s="93" t="n"/>
    </row>
    <row r="204">
      <c r="A204" s="93" t="n"/>
      <c r="B204" s="93" t="n"/>
      <c r="C204" s="93" t="n"/>
      <c r="D204" s="93" t="n"/>
      <c r="E204" s="93" t="n"/>
      <c r="F204" s="93" t="n"/>
      <c r="G204" s="93" t="n"/>
      <c r="H204" s="93" t="n"/>
      <c r="I204" s="93" t="n"/>
      <c r="J204" s="93" t="n"/>
      <c r="K204" s="93" t="n"/>
      <c r="L204" s="93" t="n"/>
      <c r="M204" s="93" t="n"/>
      <c r="N204" s="93" t="n"/>
      <c r="O204" s="93" t="n"/>
      <c r="P204" s="93" t="n"/>
      <c r="Q204" s="93" t="n"/>
      <c r="R204" s="93" t="n"/>
      <c r="S204" s="93" t="n"/>
      <c r="T204" s="93" t="n"/>
      <c r="U204" s="93" t="n"/>
      <c r="V204" s="93" t="n"/>
      <c r="W204" s="93" t="n"/>
      <c r="X204" s="93" t="n"/>
      <c r="Y204" s="93" t="n"/>
      <c r="Z204" s="93" t="n"/>
    </row>
    <row r="205">
      <c r="A205" s="93" t="n"/>
      <c r="B205" s="93" t="n"/>
      <c r="C205" s="93" t="n"/>
      <c r="D205" s="93" t="n"/>
      <c r="E205" s="93" t="n"/>
      <c r="F205" s="93" t="n"/>
      <c r="G205" s="93" t="n"/>
      <c r="H205" s="93" t="n"/>
      <c r="I205" s="93" t="n"/>
      <c r="J205" s="93" t="n"/>
      <c r="K205" s="93" t="n"/>
      <c r="L205" s="93" t="n"/>
      <c r="M205" s="93" t="n"/>
      <c r="N205" s="93" t="n"/>
      <c r="O205" s="93" t="n"/>
      <c r="P205" s="93" t="n"/>
      <c r="Q205" s="93" t="n"/>
      <c r="R205" s="93" t="n"/>
      <c r="S205" s="93" t="n"/>
      <c r="T205" s="93" t="n"/>
      <c r="U205" s="93" t="n"/>
      <c r="V205" s="93" t="n"/>
      <c r="W205" s="93" t="n"/>
      <c r="X205" s="93" t="n"/>
      <c r="Y205" s="93" t="n"/>
      <c r="Z205" s="93" t="n"/>
    </row>
    <row r="206">
      <c r="A206" s="93" t="n"/>
      <c r="B206" s="93" t="n"/>
      <c r="C206" s="93" t="n"/>
      <c r="D206" s="93" t="n"/>
      <c r="E206" s="93" t="n"/>
      <c r="F206" s="93" t="n"/>
      <c r="G206" s="93" t="n"/>
      <c r="H206" s="93" t="n"/>
      <c r="I206" s="93" t="n"/>
      <c r="J206" s="93" t="n"/>
      <c r="K206" s="93" t="n"/>
      <c r="L206" s="93" t="n"/>
      <c r="M206" s="93" t="n"/>
      <c r="N206" s="93" t="n"/>
      <c r="O206" s="93" t="n"/>
      <c r="P206" s="93" t="n"/>
      <c r="Q206" s="93" t="n"/>
      <c r="R206" s="93" t="n"/>
      <c r="S206" s="93" t="n"/>
      <c r="T206" s="93" t="n"/>
      <c r="U206" s="93" t="n"/>
      <c r="V206" s="93" t="n"/>
      <c r="W206" s="93" t="n"/>
      <c r="X206" s="93" t="n"/>
      <c r="Y206" s="93" t="n"/>
      <c r="Z206" s="93" t="n"/>
    </row>
    <row r="207">
      <c r="A207" s="93" t="n"/>
      <c r="B207" s="93" t="n"/>
      <c r="C207" s="93" t="n"/>
      <c r="D207" s="93" t="n"/>
      <c r="E207" s="93" t="n"/>
      <c r="F207" s="93" t="n"/>
      <c r="G207" s="93" t="n"/>
      <c r="H207" s="93" t="n"/>
      <c r="I207" s="93" t="n"/>
      <c r="J207" s="93" t="n"/>
      <c r="K207" s="93" t="n"/>
      <c r="L207" s="93" t="n"/>
      <c r="M207" s="93" t="n"/>
      <c r="N207" s="93" t="n"/>
      <c r="O207" s="93" t="n"/>
      <c r="P207" s="93" t="n"/>
      <c r="Q207" s="93" t="n"/>
      <c r="R207" s="93" t="n"/>
      <c r="S207" s="93" t="n"/>
      <c r="T207" s="93" t="n"/>
      <c r="U207" s="93" t="n"/>
      <c r="V207" s="93" t="n"/>
      <c r="W207" s="93" t="n"/>
      <c r="X207" s="93" t="n"/>
      <c r="Y207" s="93" t="n"/>
      <c r="Z207" s="93" t="n"/>
    </row>
    <row r="208">
      <c r="A208" s="93" t="n"/>
      <c r="B208" s="93" t="n"/>
      <c r="C208" s="93" t="n"/>
      <c r="D208" s="93" t="n"/>
      <c r="E208" s="93" t="n"/>
      <c r="F208" s="93" t="n"/>
      <c r="G208" s="93" t="n"/>
      <c r="H208" s="93" t="n"/>
      <c r="I208" s="93" t="n"/>
      <c r="J208" s="93" t="n"/>
      <c r="K208" s="93" t="n"/>
      <c r="L208" s="93" t="n"/>
      <c r="M208" s="93" t="n"/>
      <c r="N208" s="93" t="n"/>
      <c r="O208" s="93" t="n"/>
      <c r="P208" s="93" t="n"/>
      <c r="Q208" s="93" t="n"/>
      <c r="R208" s="93" t="n"/>
      <c r="S208" s="93" t="n"/>
      <c r="T208" s="93" t="n"/>
      <c r="U208" s="93" t="n"/>
      <c r="V208" s="93" t="n"/>
      <c r="W208" s="93" t="n"/>
      <c r="X208" s="93" t="n"/>
      <c r="Y208" s="93" t="n"/>
      <c r="Z208" s="93" t="n"/>
    </row>
    <row r="209">
      <c r="A209" s="93" t="n"/>
      <c r="B209" s="93" t="n"/>
      <c r="C209" s="93" t="n"/>
      <c r="D209" s="93" t="n"/>
      <c r="E209" s="93" t="n"/>
      <c r="F209" s="93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93" t="n"/>
      <c r="P209" s="93" t="n"/>
      <c r="Q209" s="93" t="n"/>
      <c r="R209" s="93" t="n"/>
      <c r="S209" s="93" t="n"/>
      <c r="T209" s="93" t="n"/>
      <c r="U209" s="93" t="n"/>
      <c r="V209" s="93" t="n"/>
      <c r="W209" s="93" t="n"/>
      <c r="X209" s="93" t="n"/>
      <c r="Y209" s="93" t="n"/>
      <c r="Z209" s="93" t="n"/>
    </row>
    <row r="210">
      <c r="A210" s="93" t="n"/>
      <c r="B210" s="93" t="n"/>
      <c r="C210" s="93" t="n"/>
      <c r="D210" s="93" t="n"/>
      <c r="E210" s="93" t="n"/>
      <c r="F210" s="93" t="n"/>
      <c r="G210" s="93" t="n"/>
      <c r="H210" s="93" t="n"/>
      <c r="I210" s="93" t="n"/>
      <c r="J210" s="93" t="n"/>
      <c r="K210" s="93" t="n"/>
      <c r="L210" s="93" t="n"/>
      <c r="M210" s="93" t="n"/>
      <c r="N210" s="93" t="n"/>
      <c r="O210" s="93" t="n"/>
      <c r="P210" s="93" t="n"/>
      <c r="Q210" s="93" t="n"/>
      <c r="R210" s="93" t="n"/>
      <c r="S210" s="93" t="n"/>
      <c r="T210" s="93" t="n"/>
      <c r="U210" s="93" t="n"/>
      <c r="V210" s="93" t="n"/>
      <c r="W210" s="93" t="n"/>
      <c r="X210" s="93" t="n"/>
      <c r="Y210" s="93" t="n"/>
      <c r="Z210" s="93" t="n"/>
    </row>
    <row r="211">
      <c r="A211" s="93" t="n"/>
      <c r="B211" s="93" t="n"/>
      <c r="C211" s="93" t="n"/>
      <c r="D211" s="93" t="n"/>
      <c r="E211" s="93" t="n"/>
      <c r="F211" s="93" t="n"/>
      <c r="G211" s="93" t="n"/>
      <c r="H211" s="93" t="n"/>
      <c r="I211" s="93" t="n"/>
      <c r="J211" s="93" t="n"/>
      <c r="K211" s="93" t="n"/>
      <c r="L211" s="93" t="n"/>
      <c r="M211" s="93" t="n"/>
      <c r="N211" s="93" t="n"/>
      <c r="O211" s="93" t="n"/>
      <c r="P211" s="93" t="n"/>
      <c r="Q211" s="93" t="n"/>
      <c r="R211" s="93" t="n"/>
      <c r="S211" s="93" t="n"/>
      <c r="T211" s="93" t="n"/>
      <c r="U211" s="93" t="n"/>
      <c r="V211" s="93" t="n"/>
      <c r="W211" s="93" t="n"/>
      <c r="X211" s="93" t="n"/>
      <c r="Y211" s="93" t="n"/>
      <c r="Z211" s="93" t="n"/>
    </row>
    <row r="212">
      <c r="A212" s="93" t="n"/>
      <c r="B212" s="93" t="n"/>
      <c r="C212" s="93" t="n"/>
      <c r="D212" s="93" t="n"/>
      <c r="E212" s="93" t="n"/>
      <c r="F212" s="93" t="n"/>
      <c r="G212" s="93" t="n"/>
      <c r="H212" s="93" t="n"/>
      <c r="I212" s="93" t="n"/>
      <c r="J212" s="93" t="n"/>
      <c r="K212" s="93" t="n"/>
      <c r="L212" s="93" t="n"/>
      <c r="M212" s="93" t="n"/>
      <c r="N212" s="93" t="n"/>
      <c r="O212" s="93" t="n"/>
      <c r="P212" s="93" t="n"/>
      <c r="Q212" s="93" t="n"/>
      <c r="R212" s="93" t="n"/>
      <c r="S212" s="93" t="n"/>
      <c r="T212" s="93" t="n"/>
      <c r="U212" s="93" t="n"/>
      <c r="V212" s="93" t="n"/>
      <c r="W212" s="93" t="n"/>
      <c r="X212" s="93" t="n"/>
      <c r="Y212" s="93" t="n"/>
      <c r="Z212" s="93" t="n"/>
    </row>
    <row r="213">
      <c r="A213" s="93" t="n"/>
      <c r="B213" s="93" t="n"/>
      <c r="C213" s="93" t="n"/>
      <c r="D213" s="93" t="n"/>
      <c r="E213" s="93" t="n"/>
      <c r="F213" s="93" t="n"/>
      <c r="G213" s="93" t="n"/>
      <c r="H213" s="93" t="n"/>
      <c r="I213" s="93" t="n"/>
      <c r="J213" s="93" t="n"/>
      <c r="K213" s="93" t="n"/>
      <c r="L213" s="93" t="n"/>
      <c r="M213" s="93" t="n"/>
      <c r="N213" s="93" t="n"/>
      <c r="O213" s="93" t="n"/>
      <c r="P213" s="93" t="n"/>
      <c r="Q213" s="93" t="n"/>
      <c r="R213" s="93" t="n"/>
      <c r="S213" s="93" t="n"/>
      <c r="T213" s="93" t="n"/>
      <c r="U213" s="93" t="n"/>
      <c r="V213" s="93" t="n"/>
      <c r="W213" s="93" t="n"/>
      <c r="X213" s="93" t="n"/>
      <c r="Y213" s="93" t="n"/>
      <c r="Z213" s="93" t="n"/>
    </row>
    <row r="214">
      <c r="A214" s="93" t="n"/>
      <c r="B214" s="93" t="n"/>
      <c r="C214" s="93" t="n"/>
      <c r="D214" s="93" t="n"/>
      <c r="E214" s="93" t="n"/>
      <c r="F214" s="93" t="n"/>
      <c r="G214" s="93" t="n"/>
      <c r="H214" s="93" t="n"/>
      <c r="I214" s="93" t="n"/>
      <c r="J214" s="93" t="n"/>
      <c r="K214" s="93" t="n"/>
      <c r="L214" s="93" t="n"/>
      <c r="M214" s="93" t="n"/>
      <c r="N214" s="93" t="n"/>
      <c r="O214" s="93" t="n"/>
      <c r="P214" s="93" t="n"/>
      <c r="Q214" s="93" t="n"/>
      <c r="R214" s="93" t="n"/>
      <c r="S214" s="93" t="n"/>
      <c r="T214" s="93" t="n"/>
      <c r="U214" s="93" t="n"/>
      <c r="V214" s="93" t="n"/>
      <c r="W214" s="93" t="n"/>
      <c r="X214" s="93" t="n"/>
      <c r="Y214" s="93" t="n"/>
      <c r="Z214" s="93" t="n"/>
    </row>
    <row r="215">
      <c r="A215" s="93" t="n"/>
      <c r="B215" s="93" t="n"/>
      <c r="C215" s="93" t="n"/>
      <c r="D215" s="93" t="n"/>
      <c r="E215" s="93" t="n"/>
      <c r="F215" s="93" t="n"/>
      <c r="G215" s="93" t="n"/>
      <c r="H215" s="93" t="n"/>
      <c r="I215" s="93" t="n"/>
      <c r="J215" s="93" t="n"/>
      <c r="K215" s="93" t="n"/>
      <c r="L215" s="93" t="n"/>
      <c r="M215" s="93" t="n"/>
      <c r="N215" s="93" t="n"/>
      <c r="O215" s="93" t="n"/>
      <c r="P215" s="93" t="n"/>
      <c r="Q215" s="93" t="n"/>
      <c r="R215" s="93" t="n"/>
      <c r="S215" s="93" t="n"/>
      <c r="T215" s="93" t="n"/>
      <c r="U215" s="93" t="n"/>
      <c r="V215" s="93" t="n"/>
      <c r="W215" s="93" t="n"/>
      <c r="X215" s="93" t="n"/>
      <c r="Y215" s="93" t="n"/>
      <c r="Z215" s="93" t="n"/>
    </row>
    <row r="216">
      <c r="A216" s="93" t="n"/>
      <c r="B216" s="93" t="n"/>
      <c r="C216" s="93" t="n"/>
      <c r="D216" s="93" t="n"/>
      <c r="E216" s="93" t="n"/>
      <c r="F216" s="93" t="n"/>
      <c r="G216" s="93" t="n"/>
      <c r="H216" s="93" t="n"/>
      <c r="I216" s="93" t="n"/>
      <c r="J216" s="93" t="n"/>
      <c r="K216" s="93" t="n"/>
      <c r="L216" s="93" t="n"/>
      <c r="M216" s="93" t="n"/>
      <c r="N216" s="93" t="n"/>
      <c r="O216" s="93" t="n"/>
      <c r="P216" s="93" t="n"/>
      <c r="Q216" s="93" t="n"/>
      <c r="R216" s="93" t="n"/>
      <c r="S216" s="93" t="n"/>
      <c r="T216" s="93" t="n"/>
      <c r="U216" s="93" t="n"/>
      <c r="V216" s="93" t="n"/>
      <c r="W216" s="93" t="n"/>
      <c r="X216" s="93" t="n"/>
      <c r="Y216" s="93" t="n"/>
      <c r="Z216" s="93" t="n"/>
    </row>
    <row r="217">
      <c r="A217" s="93" t="n"/>
      <c r="B217" s="93" t="n"/>
      <c r="C217" s="93" t="n"/>
      <c r="D217" s="93" t="n"/>
      <c r="E217" s="93" t="n"/>
      <c r="F217" s="93" t="n"/>
      <c r="G217" s="93" t="n"/>
      <c r="H217" s="93" t="n"/>
      <c r="I217" s="93" t="n"/>
      <c r="J217" s="93" t="n"/>
      <c r="K217" s="93" t="n"/>
      <c r="L217" s="93" t="n"/>
      <c r="M217" s="93" t="n"/>
      <c r="N217" s="93" t="n"/>
      <c r="O217" s="93" t="n"/>
      <c r="P217" s="93" t="n"/>
      <c r="Q217" s="93" t="n"/>
      <c r="R217" s="93" t="n"/>
      <c r="S217" s="93" t="n"/>
      <c r="T217" s="93" t="n"/>
      <c r="U217" s="93" t="n"/>
      <c r="V217" s="93" t="n"/>
      <c r="W217" s="93" t="n"/>
      <c r="X217" s="93" t="n"/>
      <c r="Y217" s="93" t="n"/>
      <c r="Z217" s="93" t="n"/>
    </row>
    <row r="218">
      <c r="A218" s="93" t="n"/>
      <c r="B218" s="93" t="n"/>
      <c r="C218" s="93" t="n"/>
      <c r="D218" s="93" t="n"/>
      <c r="E218" s="93" t="n"/>
      <c r="F218" s="93" t="n"/>
      <c r="G218" s="93" t="n"/>
      <c r="H218" s="93" t="n"/>
      <c r="I218" s="93" t="n"/>
      <c r="J218" s="93" t="n"/>
      <c r="K218" s="93" t="n"/>
      <c r="L218" s="93" t="n"/>
      <c r="M218" s="93" t="n"/>
      <c r="N218" s="93" t="n"/>
      <c r="O218" s="93" t="n"/>
      <c r="P218" s="93" t="n"/>
      <c r="Q218" s="93" t="n"/>
      <c r="R218" s="93" t="n"/>
      <c r="S218" s="93" t="n"/>
      <c r="T218" s="93" t="n"/>
      <c r="U218" s="93" t="n"/>
      <c r="V218" s="93" t="n"/>
      <c r="W218" s="93" t="n"/>
      <c r="X218" s="93" t="n"/>
      <c r="Y218" s="93" t="n"/>
      <c r="Z218" s="93" t="n"/>
    </row>
    <row r="219">
      <c r="A219" s="93" t="n"/>
      <c r="B219" s="93" t="n"/>
      <c r="C219" s="93" t="n"/>
      <c r="D219" s="93" t="n"/>
      <c r="E219" s="93" t="n"/>
      <c r="F219" s="93" t="n"/>
      <c r="G219" s="93" t="n"/>
      <c r="H219" s="93" t="n"/>
      <c r="I219" s="93" t="n"/>
      <c r="J219" s="93" t="n"/>
      <c r="K219" s="93" t="n"/>
      <c r="L219" s="93" t="n"/>
      <c r="M219" s="93" t="n"/>
      <c r="N219" s="93" t="n"/>
      <c r="O219" s="93" t="n"/>
      <c r="P219" s="93" t="n"/>
      <c r="Q219" s="93" t="n"/>
      <c r="R219" s="93" t="n"/>
      <c r="S219" s="93" t="n"/>
      <c r="T219" s="93" t="n"/>
      <c r="U219" s="93" t="n"/>
      <c r="V219" s="93" t="n"/>
      <c r="W219" s="93" t="n"/>
      <c r="X219" s="93" t="n"/>
      <c r="Y219" s="93" t="n"/>
      <c r="Z219" s="93" t="n"/>
    </row>
    <row r="220">
      <c r="A220" s="93" t="n"/>
      <c r="B220" s="93" t="n"/>
      <c r="C220" s="93" t="n"/>
      <c r="D220" s="93" t="n"/>
      <c r="E220" s="93" t="n"/>
      <c r="F220" s="93" t="n"/>
      <c r="G220" s="93" t="n"/>
      <c r="H220" s="93" t="n"/>
      <c r="I220" s="93" t="n"/>
      <c r="J220" s="93" t="n"/>
      <c r="K220" s="93" t="n"/>
      <c r="L220" s="93" t="n"/>
      <c r="M220" s="93" t="n"/>
      <c r="N220" s="93" t="n"/>
      <c r="O220" s="93" t="n"/>
      <c r="P220" s="93" t="n"/>
      <c r="Q220" s="93" t="n"/>
      <c r="R220" s="93" t="n"/>
      <c r="S220" s="93" t="n"/>
      <c r="T220" s="93" t="n"/>
      <c r="U220" s="93" t="n"/>
      <c r="V220" s="93" t="n"/>
      <c r="W220" s="93" t="n"/>
      <c r="X220" s="93" t="n"/>
      <c r="Y220" s="93" t="n"/>
      <c r="Z220" s="93" t="n"/>
    </row>
    <row r="221">
      <c r="A221" s="93" t="n"/>
      <c r="B221" s="93" t="n"/>
      <c r="C221" s="93" t="n"/>
      <c r="D221" s="93" t="n"/>
      <c r="E221" s="93" t="n"/>
      <c r="F221" s="93" t="n"/>
      <c r="G221" s="93" t="n"/>
      <c r="H221" s="93" t="n"/>
      <c r="I221" s="93" t="n"/>
      <c r="J221" s="93" t="n"/>
      <c r="K221" s="93" t="n"/>
      <c r="L221" s="93" t="n"/>
      <c r="M221" s="93" t="n"/>
      <c r="N221" s="93" t="n"/>
      <c r="O221" s="93" t="n"/>
      <c r="P221" s="93" t="n"/>
      <c r="Q221" s="93" t="n"/>
      <c r="R221" s="93" t="n"/>
      <c r="S221" s="93" t="n"/>
      <c r="T221" s="93" t="n"/>
      <c r="U221" s="93" t="n"/>
      <c r="V221" s="93" t="n"/>
      <c r="W221" s="93" t="n"/>
      <c r="X221" s="93" t="n"/>
      <c r="Y221" s="93" t="n"/>
      <c r="Z221" s="93" t="n"/>
    </row>
    <row r="222">
      <c r="A222" s="93" t="n"/>
      <c r="B222" s="93" t="n"/>
      <c r="C222" s="93" t="n"/>
      <c r="D222" s="93" t="n"/>
      <c r="E222" s="93" t="n"/>
      <c r="F222" s="93" t="n"/>
      <c r="G222" s="93" t="n"/>
      <c r="H222" s="93" t="n"/>
      <c r="I222" s="93" t="n"/>
      <c r="J222" s="93" t="n"/>
      <c r="K222" s="93" t="n"/>
      <c r="L222" s="93" t="n"/>
      <c r="M222" s="93" t="n"/>
      <c r="N222" s="93" t="n"/>
      <c r="O222" s="93" t="n"/>
      <c r="P222" s="93" t="n"/>
      <c r="Q222" s="93" t="n"/>
      <c r="R222" s="93" t="n"/>
      <c r="S222" s="93" t="n"/>
      <c r="T222" s="93" t="n"/>
      <c r="U222" s="93" t="n"/>
      <c r="V222" s="93" t="n"/>
      <c r="W222" s="93" t="n"/>
      <c r="X222" s="93" t="n"/>
      <c r="Y222" s="93" t="n"/>
      <c r="Z222" s="93" t="n"/>
    </row>
    <row r="223">
      <c r="A223" s="93" t="n"/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93" t="n"/>
      <c r="K223" s="93" t="n"/>
      <c r="L223" s="93" t="n"/>
      <c r="M223" s="93" t="n"/>
      <c r="N223" s="93" t="n"/>
      <c r="O223" s="93" t="n"/>
      <c r="P223" s="93" t="n"/>
      <c r="Q223" s="93" t="n"/>
      <c r="R223" s="93" t="n"/>
      <c r="S223" s="93" t="n"/>
      <c r="T223" s="93" t="n"/>
      <c r="U223" s="93" t="n"/>
      <c r="V223" s="93" t="n"/>
      <c r="W223" s="93" t="n"/>
      <c r="X223" s="93" t="n"/>
      <c r="Y223" s="93" t="n"/>
      <c r="Z223" s="93" t="n"/>
    </row>
    <row r="224">
      <c r="A224" s="93" t="n"/>
      <c r="B224" s="93" t="n"/>
      <c r="C224" s="93" t="n"/>
      <c r="D224" s="93" t="n"/>
      <c r="E224" s="93" t="n"/>
      <c r="F224" s="93" t="n"/>
      <c r="G224" s="93" t="n"/>
      <c r="H224" s="93" t="n"/>
      <c r="I224" s="93" t="n"/>
      <c r="J224" s="93" t="n"/>
      <c r="K224" s="93" t="n"/>
      <c r="L224" s="93" t="n"/>
      <c r="M224" s="93" t="n"/>
      <c r="N224" s="93" t="n"/>
      <c r="O224" s="93" t="n"/>
      <c r="P224" s="93" t="n"/>
      <c r="Q224" s="93" t="n"/>
      <c r="R224" s="93" t="n"/>
      <c r="S224" s="93" t="n"/>
      <c r="T224" s="93" t="n"/>
      <c r="U224" s="93" t="n"/>
      <c r="V224" s="93" t="n"/>
      <c r="W224" s="93" t="n"/>
      <c r="X224" s="93" t="n"/>
      <c r="Y224" s="93" t="n"/>
      <c r="Z224" s="93" t="n"/>
    </row>
    <row r="225">
      <c r="A225" s="93" t="n"/>
      <c r="B225" s="93" t="n"/>
      <c r="C225" s="93" t="n"/>
      <c r="D225" s="93" t="n"/>
      <c r="E225" s="93" t="n"/>
      <c r="F225" s="93" t="n"/>
      <c r="G225" s="93" t="n"/>
      <c r="H225" s="93" t="n"/>
      <c r="I225" s="93" t="n"/>
      <c r="J225" s="93" t="n"/>
      <c r="K225" s="93" t="n"/>
      <c r="L225" s="93" t="n"/>
      <c r="M225" s="93" t="n"/>
      <c r="N225" s="93" t="n"/>
      <c r="O225" s="93" t="n"/>
      <c r="P225" s="93" t="n"/>
      <c r="Q225" s="93" t="n"/>
      <c r="R225" s="93" t="n"/>
      <c r="S225" s="93" t="n"/>
      <c r="T225" s="93" t="n"/>
      <c r="U225" s="93" t="n"/>
      <c r="V225" s="93" t="n"/>
      <c r="W225" s="93" t="n"/>
      <c r="X225" s="93" t="n"/>
      <c r="Y225" s="93" t="n"/>
      <c r="Z225" s="93" t="n"/>
    </row>
    <row r="226">
      <c r="A226" s="93" t="n"/>
      <c r="B226" s="93" t="n"/>
      <c r="C226" s="93" t="n"/>
      <c r="D226" s="93" t="n"/>
      <c r="E226" s="93" t="n"/>
      <c r="F226" s="93" t="n"/>
      <c r="G226" s="93" t="n"/>
      <c r="H226" s="93" t="n"/>
      <c r="I226" s="93" t="n"/>
      <c r="J226" s="93" t="n"/>
      <c r="K226" s="93" t="n"/>
      <c r="L226" s="93" t="n"/>
      <c r="M226" s="93" t="n"/>
      <c r="N226" s="93" t="n"/>
      <c r="O226" s="93" t="n"/>
      <c r="P226" s="93" t="n"/>
      <c r="Q226" s="93" t="n"/>
      <c r="R226" s="93" t="n"/>
      <c r="S226" s="93" t="n"/>
      <c r="T226" s="93" t="n"/>
      <c r="U226" s="93" t="n"/>
      <c r="V226" s="93" t="n"/>
      <c r="W226" s="93" t="n"/>
      <c r="X226" s="93" t="n"/>
      <c r="Y226" s="93" t="n"/>
      <c r="Z226" s="93" t="n"/>
    </row>
    <row r="227">
      <c r="A227" s="93" t="n"/>
      <c r="B227" s="93" t="n"/>
      <c r="C227" s="93" t="n"/>
      <c r="D227" s="93" t="n"/>
      <c r="E227" s="93" t="n"/>
      <c r="F227" s="93" t="n"/>
      <c r="G227" s="93" t="n"/>
      <c r="H227" s="93" t="n"/>
      <c r="I227" s="93" t="n"/>
      <c r="J227" s="93" t="n"/>
      <c r="K227" s="93" t="n"/>
      <c r="L227" s="93" t="n"/>
      <c r="M227" s="93" t="n"/>
      <c r="N227" s="93" t="n"/>
      <c r="O227" s="93" t="n"/>
      <c r="P227" s="93" t="n"/>
      <c r="Q227" s="93" t="n"/>
      <c r="R227" s="93" t="n"/>
      <c r="S227" s="93" t="n"/>
      <c r="T227" s="93" t="n"/>
      <c r="U227" s="93" t="n"/>
      <c r="V227" s="93" t="n"/>
      <c r="W227" s="93" t="n"/>
      <c r="X227" s="93" t="n"/>
      <c r="Y227" s="93" t="n"/>
      <c r="Z227" s="93" t="n"/>
    </row>
    <row r="228">
      <c r="A228" s="93" t="n"/>
      <c r="B228" s="93" t="n"/>
      <c r="C228" s="93" t="n"/>
      <c r="D228" s="93" t="n"/>
      <c r="E228" s="93" t="n"/>
      <c r="F228" s="93" t="n"/>
      <c r="G228" s="93" t="n"/>
      <c r="H228" s="93" t="n"/>
      <c r="I228" s="93" t="n"/>
      <c r="J228" s="93" t="n"/>
      <c r="K228" s="93" t="n"/>
      <c r="L228" s="93" t="n"/>
      <c r="M228" s="93" t="n"/>
      <c r="N228" s="93" t="n"/>
      <c r="O228" s="93" t="n"/>
      <c r="P228" s="93" t="n"/>
      <c r="Q228" s="93" t="n"/>
      <c r="R228" s="93" t="n"/>
      <c r="S228" s="93" t="n"/>
      <c r="T228" s="93" t="n"/>
      <c r="U228" s="93" t="n"/>
      <c r="V228" s="93" t="n"/>
      <c r="W228" s="93" t="n"/>
      <c r="X228" s="93" t="n"/>
      <c r="Y228" s="93" t="n"/>
      <c r="Z228" s="93" t="n"/>
    </row>
    <row r="229">
      <c r="A229" s="93" t="n"/>
      <c r="B229" s="93" t="n"/>
      <c r="C229" s="93" t="n"/>
      <c r="D229" s="93" t="n"/>
      <c r="E229" s="93" t="n"/>
      <c r="F229" s="93" t="n"/>
      <c r="G229" s="93" t="n"/>
      <c r="H229" s="93" t="n"/>
      <c r="I229" s="93" t="n"/>
      <c r="J229" s="93" t="n"/>
      <c r="K229" s="93" t="n"/>
      <c r="L229" s="93" t="n"/>
      <c r="M229" s="93" t="n"/>
      <c r="N229" s="93" t="n"/>
      <c r="O229" s="93" t="n"/>
      <c r="P229" s="93" t="n"/>
      <c r="Q229" s="93" t="n"/>
      <c r="R229" s="93" t="n"/>
      <c r="S229" s="93" t="n"/>
      <c r="T229" s="93" t="n"/>
      <c r="U229" s="93" t="n"/>
      <c r="V229" s="93" t="n"/>
      <c r="W229" s="93" t="n"/>
      <c r="X229" s="93" t="n"/>
      <c r="Y229" s="93" t="n"/>
      <c r="Z229" s="93" t="n"/>
    </row>
    <row r="230">
      <c r="A230" s="93" t="n"/>
      <c r="B230" s="93" t="n"/>
      <c r="C230" s="93" t="n"/>
      <c r="D230" s="93" t="n"/>
      <c r="E230" s="93" t="n"/>
      <c r="F230" s="93" t="n"/>
      <c r="G230" s="93" t="n"/>
      <c r="H230" s="93" t="n"/>
      <c r="I230" s="93" t="n"/>
      <c r="J230" s="93" t="n"/>
      <c r="K230" s="93" t="n"/>
      <c r="L230" s="93" t="n"/>
      <c r="M230" s="93" t="n"/>
      <c r="N230" s="93" t="n"/>
      <c r="O230" s="93" t="n"/>
      <c r="P230" s="93" t="n"/>
      <c r="Q230" s="93" t="n"/>
      <c r="R230" s="93" t="n"/>
      <c r="S230" s="93" t="n"/>
      <c r="T230" s="93" t="n"/>
      <c r="U230" s="93" t="n"/>
      <c r="V230" s="93" t="n"/>
      <c r="W230" s="93" t="n"/>
      <c r="X230" s="93" t="n"/>
      <c r="Y230" s="93" t="n"/>
      <c r="Z230" s="93" t="n"/>
    </row>
    <row r="231">
      <c r="A231" s="93" t="n"/>
      <c r="B231" s="93" t="n"/>
      <c r="C231" s="93" t="n"/>
      <c r="D231" s="93" t="n"/>
      <c r="E231" s="93" t="n"/>
      <c r="F231" s="93" t="n"/>
      <c r="G231" s="93" t="n"/>
      <c r="H231" s="93" t="n"/>
      <c r="I231" s="93" t="n"/>
      <c r="J231" s="93" t="n"/>
      <c r="K231" s="93" t="n"/>
      <c r="L231" s="93" t="n"/>
      <c r="M231" s="93" t="n"/>
      <c r="N231" s="93" t="n"/>
      <c r="O231" s="93" t="n"/>
      <c r="P231" s="93" t="n"/>
      <c r="Q231" s="93" t="n"/>
      <c r="R231" s="93" t="n"/>
      <c r="S231" s="93" t="n"/>
      <c r="T231" s="93" t="n"/>
      <c r="U231" s="93" t="n"/>
      <c r="V231" s="93" t="n"/>
      <c r="W231" s="93" t="n"/>
      <c r="X231" s="93" t="n"/>
      <c r="Y231" s="93" t="n"/>
      <c r="Z231" s="93" t="n"/>
    </row>
    <row r="232">
      <c r="A232" s="93" t="n"/>
      <c r="B232" s="93" t="n"/>
      <c r="C232" s="93" t="n"/>
      <c r="D232" s="93" t="n"/>
      <c r="E232" s="93" t="n"/>
      <c r="F232" s="93" t="n"/>
      <c r="G232" s="93" t="n"/>
      <c r="H232" s="93" t="n"/>
      <c r="I232" s="93" t="n"/>
      <c r="J232" s="93" t="n"/>
      <c r="K232" s="93" t="n"/>
      <c r="L232" s="93" t="n"/>
      <c r="M232" s="93" t="n"/>
      <c r="N232" s="93" t="n"/>
      <c r="O232" s="93" t="n"/>
      <c r="P232" s="93" t="n"/>
      <c r="Q232" s="93" t="n"/>
      <c r="R232" s="93" t="n"/>
      <c r="S232" s="93" t="n"/>
      <c r="T232" s="93" t="n"/>
      <c r="U232" s="93" t="n"/>
      <c r="V232" s="93" t="n"/>
      <c r="W232" s="93" t="n"/>
      <c r="X232" s="93" t="n"/>
      <c r="Y232" s="93" t="n"/>
      <c r="Z232" s="93" t="n"/>
    </row>
    <row r="233">
      <c r="A233" s="93" t="n"/>
      <c r="B233" s="93" t="n"/>
      <c r="C233" s="93" t="n"/>
      <c r="D233" s="93" t="n"/>
      <c r="E233" s="93" t="n"/>
      <c r="F233" s="93" t="n"/>
      <c r="G233" s="93" t="n"/>
      <c r="H233" s="93" t="n"/>
      <c r="I233" s="93" t="n"/>
      <c r="J233" s="93" t="n"/>
      <c r="K233" s="93" t="n"/>
      <c r="L233" s="93" t="n"/>
      <c r="M233" s="93" t="n"/>
      <c r="N233" s="93" t="n"/>
      <c r="O233" s="93" t="n"/>
      <c r="P233" s="93" t="n"/>
      <c r="Q233" s="93" t="n"/>
      <c r="R233" s="93" t="n"/>
      <c r="S233" s="93" t="n"/>
      <c r="T233" s="93" t="n"/>
      <c r="U233" s="93" t="n"/>
      <c r="V233" s="93" t="n"/>
      <c r="W233" s="93" t="n"/>
      <c r="X233" s="93" t="n"/>
      <c r="Y233" s="93" t="n"/>
      <c r="Z233" s="93" t="n"/>
    </row>
    <row r="234">
      <c r="A234" s="93" t="n"/>
      <c r="B234" s="93" t="n"/>
      <c r="C234" s="93" t="n"/>
      <c r="D234" s="93" t="n"/>
      <c r="E234" s="93" t="n"/>
      <c r="F234" s="93" t="n"/>
      <c r="G234" s="93" t="n"/>
      <c r="H234" s="93" t="n"/>
      <c r="I234" s="93" t="n"/>
      <c r="J234" s="93" t="n"/>
      <c r="K234" s="93" t="n"/>
      <c r="L234" s="93" t="n"/>
      <c r="M234" s="93" t="n"/>
      <c r="N234" s="93" t="n"/>
      <c r="O234" s="93" t="n"/>
      <c r="P234" s="93" t="n"/>
      <c r="Q234" s="93" t="n"/>
      <c r="R234" s="93" t="n"/>
      <c r="S234" s="93" t="n"/>
      <c r="T234" s="93" t="n"/>
      <c r="U234" s="93" t="n"/>
      <c r="V234" s="93" t="n"/>
      <c r="W234" s="93" t="n"/>
      <c r="X234" s="93" t="n"/>
      <c r="Y234" s="93" t="n"/>
      <c r="Z234" s="93" t="n"/>
    </row>
    <row r="235">
      <c r="A235" s="93" t="n"/>
      <c r="B235" s="93" t="n"/>
      <c r="C235" s="93" t="n"/>
      <c r="D235" s="93" t="n"/>
      <c r="E235" s="93" t="n"/>
      <c r="F235" s="93" t="n"/>
      <c r="G235" s="93" t="n"/>
      <c r="H235" s="93" t="n"/>
      <c r="I235" s="93" t="n"/>
      <c r="J235" s="93" t="n"/>
      <c r="K235" s="93" t="n"/>
      <c r="L235" s="93" t="n"/>
      <c r="M235" s="93" t="n"/>
      <c r="N235" s="93" t="n"/>
      <c r="O235" s="93" t="n"/>
      <c r="P235" s="93" t="n"/>
      <c r="Q235" s="93" t="n"/>
      <c r="R235" s="93" t="n"/>
      <c r="S235" s="93" t="n"/>
      <c r="T235" s="93" t="n"/>
      <c r="U235" s="93" t="n"/>
      <c r="V235" s="93" t="n"/>
      <c r="W235" s="93" t="n"/>
      <c r="X235" s="93" t="n"/>
      <c r="Y235" s="93" t="n"/>
      <c r="Z235" s="93" t="n"/>
    </row>
    <row r="236">
      <c r="A236" s="93" t="n"/>
      <c r="B236" s="93" t="n"/>
      <c r="C236" s="93" t="n"/>
      <c r="D236" s="93" t="n"/>
      <c r="E236" s="93" t="n"/>
      <c r="F236" s="93" t="n"/>
      <c r="G236" s="93" t="n"/>
      <c r="H236" s="93" t="n"/>
      <c r="I236" s="93" t="n"/>
      <c r="J236" s="93" t="n"/>
      <c r="K236" s="93" t="n"/>
      <c r="L236" s="93" t="n"/>
      <c r="M236" s="93" t="n"/>
      <c r="N236" s="93" t="n"/>
      <c r="O236" s="93" t="n"/>
      <c r="P236" s="93" t="n"/>
      <c r="Q236" s="93" t="n"/>
      <c r="R236" s="93" t="n"/>
      <c r="S236" s="93" t="n"/>
      <c r="T236" s="93" t="n"/>
      <c r="U236" s="93" t="n"/>
      <c r="V236" s="93" t="n"/>
      <c r="W236" s="93" t="n"/>
      <c r="X236" s="93" t="n"/>
      <c r="Y236" s="93" t="n"/>
      <c r="Z236" s="93" t="n"/>
    </row>
    <row r="237">
      <c r="A237" s="93" t="n"/>
      <c r="B237" s="93" t="n"/>
      <c r="C237" s="93" t="n"/>
      <c r="D237" s="93" t="n"/>
      <c r="E237" s="93" t="n"/>
      <c r="F237" s="93" t="n"/>
      <c r="G237" s="93" t="n"/>
      <c r="H237" s="93" t="n"/>
      <c r="I237" s="93" t="n"/>
      <c r="J237" s="93" t="n"/>
      <c r="K237" s="93" t="n"/>
      <c r="L237" s="93" t="n"/>
      <c r="M237" s="93" t="n"/>
      <c r="N237" s="93" t="n"/>
      <c r="O237" s="93" t="n"/>
      <c r="P237" s="93" t="n"/>
      <c r="Q237" s="93" t="n"/>
      <c r="R237" s="93" t="n"/>
      <c r="S237" s="93" t="n"/>
      <c r="T237" s="93" t="n"/>
      <c r="U237" s="93" t="n"/>
      <c r="V237" s="93" t="n"/>
      <c r="W237" s="93" t="n"/>
      <c r="X237" s="93" t="n"/>
      <c r="Y237" s="93" t="n"/>
      <c r="Z237" s="93" t="n"/>
    </row>
    <row r="238">
      <c r="A238" s="93" t="n"/>
      <c r="B238" s="93" t="n"/>
      <c r="C238" s="93" t="n"/>
      <c r="D238" s="93" t="n"/>
      <c r="E238" s="93" t="n"/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93" t="n"/>
      <c r="P238" s="93" t="n"/>
      <c r="Q238" s="93" t="n"/>
      <c r="R238" s="93" t="n"/>
      <c r="S238" s="93" t="n"/>
      <c r="T238" s="93" t="n"/>
      <c r="U238" s="93" t="n"/>
      <c r="V238" s="93" t="n"/>
      <c r="W238" s="93" t="n"/>
      <c r="X238" s="93" t="n"/>
      <c r="Y238" s="93" t="n"/>
      <c r="Z238" s="93" t="n"/>
    </row>
    <row r="239">
      <c r="A239" s="93" t="n"/>
      <c r="B239" s="93" t="n"/>
      <c r="C239" s="93" t="n"/>
      <c r="D239" s="93" t="n"/>
      <c r="E239" s="93" t="n"/>
      <c r="F239" s="93" t="n"/>
      <c r="G239" s="93" t="n"/>
      <c r="H239" s="93" t="n"/>
      <c r="I239" s="93" t="n"/>
      <c r="J239" s="93" t="n"/>
      <c r="K239" s="93" t="n"/>
      <c r="L239" s="93" t="n"/>
      <c r="M239" s="93" t="n"/>
      <c r="N239" s="93" t="n"/>
      <c r="O239" s="93" t="n"/>
      <c r="P239" s="93" t="n"/>
      <c r="Q239" s="93" t="n"/>
      <c r="R239" s="93" t="n"/>
      <c r="S239" s="93" t="n"/>
      <c r="T239" s="93" t="n"/>
      <c r="U239" s="93" t="n"/>
      <c r="V239" s="93" t="n"/>
      <c r="W239" s="93" t="n"/>
      <c r="X239" s="93" t="n"/>
      <c r="Y239" s="93" t="n"/>
      <c r="Z239" s="93" t="n"/>
    </row>
    <row r="240">
      <c r="A240" s="93" t="n"/>
      <c r="B240" s="93" t="n"/>
      <c r="C240" s="93" t="n"/>
      <c r="D240" s="93" t="n"/>
      <c r="E240" s="93" t="n"/>
      <c r="F240" s="93" t="n"/>
      <c r="G240" s="93" t="n"/>
      <c r="H240" s="93" t="n"/>
      <c r="I240" s="93" t="n"/>
      <c r="J240" s="93" t="n"/>
      <c r="K240" s="93" t="n"/>
      <c r="L240" s="93" t="n"/>
      <c r="M240" s="93" t="n"/>
      <c r="N240" s="93" t="n"/>
      <c r="O240" s="93" t="n"/>
      <c r="P240" s="93" t="n"/>
      <c r="Q240" s="93" t="n"/>
      <c r="R240" s="93" t="n"/>
      <c r="S240" s="93" t="n"/>
      <c r="T240" s="93" t="n"/>
      <c r="U240" s="93" t="n"/>
      <c r="V240" s="93" t="n"/>
      <c r="W240" s="93" t="n"/>
      <c r="X240" s="93" t="n"/>
      <c r="Y240" s="93" t="n"/>
      <c r="Z240" s="93" t="n"/>
    </row>
    <row r="241">
      <c r="A241" s="93" t="n"/>
      <c r="B241" s="93" t="n"/>
      <c r="C241" s="93" t="n"/>
      <c r="D241" s="93" t="n"/>
      <c r="E241" s="93" t="n"/>
      <c r="F241" s="93" t="n"/>
      <c r="G241" s="93" t="n"/>
      <c r="H241" s="93" t="n"/>
      <c r="I241" s="93" t="n"/>
      <c r="J241" s="93" t="n"/>
      <c r="K241" s="93" t="n"/>
      <c r="L241" s="93" t="n"/>
      <c r="M241" s="93" t="n"/>
      <c r="N241" s="93" t="n"/>
      <c r="O241" s="93" t="n"/>
      <c r="P241" s="93" t="n"/>
      <c r="Q241" s="93" t="n"/>
      <c r="R241" s="93" t="n"/>
      <c r="S241" s="93" t="n"/>
      <c r="T241" s="93" t="n"/>
      <c r="U241" s="93" t="n"/>
      <c r="V241" s="93" t="n"/>
      <c r="W241" s="93" t="n"/>
      <c r="X241" s="93" t="n"/>
      <c r="Y241" s="93" t="n"/>
      <c r="Z241" s="93" t="n"/>
    </row>
    <row r="242">
      <c r="A242" s="93" t="n"/>
      <c r="B242" s="93" t="n"/>
      <c r="C242" s="93" t="n"/>
      <c r="D242" s="93" t="n"/>
      <c r="E242" s="93" t="n"/>
      <c r="F242" s="93" t="n"/>
      <c r="G242" s="93" t="n"/>
      <c r="H242" s="93" t="n"/>
      <c r="I242" s="93" t="n"/>
      <c r="J242" s="93" t="n"/>
      <c r="K242" s="93" t="n"/>
      <c r="L242" s="93" t="n"/>
      <c r="M242" s="93" t="n"/>
      <c r="N242" s="93" t="n"/>
      <c r="O242" s="93" t="n"/>
      <c r="P242" s="93" t="n"/>
      <c r="Q242" s="93" t="n"/>
      <c r="R242" s="93" t="n"/>
      <c r="S242" s="93" t="n"/>
      <c r="T242" s="93" t="n"/>
      <c r="U242" s="93" t="n"/>
      <c r="V242" s="93" t="n"/>
      <c r="W242" s="93" t="n"/>
      <c r="X242" s="93" t="n"/>
      <c r="Y242" s="93" t="n"/>
      <c r="Z242" s="93" t="n"/>
    </row>
    <row r="243">
      <c r="A243" s="93" t="n"/>
      <c r="B243" s="93" t="n"/>
      <c r="C243" s="93" t="n"/>
      <c r="D243" s="93" t="n"/>
      <c r="E243" s="93" t="n"/>
      <c r="F243" s="93" t="n"/>
      <c r="G243" s="93" t="n"/>
      <c r="H243" s="93" t="n"/>
      <c r="I243" s="93" t="n"/>
      <c r="J243" s="93" t="n"/>
      <c r="K243" s="93" t="n"/>
      <c r="L243" s="93" t="n"/>
      <c r="M243" s="93" t="n"/>
      <c r="N243" s="93" t="n"/>
      <c r="O243" s="93" t="n"/>
      <c r="P243" s="93" t="n"/>
      <c r="Q243" s="93" t="n"/>
      <c r="R243" s="93" t="n"/>
      <c r="S243" s="93" t="n"/>
      <c r="T243" s="93" t="n"/>
      <c r="U243" s="93" t="n"/>
      <c r="V243" s="93" t="n"/>
      <c r="W243" s="93" t="n"/>
      <c r="X243" s="93" t="n"/>
      <c r="Y243" s="93" t="n"/>
      <c r="Z243" s="93" t="n"/>
    </row>
    <row r="244">
      <c r="A244" s="93" t="n"/>
      <c r="B244" s="93" t="n"/>
      <c r="C244" s="93" t="n"/>
      <c r="D244" s="93" t="n"/>
      <c r="E244" s="93" t="n"/>
      <c r="F244" s="93" t="n"/>
      <c r="G244" s="93" t="n"/>
      <c r="H244" s="93" t="n"/>
      <c r="I244" s="93" t="n"/>
      <c r="J244" s="93" t="n"/>
      <c r="K244" s="93" t="n"/>
      <c r="L244" s="93" t="n"/>
      <c r="M244" s="93" t="n"/>
      <c r="N244" s="93" t="n"/>
      <c r="O244" s="93" t="n"/>
      <c r="P244" s="93" t="n"/>
      <c r="Q244" s="93" t="n"/>
      <c r="R244" s="93" t="n"/>
      <c r="S244" s="93" t="n"/>
      <c r="T244" s="93" t="n"/>
      <c r="U244" s="93" t="n"/>
      <c r="V244" s="93" t="n"/>
      <c r="W244" s="93" t="n"/>
      <c r="X244" s="93" t="n"/>
      <c r="Y244" s="93" t="n"/>
      <c r="Z244" s="93" t="n"/>
    </row>
    <row r="245">
      <c r="A245" s="93" t="n"/>
      <c r="B245" s="93" t="n"/>
      <c r="C245" s="93" t="n"/>
      <c r="D245" s="93" t="n"/>
      <c r="E245" s="93" t="n"/>
      <c r="F245" s="93" t="n"/>
      <c r="G245" s="93" t="n"/>
      <c r="H245" s="93" t="n"/>
      <c r="I245" s="93" t="n"/>
      <c r="J245" s="93" t="n"/>
      <c r="K245" s="93" t="n"/>
      <c r="L245" s="93" t="n"/>
      <c r="M245" s="93" t="n"/>
      <c r="N245" s="93" t="n"/>
      <c r="O245" s="93" t="n"/>
      <c r="P245" s="93" t="n"/>
      <c r="Q245" s="93" t="n"/>
      <c r="R245" s="93" t="n"/>
      <c r="S245" s="93" t="n"/>
      <c r="T245" s="93" t="n"/>
      <c r="U245" s="93" t="n"/>
      <c r="V245" s="93" t="n"/>
      <c r="W245" s="93" t="n"/>
      <c r="X245" s="93" t="n"/>
      <c r="Y245" s="93" t="n"/>
      <c r="Z245" s="93" t="n"/>
    </row>
    <row r="246">
      <c r="A246" s="93" t="n"/>
      <c r="B246" s="93" t="n"/>
      <c r="C246" s="93" t="n"/>
      <c r="D246" s="93" t="n"/>
      <c r="E246" s="93" t="n"/>
      <c r="F246" s="93" t="n"/>
      <c r="G246" s="93" t="n"/>
      <c r="H246" s="93" t="n"/>
      <c r="I246" s="93" t="n"/>
      <c r="J246" s="93" t="n"/>
      <c r="K246" s="93" t="n"/>
      <c r="L246" s="93" t="n"/>
      <c r="M246" s="93" t="n"/>
      <c r="N246" s="93" t="n"/>
      <c r="O246" s="93" t="n"/>
      <c r="P246" s="93" t="n"/>
      <c r="Q246" s="93" t="n"/>
      <c r="R246" s="93" t="n"/>
      <c r="S246" s="93" t="n"/>
      <c r="T246" s="93" t="n"/>
      <c r="U246" s="93" t="n"/>
      <c r="V246" s="93" t="n"/>
      <c r="W246" s="93" t="n"/>
      <c r="X246" s="93" t="n"/>
      <c r="Y246" s="93" t="n"/>
      <c r="Z246" s="93" t="n"/>
    </row>
    <row r="247">
      <c r="A247" s="93" t="n"/>
      <c r="B247" s="93" t="n"/>
      <c r="C247" s="93" t="n"/>
      <c r="D247" s="93" t="n"/>
      <c r="E247" s="93" t="n"/>
      <c r="F247" s="93" t="n"/>
      <c r="G247" s="93" t="n"/>
      <c r="H247" s="93" t="n"/>
      <c r="I247" s="93" t="n"/>
      <c r="J247" s="93" t="n"/>
      <c r="K247" s="93" t="n"/>
      <c r="L247" s="93" t="n"/>
      <c r="M247" s="93" t="n"/>
      <c r="N247" s="93" t="n"/>
      <c r="O247" s="93" t="n"/>
      <c r="P247" s="93" t="n"/>
      <c r="Q247" s="93" t="n"/>
      <c r="R247" s="93" t="n"/>
      <c r="S247" s="93" t="n"/>
      <c r="T247" s="93" t="n"/>
      <c r="U247" s="93" t="n"/>
      <c r="V247" s="93" t="n"/>
      <c r="W247" s="93" t="n"/>
      <c r="X247" s="93" t="n"/>
      <c r="Y247" s="93" t="n"/>
      <c r="Z247" s="93" t="n"/>
    </row>
    <row r="248">
      <c r="A248" s="93" t="n"/>
      <c r="B248" s="93" t="n"/>
      <c r="C248" s="93" t="n"/>
      <c r="D248" s="93" t="n"/>
      <c r="E248" s="93" t="n"/>
      <c r="F248" s="93" t="n"/>
      <c r="G248" s="93" t="n"/>
      <c r="H248" s="93" t="n"/>
      <c r="I248" s="93" t="n"/>
      <c r="J248" s="93" t="n"/>
      <c r="K248" s="93" t="n"/>
      <c r="L248" s="93" t="n"/>
      <c r="M248" s="93" t="n"/>
      <c r="N248" s="93" t="n"/>
      <c r="O248" s="93" t="n"/>
      <c r="P248" s="93" t="n"/>
      <c r="Q248" s="93" t="n"/>
      <c r="R248" s="93" t="n"/>
      <c r="S248" s="93" t="n"/>
      <c r="T248" s="93" t="n"/>
      <c r="U248" s="93" t="n"/>
      <c r="V248" s="93" t="n"/>
      <c r="W248" s="93" t="n"/>
      <c r="X248" s="93" t="n"/>
      <c r="Y248" s="93" t="n"/>
      <c r="Z248" s="93" t="n"/>
    </row>
    <row r="249">
      <c r="A249" s="93" t="n"/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93" t="n"/>
      <c r="K249" s="93" t="n"/>
      <c r="L249" s="93" t="n"/>
      <c r="M249" s="93" t="n"/>
      <c r="N249" s="93" t="n"/>
      <c r="O249" s="93" t="n"/>
      <c r="P249" s="93" t="n"/>
      <c r="Q249" s="93" t="n"/>
      <c r="R249" s="93" t="n"/>
      <c r="S249" s="93" t="n"/>
      <c r="T249" s="93" t="n"/>
      <c r="U249" s="93" t="n"/>
      <c r="V249" s="93" t="n"/>
      <c r="W249" s="93" t="n"/>
      <c r="X249" s="93" t="n"/>
      <c r="Y249" s="93" t="n"/>
      <c r="Z249" s="93" t="n"/>
    </row>
    <row r="250">
      <c r="A250" s="93" t="n"/>
      <c r="B250" s="93" t="n"/>
      <c r="C250" s="93" t="n"/>
      <c r="D250" s="93" t="n"/>
      <c r="E250" s="93" t="n"/>
      <c r="F250" s="93" t="n"/>
      <c r="G250" s="93" t="n"/>
      <c r="H250" s="93" t="n"/>
      <c r="I250" s="93" t="n"/>
      <c r="J250" s="93" t="n"/>
      <c r="K250" s="93" t="n"/>
      <c r="L250" s="93" t="n"/>
      <c r="M250" s="93" t="n"/>
      <c r="N250" s="93" t="n"/>
      <c r="O250" s="93" t="n"/>
      <c r="P250" s="93" t="n"/>
      <c r="Q250" s="93" t="n"/>
      <c r="R250" s="93" t="n"/>
      <c r="S250" s="93" t="n"/>
      <c r="T250" s="93" t="n"/>
      <c r="U250" s="93" t="n"/>
      <c r="V250" s="93" t="n"/>
      <c r="W250" s="93" t="n"/>
      <c r="X250" s="93" t="n"/>
      <c r="Y250" s="93" t="n"/>
      <c r="Z250" s="93" t="n"/>
    </row>
    <row r="251">
      <c r="A251" s="93" t="n"/>
      <c r="B251" s="93" t="n"/>
      <c r="C251" s="93" t="n"/>
      <c r="D251" s="93" t="n"/>
      <c r="E251" s="93" t="n"/>
      <c r="F251" s="93" t="n"/>
      <c r="G251" s="93" t="n"/>
      <c r="H251" s="93" t="n"/>
      <c r="I251" s="93" t="n"/>
      <c r="J251" s="93" t="n"/>
      <c r="K251" s="93" t="n"/>
      <c r="L251" s="93" t="n"/>
      <c r="M251" s="93" t="n"/>
      <c r="N251" s="93" t="n"/>
      <c r="O251" s="93" t="n"/>
      <c r="P251" s="93" t="n"/>
      <c r="Q251" s="93" t="n"/>
      <c r="R251" s="93" t="n"/>
      <c r="S251" s="93" t="n"/>
      <c r="T251" s="93" t="n"/>
      <c r="U251" s="93" t="n"/>
      <c r="V251" s="93" t="n"/>
      <c r="W251" s="93" t="n"/>
      <c r="X251" s="93" t="n"/>
      <c r="Y251" s="93" t="n"/>
      <c r="Z251" s="93" t="n"/>
    </row>
    <row r="252">
      <c r="A252" s="93" t="n"/>
      <c r="B252" s="93" t="n"/>
      <c r="C252" s="93" t="n"/>
      <c r="D252" s="93" t="n"/>
      <c r="E252" s="93" t="n"/>
      <c r="F252" s="93" t="n"/>
      <c r="G252" s="93" t="n"/>
      <c r="H252" s="93" t="n"/>
      <c r="I252" s="93" t="n"/>
      <c r="J252" s="93" t="n"/>
      <c r="K252" s="93" t="n"/>
      <c r="L252" s="93" t="n"/>
      <c r="M252" s="93" t="n"/>
      <c r="N252" s="93" t="n"/>
      <c r="O252" s="93" t="n"/>
      <c r="P252" s="93" t="n"/>
      <c r="Q252" s="93" t="n"/>
      <c r="R252" s="93" t="n"/>
      <c r="S252" s="93" t="n"/>
      <c r="T252" s="93" t="n"/>
      <c r="U252" s="93" t="n"/>
      <c r="V252" s="93" t="n"/>
      <c r="W252" s="93" t="n"/>
      <c r="X252" s="93" t="n"/>
      <c r="Y252" s="93" t="n"/>
      <c r="Z252" s="93" t="n"/>
    </row>
    <row r="253">
      <c r="A253" s="93" t="n"/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93" t="n"/>
      <c r="K253" s="93" t="n"/>
      <c r="L253" s="93" t="n"/>
      <c r="M253" s="93" t="n"/>
      <c r="N253" s="93" t="n"/>
      <c r="O253" s="93" t="n"/>
      <c r="P253" s="93" t="n"/>
      <c r="Q253" s="93" t="n"/>
      <c r="R253" s="93" t="n"/>
      <c r="S253" s="93" t="n"/>
      <c r="T253" s="93" t="n"/>
      <c r="U253" s="93" t="n"/>
      <c r="V253" s="93" t="n"/>
      <c r="W253" s="93" t="n"/>
      <c r="X253" s="93" t="n"/>
      <c r="Y253" s="93" t="n"/>
      <c r="Z253" s="93" t="n"/>
    </row>
    <row r="254">
      <c r="A254" s="93" t="n"/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93" t="n"/>
      <c r="K254" s="93" t="n"/>
      <c r="L254" s="93" t="n"/>
      <c r="M254" s="93" t="n"/>
      <c r="N254" s="93" t="n"/>
      <c r="O254" s="93" t="n"/>
      <c r="P254" s="93" t="n"/>
      <c r="Q254" s="93" t="n"/>
      <c r="R254" s="93" t="n"/>
      <c r="S254" s="93" t="n"/>
      <c r="T254" s="93" t="n"/>
      <c r="U254" s="93" t="n"/>
      <c r="V254" s="93" t="n"/>
      <c r="W254" s="93" t="n"/>
      <c r="X254" s="93" t="n"/>
      <c r="Y254" s="93" t="n"/>
      <c r="Z254" s="93" t="n"/>
    </row>
    <row r="255">
      <c r="A255" s="93" t="n"/>
      <c r="B255" s="93" t="n"/>
      <c r="C255" s="93" t="n"/>
      <c r="D255" s="93" t="n"/>
      <c r="E255" s="93" t="n"/>
      <c r="F255" s="93" t="n"/>
      <c r="G255" s="93" t="n"/>
      <c r="H255" s="93" t="n"/>
      <c r="I255" s="93" t="n"/>
      <c r="J255" s="93" t="n"/>
      <c r="K255" s="93" t="n"/>
      <c r="L255" s="93" t="n"/>
      <c r="M255" s="93" t="n"/>
      <c r="N255" s="93" t="n"/>
      <c r="O255" s="93" t="n"/>
      <c r="P255" s="93" t="n"/>
      <c r="Q255" s="93" t="n"/>
      <c r="R255" s="93" t="n"/>
      <c r="S255" s="93" t="n"/>
      <c r="T255" s="93" t="n"/>
      <c r="U255" s="93" t="n"/>
      <c r="V255" s="93" t="n"/>
      <c r="W255" s="93" t="n"/>
      <c r="X255" s="93" t="n"/>
      <c r="Y255" s="93" t="n"/>
      <c r="Z255" s="93" t="n"/>
    </row>
    <row r="256">
      <c r="A256" s="93" t="n"/>
      <c r="B256" s="93" t="n"/>
      <c r="C256" s="93" t="n"/>
      <c r="D256" s="93" t="n"/>
      <c r="E256" s="93" t="n"/>
      <c r="F256" s="93" t="n"/>
      <c r="G256" s="93" t="n"/>
      <c r="H256" s="93" t="n"/>
      <c r="I256" s="93" t="n"/>
      <c r="J256" s="93" t="n"/>
      <c r="K256" s="93" t="n"/>
      <c r="L256" s="93" t="n"/>
      <c r="M256" s="93" t="n"/>
      <c r="N256" s="93" t="n"/>
      <c r="O256" s="93" t="n"/>
      <c r="P256" s="93" t="n"/>
      <c r="Q256" s="93" t="n"/>
      <c r="R256" s="93" t="n"/>
      <c r="S256" s="93" t="n"/>
      <c r="T256" s="93" t="n"/>
      <c r="U256" s="93" t="n"/>
      <c r="V256" s="93" t="n"/>
      <c r="W256" s="93" t="n"/>
      <c r="X256" s="93" t="n"/>
      <c r="Y256" s="93" t="n"/>
      <c r="Z256" s="93" t="n"/>
    </row>
    <row r="257">
      <c r="A257" s="93" t="n"/>
      <c r="B257" s="93" t="n"/>
      <c r="C257" s="93" t="n"/>
      <c r="D257" s="93" t="n"/>
      <c r="E257" s="93" t="n"/>
      <c r="F257" s="93" t="n"/>
      <c r="G257" s="93" t="n"/>
      <c r="H257" s="93" t="n"/>
      <c r="I257" s="93" t="n"/>
      <c r="J257" s="93" t="n"/>
      <c r="K257" s="93" t="n"/>
      <c r="L257" s="93" t="n"/>
      <c r="M257" s="93" t="n"/>
      <c r="N257" s="93" t="n"/>
      <c r="O257" s="93" t="n"/>
      <c r="P257" s="93" t="n"/>
      <c r="Q257" s="93" t="n"/>
      <c r="R257" s="93" t="n"/>
      <c r="S257" s="93" t="n"/>
      <c r="T257" s="93" t="n"/>
      <c r="U257" s="93" t="n"/>
      <c r="V257" s="93" t="n"/>
      <c r="W257" s="93" t="n"/>
      <c r="X257" s="93" t="n"/>
      <c r="Y257" s="93" t="n"/>
      <c r="Z257" s="93" t="n"/>
    </row>
    <row r="258">
      <c r="A258" s="93" t="n"/>
      <c r="B258" s="93" t="n"/>
      <c r="C258" s="93" t="n"/>
      <c r="D258" s="93" t="n"/>
      <c r="E258" s="93" t="n"/>
      <c r="F258" s="93" t="n"/>
      <c r="G258" s="93" t="n"/>
      <c r="H258" s="93" t="n"/>
      <c r="I258" s="93" t="n"/>
      <c r="J258" s="93" t="n"/>
      <c r="K258" s="93" t="n"/>
      <c r="L258" s="93" t="n"/>
      <c r="M258" s="93" t="n"/>
      <c r="N258" s="93" t="n"/>
      <c r="O258" s="93" t="n"/>
      <c r="P258" s="93" t="n"/>
      <c r="Q258" s="93" t="n"/>
      <c r="R258" s="93" t="n"/>
      <c r="S258" s="93" t="n"/>
      <c r="T258" s="93" t="n"/>
      <c r="U258" s="93" t="n"/>
      <c r="V258" s="93" t="n"/>
      <c r="W258" s="93" t="n"/>
      <c r="X258" s="93" t="n"/>
      <c r="Y258" s="93" t="n"/>
      <c r="Z258" s="93" t="n"/>
    </row>
    <row r="259">
      <c r="A259" s="93" t="n"/>
      <c r="B259" s="93" t="n"/>
      <c r="C259" s="93" t="n"/>
      <c r="D259" s="93" t="n"/>
      <c r="E259" s="93" t="n"/>
      <c r="F259" s="93" t="n"/>
      <c r="G259" s="93" t="n"/>
      <c r="H259" s="93" t="n"/>
      <c r="I259" s="93" t="n"/>
      <c r="J259" s="93" t="n"/>
      <c r="K259" s="93" t="n"/>
      <c r="L259" s="93" t="n"/>
      <c r="M259" s="93" t="n"/>
      <c r="N259" s="93" t="n"/>
      <c r="O259" s="93" t="n"/>
      <c r="P259" s="93" t="n"/>
      <c r="Q259" s="93" t="n"/>
      <c r="R259" s="93" t="n"/>
      <c r="S259" s="93" t="n"/>
      <c r="T259" s="93" t="n"/>
      <c r="U259" s="93" t="n"/>
      <c r="V259" s="93" t="n"/>
      <c r="W259" s="93" t="n"/>
      <c r="X259" s="93" t="n"/>
      <c r="Y259" s="93" t="n"/>
      <c r="Z259" s="93" t="n"/>
    </row>
    <row r="260">
      <c r="A260" s="93" t="n"/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93" t="n"/>
      <c r="K260" s="93" t="n"/>
      <c r="L260" s="93" t="n"/>
      <c r="M260" s="93" t="n"/>
      <c r="N260" s="93" t="n"/>
      <c r="O260" s="93" t="n"/>
      <c r="P260" s="93" t="n"/>
      <c r="Q260" s="93" t="n"/>
      <c r="R260" s="93" t="n"/>
      <c r="S260" s="93" t="n"/>
      <c r="T260" s="93" t="n"/>
      <c r="U260" s="93" t="n"/>
      <c r="V260" s="93" t="n"/>
      <c r="W260" s="93" t="n"/>
      <c r="X260" s="93" t="n"/>
      <c r="Y260" s="93" t="n"/>
      <c r="Z260" s="93" t="n"/>
    </row>
    <row r="261">
      <c r="A261" s="93" t="n"/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93" t="n"/>
      <c r="K261" s="93" t="n"/>
      <c r="L261" s="93" t="n"/>
      <c r="M261" s="93" t="n"/>
      <c r="N261" s="93" t="n"/>
      <c r="O261" s="93" t="n"/>
      <c r="P261" s="93" t="n"/>
      <c r="Q261" s="93" t="n"/>
      <c r="R261" s="93" t="n"/>
      <c r="S261" s="93" t="n"/>
      <c r="T261" s="93" t="n"/>
      <c r="U261" s="93" t="n"/>
      <c r="V261" s="93" t="n"/>
      <c r="W261" s="93" t="n"/>
      <c r="X261" s="93" t="n"/>
      <c r="Y261" s="93" t="n"/>
      <c r="Z261" s="93" t="n"/>
    </row>
    <row r="262">
      <c r="A262" s="93" t="n"/>
      <c r="B262" s="93" t="n"/>
      <c r="C262" s="93" t="n"/>
      <c r="D262" s="93" t="n"/>
      <c r="E262" s="93" t="n"/>
      <c r="F262" s="93" t="n"/>
      <c r="G262" s="93" t="n"/>
      <c r="H262" s="93" t="n"/>
      <c r="I262" s="93" t="n"/>
      <c r="J262" s="93" t="n"/>
      <c r="K262" s="93" t="n"/>
      <c r="L262" s="93" t="n"/>
      <c r="M262" s="93" t="n"/>
      <c r="N262" s="93" t="n"/>
      <c r="O262" s="93" t="n"/>
      <c r="P262" s="93" t="n"/>
      <c r="Q262" s="93" t="n"/>
      <c r="R262" s="93" t="n"/>
      <c r="S262" s="93" t="n"/>
      <c r="T262" s="93" t="n"/>
      <c r="U262" s="93" t="n"/>
      <c r="V262" s="93" t="n"/>
      <c r="W262" s="93" t="n"/>
      <c r="X262" s="93" t="n"/>
      <c r="Y262" s="93" t="n"/>
      <c r="Z262" s="93" t="n"/>
    </row>
    <row r="263">
      <c r="A263" s="93" t="n"/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93" t="n"/>
      <c r="K263" s="93" t="n"/>
      <c r="L263" s="93" t="n"/>
      <c r="M263" s="93" t="n"/>
      <c r="N263" s="93" t="n"/>
      <c r="O263" s="93" t="n"/>
      <c r="P263" s="93" t="n"/>
      <c r="Q263" s="93" t="n"/>
      <c r="R263" s="93" t="n"/>
      <c r="S263" s="93" t="n"/>
      <c r="T263" s="93" t="n"/>
      <c r="U263" s="93" t="n"/>
      <c r="V263" s="93" t="n"/>
      <c r="W263" s="93" t="n"/>
      <c r="X263" s="93" t="n"/>
      <c r="Y263" s="93" t="n"/>
      <c r="Z263" s="93" t="n"/>
    </row>
    <row r="264">
      <c r="A264" s="93" t="n"/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93" t="n"/>
      <c r="K264" s="93" t="n"/>
      <c r="L264" s="93" t="n"/>
      <c r="M264" s="93" t="n"/>
      <c r="N264" s="93" t="n"/>
      <c r="O264" s="93" t="n"/>
      <c r="P264" s="93" t="n"/>
      <c r="Q264" s="93" t="n"/>
      <c r="R264" s="93" t="n"/>
      <c r="S264" s="93" t="n"/>
      <c r="T264" s="93" t="n"/>
      <c r="U264" s="93" t="n"/>
      <c r="V264" s="93" t="n"/>
      <c r="W264" s="93" t="n"/>
      <c r="X264" s="93" t="n"/>
      <c r="Y264" s="93" t="n"/>
      <c r="Z264" s="93" t="n"/>
    </row>
    <row r="265">
      <c r="A265" s="93" t="n"/>
      <c r="B265" s="93" t="n"/>
      <c r="C265" s="93" t="n"/>
      <c r="D265" s="93" t="n"/>
      <c r="E265" s="93" t="n"/>
      <c r="F265" s="93" t="n"/>
      <c r="G265" s="93" t="n"/>
      <c r="H265" s="93" t="n"/>
      <c r="I265" s="93" t="n"/>
      <c r="J265" s="93" t="n"/>
      <c r="K265" s="93" t="n"/>
      <c r="L265" s="93" t="n"/>
      <c r="M265" s="93" t="n"/>
      <c r="N265" s="93" t="n"/>
      <c r="O265" s="93" t="n"/>
      <c r="P265" s="93" t="n"/>
      <c r="Q265" s="93" t="n"/>
      <c r="R265" s="93" t="n"/>
      <c r="S265" s="93" t="n"/>
      <c r="T265" s="93" t="n"/>
      <c r="U265" s="93" t="n"/>
      <c r="V265" s="93" t="n"/>
      <c r="W265" s="93" t="n"/>
      <c r="X265" s="93" t="n"/>
      <c r="Y265" s="93" t="n"/>
      <c r="Z265" s="93" t="n"/>
    </row>
    <row r="266">
      <c r="A266" s="93" t="n"/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93" t="n"/>
      <c r="K266" s="93" t="n"/>
      <c r="L266" s="93" t="n"/>
      <c r="M266" s="93" t="n"/>
      <c r="N266" s="93" t="n"/>
      <c r="O266" s="93" t="n"/>
      <c r="P266" s="93" t="n"/>
      <c r="Q266" s="93" t="n"/>
      <c r="R266" s="93" t="n"/>
      <c r="S266" s="93" t="n"/>
      <c r="T266" s="93" t="n"/>
      <c r="U266" s="93" t="n"/>
      <c r="V266" s="93" t="n"/>
      <c r="W266" s="93" t="n"/>
      <c r="X266" s="93" t="n"/>
      <c r="Y266" s="93" t="n"/>
      <c r="Z266" s="93" t="n"/>
    </row>
    <row r="267">
      <c r="A267" s="93" t="n"/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93" t="n"/>
      <c r="K267" s="93" t="n"/>
      <c r="L267" s="93" t="n"/>
      <c r="M267" s="93" t="n"/>
      <c r="N267" s="93" t="n"/>
      <c r="O267" s="93" t="n"/>
      <c r="P267" s="93" t="n"/>
      <c r="Q267" s="93" t="n"/>
      <c r="R267" s="93" t="n"/>
      <c r="S267" s="93" t="n"/>
      <c r="T267" s="93" t="n"/>
      <c r="U267" s="93" t="n"/>
      <c r="V267" s="93" t="n"/>
      <c r="W267" s="93" t="n"/>
      <c r="X267" s="93" t="n"/>
      <c r="Y267" s="93" t="n"/>
      <c r="Z267" s="93" t="n"/>
    </row>
    <row r="268">
      <c r="A268" s="93" t="n"/>
      <c r="B268" s="93" t="n"/>
      <c r="C268" s="93" t="n"/>
      <c r="D268" s="93" t="n"/>
      <c r="E268" s="93" t="n"/>
      <c r="F268" s="93" t="n"/>
      <c r="G268" s="93" t="n"/>
      <c r="H268" s="93" t="n"/>
      <c r="I268" s="93" t="n"/>
      <c r="J268" s="93" t="n"/>
      <c r="K268" s="93" t="n"/>
      <c r="L268" s="93" t="n"/>
      <c r="M268" s="93" t="n"/>
      <c r="N268" s="93" t="n"/>
      <c r="O268" s="93" t="n"/>
      <c r="P268" s="93" t="n"/>
      <c r="Q268" s="93" t="n"/>
      <c r="R268" s="93" t="n"/>
      <c r="S268" s="93" t="n"/>
      <c r="T268" s="93" t="n"/>
      <c r="U268" s="93" t="n"/>
      <c r="V268" s="93" t="n"/>
      <c r="W268" s="93" t="n"/>
      <c r="X268" s="93" t="n"/>
      <c r="Y268" s="93" t="n"/>
      <c r="Z268" s="93" t="n"/>
    </row>
    <row r="269">
      <c r="A269" s="93" t="n"/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93" t="n"/>
      <c r="K269" s="93" t="n"/>
      <c r="L269" s="93" t="n"/>
      <c r="M269" s="93" t="n"/>
      <c r="N269" s="93" t="n"/>
      <c r="O269" s="93" t="n"/>
      <c r="P269" s="93" t="n"/>
      <c r="Q269" s="93" t="n"/>
      <c r="R269" s="93" t="n"/>
      <c r="S269" s="93" t="n"/>
      <c r="T269" s="93" t="n"/>
      <c r="U269" s="93" t="n"/>
      <c r="V269" s="93" t="n"/>
      <c r="W269" s="93" t="n"/>
      <c r="X269" s="93" t="n"/>
      <c r="Y269" s="93" t="n"/>
      <c r="Z269" s="93" t="n"/>
    </row>
    <row r="270">
      <c r="A270" s="93" t="n"/>
      <c r="B270" s="93" t="n"/>
      <c r="C270" s="93" t="n"/>
      <c r="D270" s="93" t="n"/>
      <c r="E270" s="93" t="n"/>
      <c r="F270" s="93" t="n"/>
      <c r="G270" s="93" t="n"/>
      <c r="H270" s="93" t="n"/>
      <c r="I270" s="93" t="n"/>
      <c r="J270" s="93" t="n"/>
      <c r="K270" s="93" t="n"/>
      <c r="L270" s="93" t="n"/>
      <c r="M270" s="93" t="n"/>
      <c r="N270" s="93" t="n"/>
      <c r="O270" s="93" t="n"/>
      <c r="P270" s="93" t="n"/>
      <c r="Q270" s="93" t="n"/>
      <c r="R270" s="93" t="n"/>
      <c r="S270" s="93" t="n"/>
      <c r="T270" s="93" t="n"/>
      <c r="U270" s="93" t="n"/>
      <c r="V270" s="93" t="n"/>
      <c r="W270" s="93" t="n"/>
      <c r="X270" s="93" t="n"/>
      <c r="Y270" s="93" t="n"/>
      <c r="Z270" s="93" t="n"/>
    </row>
    <row r="271">
      <c r="A271" s="93" t="n"/>
      <c r="B271" s="93" t="n"/>
      <c r="C271" s="93" t="n"/>
      <c r="D271" s="93" t="n"/>
      <c r="E271" s="93" t="n"/>
      <c r="F271" s="93" t="n"/>
      <c r="G271" s="93" t="n"/>
      <c r="H271" s="93" t="n"/>
      <c r="I271" s="93" t="n"/>
      <c r="J271" s="93" t="n"/>
      <c r="K271" s="93" t="n"/>
      <c r="L271" s="93" t="n"/>
      <c r="M271" s="93" t="n"/>
      <c r="N271" s="93" t="n"/>
      <c r="O271" s="93" t="n"/>
      <c r="P271" s="93" t="n"/>
      <c r="Q271" s="93" t="n"/>
      <c r="R271" s="93" t="n"/>
      <c r="S271" s="93" t="n"/>
      <c r="T271" s="93" t="n"/>
      <c r="U271" s="93" t="n"/>
      <c r="V271" s="93" t="n"/>
      <c r="W271" s="93" t="n"/>
      <c r="X271" s="93" t="n"/>
      <c r="Y271" s="93" t="n"/>
      <c r="Z271" s="93" t="n"/>
    </row>
    <row r="272">
      <c r="A272" s="93" t="n"/>
      <c r="B272" s="93" t="n"/>
      <c r="C272" s="93" t="n"/>
      <c r="D272" s="93" t="n"/>
      <c r="E272" s="93" t="n"/>
      <c r="F272" s="93" t="n"/>
      <c r="G272" s="93" t="n"/>
      <c r="H272" s="93" t="n"/>
      <c r="I272" s="93" t="n"/>
      <c r="J272" s="93" t="n"/>
      <c r="K272" s="93" t="n"/>
      <c r="L272" s="93" t="n"/>
      <c r="M272" s="93" t="n"/>
      <c r="N272" s="93" t="n"/>
      <c r="O272" s="93" t="n"/>
      <c r="P272" s="93" t="n"/>
      <c r="Q272" s="93" t="n"/>
      <c r="R272" s="93" t="n"/>
      <c r="S272" s="93" t="n"/>
      <c r="T272" s="93" t="n"/>
      <c r="U272" s="93" t="n"/>
      <c r="V272" s="93" t="n"/>
      <c r="W272" s="93" t="n"/>
      <c r="X272" s="93" t="n"/>
      <c r="Y272" s="93" t="n"/>
      <c r="Z272" s="93" t="n"/>
    </row>
    <row r="273">
      <c r="A273" s="93" t="n"/>
      <c r="B273" s="93" t="n"/>
      <c r="C273" s="93" t="n"/>
      <c r="D273" s="93" t="n"/>
      <c r="E273" s="93" t="n"/>
      <c r="F273" s="93" t="n"/>
      <c r="G273" s="93" t="n"/>
      <c r="H273" s="93" t="n"/>
      <c r="I273" s="93" t="n"/>
      <c r="J273" s="93" t="n"/>
      <c r="K273" s="93" t="n"/>
      <c r="L273" s="93" t="n"/>
      <c r="M273" s="93" t="n"/>
      <c r="N273" s="93" t="n"/>
      <c r="O273" s="93" t="n"/>
      <c r="P273" s="93" t="n"/>
      <c r="Q273" s="93" t="n"/>
      <c r="R273" s="93" t="n"/>
      <c r="S273" s="93" t="n"/>
      <c r="T273" s="93" t="n"/>
      <c r="U273" s="93" t="n"/>
      <c r="V273" s="93" t="n"/>
      <c r="W273" s="93" t="n"/>
      <c r="X273" s="93" t="n"/>
      <c r="Y273" s="93" t="n"/>
      <c r="Z273" s="93" t="n"/>
    </row>
    <row r="274">
      <c r="A274" s="93" t="n"/>
      <c r="B274" s="93" t="n"/>
      <c r="C274" s="93" t="n"/>
      <c r="D274" s="93" t="n"/>
      <c r="E274" s="93" t="n"/>
      <c r="F274" s="93" t="n"/>
      <c r="G274" s="93" t="n"/>
      <c r="H274" s="93" t="n"/>
      <c r="I274" s="93" t="n"/>
      <c r="J274" s="93" t="n"/>
      <c r="K274" s="93" t="n"/>
      <c r="L274" s="93" t="n"/>
      <c r="M274" s="93" t="n"/>
      <c r="N274" s="93" t="n"/>
      <c r="O274" s="93" t="n"/>
      <c r="P274" s="93" t="n"/>
      <c r="Q274" s="93" t="n"/>
      <c r="R274" s="93" t="n"/>
      <c r="S274" s="93" t="n"/>
      <c r="T274" s="93" t="n"/>
      <c r="U274" s="93" t="n"/>
      <c r="V274" s="93" t="n"/>
      <c r="W274" s="93" t="n"/>
      <c r="X274" s="93" t="n"/>
      <c r="Y274" s="93" t="n"/>
      <c r="Z274" s="93" t="n"/>
    </row>
    <row r="275">
      <c r="A275" s="93" t="n"/>
      <c r="B275" s="93" t="n"/>
      <c r="C275" s="93" t="n"/>
      <c r="D275" s="93" t="n"/>
      <c r="E275" s="93" t="n"/>
      <c r="F275" s="93" t="n"/>
      <c r="G275" s="93" t="n"/>
      <c r="H275" s="93" t="n"/>
      <c r="I275" s="93" t="n"/>
      <c r="J275" s="93" t="n"/>
      <c r="K275" s="93" t="n"/>
      <c r="L275" s="93" t="n"/>
      <c r="M275" s="93" t="n"/>
      <c r="N275" s="93" t="n"/>
      <c r="O275" s="93" t="n"/>
      <c r="P275" s="93" t="n"/>
      <c r="Q275" s="93" t="n"/>
      <c r="R275" s="93" t="n"/>
      <c r="S275" s="93" t="n"/>
      <c r="T275" s="93" t="n"/>
      <c r="U275" s="93" t="n"/>
      <c r="V275" s="93" t="n"/>
      <c r="W275" s="93" t="n"/>
      <c r="X275" s="93" t="n"/>
      <c r="Y275" s="93" t="n"/>
      <c r="Z275" s="93" t="n"/>
    </row>
    <row r="276">
      <c r="A276" s="93" t="n"/>
      <c r="B276" s="93" t="n"/>
      <c r="C276" s="93" t="n"/>
      <c r="D276" s="93" t="n"/>
      <c r="E276" s="93" t="n"/>
      <c r="F276" s="93" t="n"/>
      <c r="G276" s="93" t="n"/>
      <c r="H276" s="93" t="n"/>
      <c r="I276" s="93" t="n"/>
      <c r="J276" s="93" t="n"/>
      <c r="K276" s="93" t="n"/>
      <c r="L276" s="93" t="n"/>
      <c r="M276" s="93" t="n"/>
      <c r="N276" s="93" t="n"/>
      <c r="O276" s="93" t="n"/>
      <c r="P276" s="93" t="n"/>
      <c r="Q276" s="93" t="n"/>
      <c r="R276" s="93" t="n"/>
      <c r="S276" s="93" t="n"/>
      <c r="T276" s="93" t="n"/>
      <c r="U276" s="93" t="n"/>
      <c r="V276" s="93" t="n"/>
      <c r="W276" s="93" t="n"/>
      <c r="X276" s="93" t="n"/>
      <c r="Y276" s="93" t="n"/>
      <c r="Z276" s="93" t="n"/>
    </row>
    <row r="277">
      <c r="A277" s="93" t="n"/>
      <c r="B277" s="93" t="n"/>
      <c r="C277" s="93" t="n"/>
      <c r="D277" s="93" t="n"/>
      <c r="E277" s="93" t="n"/>
      <c r="F277" s="93" t="n"/>
      <c r="G277" s="93" t="n"/>
      <c r="H277" s="93" t="n"/>
      <c r="I277" s="93" t="n"/>
      <c r="J277" s="93" t="n"/>
      <c r="K277" s="93" t="n"/>
      <c r="L277" s="93" t="n"/>
      <c r="M277" s="93" t="n"/>
      <c r="N277" s="93" t="n"/>
      <c r="O277" s="93" t="n"/>
      <c r="P277" s="93" t="n"/>
      <c r="Q277" s="93" t="n"/>
      <c r="R277" s="93" t="n"/>
      <c r="S277" s="93" t="n"/>
      <c r="T277" s="93" t="n"/>
      <c r="U277" s="93" t="n"/>
      <c r="V277" s="93" t="n"/>
      <c r="W277" s="93" t="n"/>
      <c r="X277" s="93" t="n"/>
      <c r="Y277" s="93" t="n"/>
      <c r="Z277" s="93" t="n"/>
    </row>
    <row r="278">
      <c r="A278" s="93" t="n"/>
      <c r="B278" s="93" t="n"/>
      <c r="C278" s="93" t="n"/>
      <c r="D278" s="93" t="n"/>
      <c r="E278" s="93" t="n"/>
      <c r="F278" s="93" t="n"/>
      <c r="G278" s="93" t="n"/>
      <c r="H278" s="93" t="n"/>
      <c r="I278" s="93" t="n"/>
      <c r="J278" s="93" t="n"/>
      <c r="K278" s="93" t="n"/>
      <c r="L278" s="93" t="n"/>
      <c r="M278" s="93" t="n"/>
      <c r="N278" s="93" t="n"/>
      <c r="O278" s="93" t="n"/>
      <c r="P278" s="93" t="n"/>
      <c r="Q278" s="93" t="n"/>
      <c r="R278" s="93" t="n"/>
      <c r="S278" s="93" t="n"/>
      <c r="T278" s="93" t="n"/>
      <c r="U278" s="93" t="n"/>
      <c r="V278" s="93" t="n"/>
      <c r="W278" s="93" t="n"/>
      <c r="X278" s="93" t="n"/>
      <c r="Y278" s="93" t="n"/>
      <c r="Z278" s="93" t="n"/>
    </row>
    <row r="279">
      <c r="A279" s="93" t="n"/>
      <c r="B279" s="93" t="n"/>
      <c r="C279" s="93" t="n"/>
      <c r="D279" s="93" t="n"/>
      <c r="E279" s="93" t="n"/>
      <c r="F279" s="93" t="n"/>
      <c r="G279" s="93" t="n"/>
      <c r="H279" s="93" t="n"/>
      <c r="I279" s="93" t="n"/>
      <c r="J279" s="93" t="n"/>
      <c r="K279" s="93" t="n"/>
      <c r="L279" s="93" t="n"/>
      <c r="M279" s="93" t="n"/>
      <c r="N279" s="93" t="n"/>
      <c r="O279" s="93" t="n"/>
      <c r="P279" s="93" t="n"/>
      <c r="Q279" s="93" t="n"/>
      <c r="R279" s="93" t="n"/>
      <c r="S279" s="93" t="n"/>
      <c r="T279" s="93" t="n"/>
      <c r="U279" s="93" t="n"/>
      <c r="V279" s="93" t="n"/>
      <c r="W279" s="93" t="n"/>
      <c r="X279" s="93" t="n"/>
      <c r="Y279" s="93" t="n"/>
      <c r="Z279" s="93" t="n"/>
    </row>
    <row r="280">
      <c r="A280" s="93" t="n"/>
      <c r="B280" s="93" t="n"/>
      <c r="C280" s="93" t="n"/>
      <c r="D280" s="93" t="n"/>
      <c r="E280" s="93" t="n"/>
      <c r="F280" s="93" t="n"/>
      <c r="G280" s="93" t="n"/>
      <c r="H280" s="93" t="n"/>
      <c r="I280" s="93" t="n"/>
      <c r="J280" s="93" t="n"/>
      <c r="K280" s="93" t="n"/>
      <c r="L280" s="93" t="n"/>
      <c r="M280" s="93" t="n"/>
      <c r="N280" s="93" t="n"/>
      <c r="O280" s="93" t="n"/>
      <c r="P280" s="93" t="n"/>
      <c r="Q280" s="93" t="n"/>
      <c r="R280" s="93" t="n"/>
      <c r="S280" s="93" t="n"/>
      <c r="T280" s="93" t="n"/>
      <c r="U280" s="93" t="n"/>
      <c r="V280" s="93" t="n"/>
      <c r="W280" s="93" t="n"/>
      <c r="X280" s="93" t="n"/>
      <c r="Y280" s="93" t="n"/>
      <c r="Z280" s="93" t="n"/>
    </row>
    <row r="281">
      <c r="A281" s="93" t="n"/>
      <c r="B281" s="93" t="n"/>
      <c r="C281" s="93" t="n"/>
      <c r="D281" s="93" t="n"/>
      <c r="E281" s="93" t="n"/>
      <c r="F281" s="93" t="n"/>
      <c r="G281" s="93" t="n"/>
      <c r="H281" s="93" t="n"/>
      <c r="I281" s="93" t="n"/>
      <c r="J281" s="93" t="n"/>
      <c r="K281" s="93" t="n"/>
      <c r="L281" s="93" t="n"/>
      <c r="M281" s="93" t="n"/>
      <c r="N281" s="93" t="n"/>
      <c r="O281" s="93" t="n"/>
      <c r="P281" s="93" t="n"/>
      <c r="Q281" s="93" t="n"/>
      <c r="R281" s="93" t="n"/>
      <c r="S281" s="93" t="n"/>
      <c r="T281" s="93" t="n"/>
      <c r="U281" s="93" t="n"/>
      <c r="V281" s="93" t="n"/>
      <c r="W281" s="93" t="n"/>
      <c r="X281" s="93" t="n"/>
      <c r="Y281" s="93" t="n"/>
      <c r="Z281" s="93" t="n"/>
    </row>
    <row r="282">
      <c r="A282" s="93" t="n"/>
      <c r="B282" s="93" t="n"/>
      <c r="C282" s="93" t="n"/>
      <c r="D282" s="93" t="n"/>
      <c r="E282" s="93" t="n"/>
      <c r="F282" s="93" t="n"/>
      <c r="G282" s="93" t="n"/>
      <c r="H282" s="93" t="n"/>
      <c r="I282" s="93" t="n"/>
      <c r="J282" s="93" t="n"/>
      <c r="K282" s="93" t="n"/>
      <c r="L282" s="93" t="n"/>
      <c r="M282" s="93" t="n"/>
      <c r="N282" s="93" t="n"/>
      <c r="O282" s="93" t="n"/>
      <c r="P282" s="93" t="n"/>
      <c r="Q282" s="93" t="n"/>
      <c r="R282" s="93" t="n"/>
      <c r="S282" s="93" t="n"/>
      <c r="T282" s="93" t="n"/>
      <c r="U282" s="93" t="n"/>
      <c r="V282" s="93" t="n"/>
      <c r="W282" s="93" t="n"/>
      <c r="X282" s="93" t="n"/>
      <c r="Y282" s="93" t="n"/>
      <c r="Z282" s="93" t="n"/>
    </row>
    <row r="283">
      <c r="A283" s="93" t="n"/>
      <c r="B283" s="93" t="n"/>
      <c r="C283" s="93" t="n"/>
      <c r="D283" s="93" t="n"/>
      <c r="E283" s="93" t="n"/>
      <c r="F283" s="93" t="n"/>
      <c r="G283" s="93" t="n"/>
      <c r="H283" s="93" t="n"/>
      <c r="I283" s="93" t="n"/>
      <c r="J283" s="93" t="n"/>
      <c r="K283" s="93" t="n"/>
      <c r="L283" s="93" t="n"/>
      <c r="M283" s="93" t="n"/>
      <c r="N283" s="93" t="n"/>
      <c r="O283" s="93" t="n"/>
      <c r="P283" s="93" t="n"/>
      <c r="Q283" s="93" t="n"/>
      <c r="R283" s="93" t="n"/>
      <c r="S283" s="93" t="n"/>
      <c r="T283" s="93" t="n"/>
      <c r="U283" s="93" t="n"/>
      <c r="V283" s="93" t="n"/>
      <c r="W283" s="93" t="n"/>
      <c r="X283" s="93" t="n"/>
      <c r="Y283" s="93" t="n"/>
      <c r="Z283" s="93" t="n"/>
    </row>
    <row r="284">
      <c r="A284" s="93" t="n"/>
      <c r="B284" s="93" t="n"/>
      <c r="C284" s="93" t="n"/>
      <c r="D284" s="93" t="n"/>
      <c r="E284" s="93" t="n"/>
      <c r="F284" s="93" t="n"/>
      <c r="G284" s="93" t="n"/>
      <c r="H284" s="93" t="n"/>
      <c r="I284" s="93" t="n"/>
      <c r="J284" s="93" t="n"/>
      <c r="K284" s="93" t="n"/>
      <c r="L284" s="93" t="n"/>
      <c r="M284" s="93" t="n"/>
      <c r="N284" s="93" t="n"/>
      <c r="O284" s="93" t="n"/>
      <c r="P284" s="93" t="n"/>
      <c r="Q284" s="93" t="n"/>
      <c r="R284" s="93" t="n"/>
      <c r="S284" s="93" t="n"/>
      <c r="T284" s="93" t="n"/>
      <c r="U284" s="93" t="n"/>
      <c r="V284" s="93" t="n"/>
      <c r="W284" s="93" t="n"/>
      <c r="X284" s="93" t="n"/>
      <c r="Y284" s="93" t="n"/>
      <c r="Z284" s="93" t="n"/>
    </row>
    <row r="285">
      <c r="A285" s="93" t="n"/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93" t="n"/>
      <c r="K285" s="93" t="n"/>
      <c r="L285" s="93" t="n"/>
      <c r="M285" s="93" t="n"/>
      <c r="N285" s="93" t="n"/>
      <c r="O285" s="93" t="n"/>
      <c r="P285" s="93" t="n"/>
      <c r="Q285" s="93" t="n"/>
      <c r="R285" s="93" t="n"/>
      <c r="S285" s="93" t="n"/>
      <c r="T285" s="93" t="n"/>
      <c r="U285" s="93" t="n"/>
      <c r="V285" s="93" t="n"/>
      <c r="W285" s="93" t="n"/>
      <c r="X285" s="93" t="n"/>
      <c r="Y285" s="93" t="n"/>
      <c r="Z285" s="93" t="n"/>
    </row>
    <row r="286">
      <c r="A286" s="93" t="n"/>
      <c r="B286" s="93" t="n"/>
      <c r="C286" s="93" t="n"/>
      <c r="D286" s="93" t="n"/>
      <c r="E286" s="93" t="n"/>
      <c r="F286" s="93" t="n"/>
      <c r="G286" s="93" t="n"/>
      <c r="H286" s="93" t="n"/>
      <c r="I286" s="93" t="n"/>
      <c r="J286" s="93" t="n"/>
      <c r="K286" s="93" t="n"/>
      <c r="L286" s="93" t="n"/>
      <c r="M286" s="93" t="n"/>
      <c r="N286" s="93" t="n"/>
      <c r="O286" s="93" t="n"/>
      <c r="P286" s="93" t="n"/>
      <c r="Q286" s="93" t="n"/>
      <c r="R286" s="93" t="n"/>
      <c r="S286" s="93" t="n"/>
      <c r="T286" s="93" t="n"/>
      <c r="U286" s="93" t="n"/>
      <c r="V286" s="93" t="n"/>
      <c r="W286" s="93" t="n"/>
      <c r="X286" s="93" t="n"/>
      <c r="Y286" s="93" t="n"/>
      <c r="Z286" s="93" t="n"/>
    </row>
    <row r="287">
      <c r="A287" s="93" t="n"/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93" t="n"/>
      <c r="K287" s="93" t="n"/>
      <c r="L287" s="93" t="n"/>
      <c r="M287" s="93" t="n"/>
      <c r="N287" s="93" t="n"/>
      <c r="O287" s="93" t="n"/>
      <c r="P287" s="93" t="n"/>
      <c r="Q287" s="93" t="n"/>
      <c r="R287" s="93" t="n"/>
      <c r="S287" s="93" t="n"/>
      <c r="T287" s="93" t="n"/>
      <c r="U287" s="93" t="n"/>
      <c r="V287" s="93" t="n"/>
      <c r="W287" s="93" t="n"/>
      <c r="X287" s="93" t="n"/>
      <c r="Y287" s="93" t="n"/>
      <c r="Z287" s="93" t="n"/>
    </row>
    <row r="288">
      <c r="A288" s="93" t="n"/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93" t="n"/>
      <c r="K288" s="93" t="n"/>
      <c r="L288" s="93" t="n"/>
      <c r="M288" s="93" t="n"/>
      <c r="N288" s="93" t="n"/>
      <c r="O288" s="93" t="n"/>
      <c r="P288" s="93" t="n"/>
      <c r="Q288" s="93" t="n"/>
      <c r="R288" s="93" t="n"/>
      <c r="S288" s="93" t="n"/>
      <c r="T288" s="93" t="n"/>
      <c r="U288" s="93" t="n"/>
      <c r="V288" s="93" t="n"/>
      <c r="W288" s="93" t="n"/>
      <c r="X288" s="93" t="n"/>
      <c r="Y288" s="93" t="n"/>
      <c r="Z288" s="93" t="n"/>
    </row>
    <row r="289">
      <c r="A289" s="93" t="n"/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93" t="n"/>
      <c r="K289" s="93" t="n"/>
      <c r="L289" s="93" t="n"/>
      <c r="M289" s="93" t="n"/>
      <c r="N289" s="93" t="n"/>
      <c r="O289" s="93" t="n"/>
      <c r="P289" s="93" t="n"/>
      <c r="Q289" s="93" t="n"/>
      <c r="R289" s="93" t="n"/>
      <c r="S289" s="93" t="n"/>
      <c r="T289" s="93" t="n"/>
      <c r="U289" s="93" t="n"/>
      <c r="V289" s="93" t="n"/>
      <c r="W289" s="93" t="n"/>
      <c r="X289" s="93" t="n"/>
      <c r="Y289" s="93" t="n"/>
      <c r="Z289" s="93" t="n"/>
    </row>
    <row r="290">
      <c r="A290" s="93" t="n"/>
      <c r="B290" s="93" t="n"/>
      <c r="C290" s="93" t="n"/>
      <c r="D290" s="93" t="n"/>
      <c r="E290" s="93" t="n"/>
      <c r="F290" s="93" t="n"/>
      <c r="G290" s="93" t="n"/>
      <c r="H290" s="93" t="n"/>
      <c r="I290" s="93" t="n"/>
      <c r="J290" s="93" t="n"/>
      <c r="K290" s="93" t="n"/>
      <c r="L290" s="93" t="n"/>
      <c r="M290" s="93" t="n"/>
      <c r="N290" s="93" t="n"/>
      <c r="O290" s="93" t="n"/>
      <c r="P290" s="93" t="n"/>
      <c r="Q290" s="93" t="n"/>
      <c r="R290" s="93" t="n"/>
      <c r="S290" s="93" t="n"/>
      <c r="T290" s="93" t="n"/>
      <c r="U290" s="93" t="n"/>
      <c r="V290" s="93" t="n"/>
      <c r="W290" s="93" t="n"/>
      <c r="X290" s="93" t="n"/>
      <c r="Y290" s="93" t="n"/>
      <c r="Z290" s="93" t="n"/>
    </row>
    <row r="291">
      <c r="A291" s="93" t="n"/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93" t="n"/>
      <c r="K291" s="93" t="n"/>
      <c r="L291" s="93" t="n"/>
      <c r="M291" s="93" t="n"/>
      <c r="N291" s="93" t="n"/>
      <c r="O291" s="93" t="n"/>
      <c r="P291" s="93" t="n"/>
      <c r="Q291" s="93" t="n"/>
      <c r="R291" s="93" t="n"/>
      <c r="S291" s="93" t="n"/>
      <c r="T291" s="93" t="n"/>
      <c r="U291" s="93" t="n"/>
      <c r="V291" s="93" t="n"/>
      <c r="W291" s="93" t="n"/>
      <c r="X291" s="93" t="n"/>
      <c r="Y291" s="93" t="n"/>
      <c r="Z291" s="93" t="n"/>
    </row>
    <row r="292">
      <c r="A292" s="93" t="n"/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93" t="n"/>
      <c r="K292" s="93" t="n"/>
      <c r="L292" s="93" t="n"/>
      <c r="M292" s="93" t="n"/>
      <c r="N292" s="93" t="n"/>
      <c r="O292" s="93" t="n"/>
      <c r="P292" s="93" t="n"/>
      <c r="Q292" s="93" t="n"/>
      <c r="R292" s="93" t="n"/>
      <c r="S292" s="93" t="n"/>
      <c r="T292" s="93" t="n"/>
      <c r="U292" s="93" t="n"/>
      <c r="V292" s="93" t="n"/>
      <c r="W292" s="93" t="n"/>
      <c r="X292" s="93" t="n"/>
      <c r="Y292" s="93" t="n"/>
      <c r="Z292" s="93" t="n"/>
    </row>
    <row r="293">
      <c r="A293" s="93" t="n"/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93" t="n"/>
      <c r="K293" s="93" t="n"/>
      <c r="L293" s="93" t="n"/>
      <c r="M293" s="93" t="n"/>
      <c r="N293" s="93" t="n"/>
      <c r="O293" s="93" t="n"/>
      <c r="P293" s="93" t="n"/>
      <c r="Q293" s="93" t="n"/>
      <c r="R293" s="93" t="n"/>
      <c r="S293" s="93" t="n"/>
      <c r="T293" s="93" t="n"/>
      <c r="U293" s="93" t="n"/>
      <c r="V293" s="93" t="n"/>
      <c r="W293" s="93" t="n"/>
      <c r="X293" s="93" t="n"/>
      <c r="Y293" s="93" t="n"/>
      <c r="Z293" s="93" t="n"/>
    </row>
    <row r="294">
      <c r="A294" s="93" t="n"/>
      <c r="B294" s="93" t="n"/>
      <c r="C294" s="93" t="n"/>
      <c r="D294" s="93" t="n"/>
      <c r="E294" s="93" t="n"/>
      <c r="F294" s="93" t="n"/>
      <c r="G294" s="93" t="n"/>
      <c r="H294" s="93" t="n"/>
      <c r="I294" s="93" t="n"/>
      <c r="J294" s="93" t="n"/>
      <c r="K294" s="93" t="n"/>
      <c r="L294" s="93" t="n"/>
      <c r="M294" s="93" t="n"/>
      <c r="N294" s="93" t="n"/>
      <c r="O294" s="93" t="n"/>
      <c r="P294" s="93" t="n"/>
      <c r="Q294" s="93" t="n"/>
      <c r="R294" s="93" t="n"/>
      <c r="S294" s="93" t="n"/>
      <c r="T294" s="93" t="n"/>
      <c r="U294" s="93" t="n"/>
      <c r="V294" s="93" t="n"/>
      <c r="W294" s="93" t="n"/>
      <c r="X294" s="93" t="n"/>
      <c r="Y294" s="93" t="n"/>
      <c r="Z294" s="93" t="n"/>
    </row>
    <row r="295">
      <c r="A295" s="93" t="n"/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93" t="n"/>
      <c r="K295" s="93" t="n"/>
      <c r="L295" s="93" t="n"/>
      <c r="M295" s="93" t="n"/>
      <c r="N295" s="93" t="n"/>
      <c r="O295" s="93" t="n"/>
      <c r="P295" s="93" t="n"/>
      <c r="Q295" s="93" t="n"/>
      <c r="R295" s="93" t="n"/>
      <c r="S295" s="93" t="n"/>
      <c r="T295" s="93" t="n"/>
      <c r="U295" s="93" t="n"/>
      <c r="V295" s="93" t="n"/>
      <c r="W295" s="93" t="n"/>
      <c r="X295" s="93" t="n"/>
      <c r="Y295" s="93" t="n"/>
      <c r="Z295" s="93" t="n"/>
    </row>
    <row r="296">
      <c r="A296" s="93" t="n"/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93" t="n"/>
      <c r="K296" s="93" t="n"/>
      <c r="L296" s="93" t="n"/>
      <c r="M296" s="93" t="n"/>
      <c r="N296" s="93" t="n"/>
      <c r="O296" s="93" t="n"/>
      <c r="P296" s="93" t="n"/>
      <c r="Q296" s="93" t="n"/>
      <c r="R296" s="93" t="n"/>
      <c r="S296" s="93" t="n"/>
      <c r="T296" s="93" t="n"/>
      <c r="U296" s="93" t="n"/>
      <c r="V296" s="93" t="n"/>
      <c r="W296" s="93" t="n"/>
      <c r="X296" s="93" t="n"/>
      <c r="Y296" s="93" t="n"/>
      <c r="Z296" s="93" t="n"/>
    </row>
    <row r="297">
      <c r="A297" s="93" t="n"/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93" t="n"/>
      <c r="K297" s="93" t="n"/>
      <c r="L297" s="93" t="n"/>
      <c r="M297" s="93" t="n"/>
      <c r="N297" s="93" t="n"/>
      <c r="O297" s="93" t="n"/>
      <c r="P297" s="93" t="n"/>
      <c r="Q297" s="93" t="n"/>
      <c r="R297" s="93" t="n"/>
      <c r="S297" s="93" t="n"/>
      <c r="T297" s="93" t="n"/>
      <c r="U297" s="93" t="n"/>
      <c r="V297" s="93" t="n"/>
      <c r="W297" s="93" t="n"/>
      <c r="X297" s="93" t="n"/>
      <c r="Y297" s="93" t="n"/>
      <c r="Z297" s="93" t="n"/>
    </row>
    <row r="298">
      <c r="A298" s="93" t="n"/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93" t="n"/>
      <c r="K298" s="93" t="n"/>
      <c r="L298" s="93" t="n"/>
      <c r="M298" s="93" t="n"/>
      <c r="N298" s="93" t="n"/>
      <c r="O298" s="93" t="n"/>
      <c r="P298" s="93" t="n"/>
      <c r="Q298" s="93" t="n"/>
      <c r="R298" s="93" t="n"/>
      <c r="S298" s="93" t="n"/>
      <c r="T298" s="93" t="n"/>
      <c r="U298" s="93" t="n"/>
      <c r="V298" s="93" t="n"/>
      <c r="W298" s="93" t="n"/>
      <c r="X298" s="93" t="n"/>
      <c r="Y298" s="93" t="n"/>
      <c r="Z298" s="93" t="n"/>
    </row>
    <row r="299">
      <c r="A299" s="93" t="n"/>
      <c r="B299" s="93" t="n"/>
      <c r="C299" s="93" t="n"/>
      <c r="D299" s="93" t="n"/>
      <c r="E299" s="93" t="n"/>
      <c r="F299" s="93" t="n"/>
      <c r="G299" s="93" t="n"/>
      <c r="H299" s="93" t="n"/>
      <c r="I299" s="93" t="n"/>
      <c r="J299" s="93" t="n"/>
      <c r="K299" s="93" t="n"/>
      <c r="L299" s="93" t="n"/>
      <c r="M299" s="93" t="n"/>
      <c r="N299" s="93" t="n"/>
      <c r="O299" s="93" t="n"/>
      <c r="P299" s="93" t="n"/>
      <c r="Q299" s="93" t="n"/>
      <c r="R299" s="93" t="n"/>
      <c r="S299" s="93" t="n"/>
      <c r="T299" s="93" t="n"/>
      <c r="U299" s="93" t="n"/>
      <c r="V299" s="93" t="n"/>
      <c r="W299" s="93" t="n"/>
      <c r="X299" s="93" t="n"/>
      <c r="Y299" s="93" t="n"/>
      <c r="Z299" s="93" t="n"/>
    </row>
    <row r="300">
      <c r="A300" s="93" t="n"/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93" t="n"/>
      <c r="K300" s="93" t="n"/>
      <c r="L300" s="93" t="n"/>
      <c r="M300" s="93" t="n"/>
      <c r="N300" s="93" t="n"/>
      <c r="O300" s="93" t="n"/>
      <c r="P300" s="93" t="n"/>
      <c r="Q300" s="93" t="n"/>
      <c r="R300" s="93" t="n"/>
      <c r="S300" s="93" t="n"/>
      <c r="T300" s="93" t="n"/>
      <c r="U300" s="93" t="n"/>
      <c r="V300" s="93" t="n"/>
      <c r="W300" s="93" t="n"/>
      <c r="X300" s="93" t="n"/>
      <c r="Y300" s="93" t="n"/>
      <c r="Z300" s="93" t="n"/>
    </row>
    <row r="301">
      <c r="A301" s="93" t="n"/>
      <c r="B301" s="93" t="n"/>
      <c r="C301" s="93" t="n"/>
      <c r="D301" s="93" t="n"/>
      <c r="E301" s="93" t="n"/>
      <c r="F301" s="93" t="n"/>
      <c r="G301" s="93" t="n"/>
      <c r="H301" s="93" t="n"/>
      <c r="I301" s="93" t="n"/>
      <c r="J301" s="93" t="n"/>
      <c r="K301" s="93" t="n"/>
      <c r="L301" s="93" t="n"/>
      <c r="M301" s="93" t="n"/>
      <c r="N301" s="93" t="n"/>
      <c r="O301" s="93" t="n"/>
      <c r="P301" s="93" t="n"/>
      <c r="Q301" s="93" t="n"/>
      <c r="R301" s="93" t="n"/>
      <c r="S301" s="93" t="n"/>
      <c r="T301" s="93" t="n"/>
      <c r="U301" s="93" t="n"/>
      <c r="V301" s="93" t="n"/>
      <c r="W301" s="93" t="n"/>
      <c r="X301" s="93" t="n"/>
      <c r="Y301" s="93" t="n"/>
      <c r="Z301" s="93" t="n"/>
    </row>
    <row r="302">
      <c r="A302" s="93" t="n"/>
      <c r="B302" s="93" t="n"/>
      <c r="C302" s="93" t="n"/>
      <c r="D302" s="93" t="n"/>
      <c r="E302" s="93" t="n"/>
      <c r="F302" s="93" t="n"/>
      <c r="G302" s="93" t="n"/>
      <c r="H302" s="93" t="n"/>
      <c r="I302" s="93" t="n"/>
      <c r="J302" s="93" t="n"/>
      <c r="K302" s="93" t="n"/>
      <c r="L302" s="93" t="n"/>
      <c r="M302" s="93" t="n"/>
      <c r="N302" s="93" t="n"/>
      <c r="O302" s="93" t="n"/>
      <c r="P302" s="93" t="n"/>
      <c r="Q302" s="93" t="n"/>
      <c r="R302" s="93" t="n"/>
      <c r="S302" s="93" t="n"/>
      <c r="T302" s="93" t="n"/>
      <c r="U302" s="93" t="n"/>
      <c r="V302" s="93" t="n"/>
      <c r="W302" s="93" t="n"/>
      <c r="X302" s="93" t="n"/>
      <c r="Y302" s="93" t="n"/>
      <c r="Z302" s="93" t="n"/>
    </row>
    <row r="303">
      <c r="A303" s="93" t="n"/>
      <c r="B303" s="93" t="n"/>
      <c r="C303" s="93" t="n"/>
      <c r="D303" s="93" t="n"/>
      <c r="E303" s="93" t="n"/>
      <c r="F303" s="93" t="n"/>
      <c r="G303" s="93" t="n"/>
      <c r="H303" s="93" t="n"/>
      <c r="I303" s="93" t="n"/>
      <c r="J303" s="93" t="n"/>
      <c r="K303" s="93" t="n"/>
      <c r="L303" s="93" t="n"/>
      <c r="M303" s="93" t="n"/>
      <c r="N303" s="93" t="n"/>
      <c r="O303" s="93" t="n"/>
      <c r="P303" s="93" t="n"/>
      <c r="Q303" s="93" t="n"/>
      <c r="R303" s="93" t="n"/>
      <c r="S303" s="93" t="n"/>
      <c r="T303" s="93" t="n"/>
      <c r="U303" s="93" t="n"/>
      <c r="V303" s="93" t="n"/>
      <c r="W303" s="93" t="n"/>
      <c r="X303" s="93" t="n"/>
      <c r="Y303" s="93" t="n"/>
      <c r="Z303" s="93" t="n"/>
    </row>
    <row r="304">
      <c r="A304" s="93" t="n"/>
      <c r="B304" s="93" t="n"/>
      <c r="C304" s="93" t="n"/>
      <c r="D304" s="93" t="n"/>
      <c r="E304" s="93" t="n"/>
      <c r="F304" s="93" t="n"/>
      <c r="G304" s="93" t="n"/>
      <c r="H304" s="93" t="n"/>
      <c r="I304" s="93" t="n"/>
      <c r="J304" s="93" t="n"/>
      <c r="K304" s="93" t="n"/>
      <c r="L304" s="93" t="n"/>
      <c r="M304" s="93" t="n"/>
      <c r="N304" s="93" t="n"/>
      <c r="O304" s="93" t="n"/>
      <c r="P304" s="93" t="n"/>
      <c r="Q304" s="93" t="n"/>
      <c r="R304" s="93" t="n"/>
      <c r="S304" s="93" t="n"/>
      <c r="T304" s="93" t="n"/>
      <c r="U304" s="93" t="n"/>
      <c r="V304" s="93" t="n"/>
      <c r="W304" s="93" t="n"/>
      <c r="X304" s="93" t="n"/>
      <c r="Y304" s="93" t="n"/>
      <c r="Z304" s="93" t="n"/>
    </row>
    <row r="305">
      <c r="A305" s="93" t="n"/>
      <c r="B305" s="93" t="n"/>
      <c r="C305" s="93" t="n"/>
      <c r="D305" s="93" t="n"/>
      <c r="E305" s="93" t="n"/>
      <c r="F305" s="93" t="n"/>
      <c r="G305" s="93" t="n"/>
      <c r="H305" s="93" t="n"/>
      <c r="I305" s="93" t="n"/>
      <c r="J305" s="93" t="n"/>
      <c r="K305" s="93" t="n"/>
      <c r="L305" s="93" t="n"/>
      <c r="M305" s="93" t="n"/>
      <c r="N305" s="93" t="n"/>
      <c r="O305" s="93" t="n"/>
      <c r="P305" s="93" t="n"/>
      <c r="Q305" s="93" t="n"/>
      <c r="R305" s="93" t="n"/>
      <c r="S305" s="93" t="n"/>
      <c r="T305" s="93" t="n"/>
      <c r="U305" s="93" t="n"/>
      <c r="V305" s="93" t="n"/>
      <c r="W305" s="93" t="n"/>
      <c r="X305" s="93" t="n"/>
      <c r="Y305" s="93" t="n"/>
      <c r="Z305" s="93" t="n"/>
    </row>
    <row r="306">
      <c r="A306" s="93" t="n"/>
      <c r="B306" s="93" t="n"/>
      <c r="C306" s="93" t="n"/>
      <c r="D306" s="93" t="n"/>
      <c r="E306" s="93" t="n"/>
      <c r="F306" s="93" t="n"/>
      <c r="G306" s="93" t="n"/>
      <c r="H306" s="93" t="n"/>
      <c r="I306" s="93" t="n"/>
      <c r="J306" s="93" t="n"/>
      <c r="K306" s="93" t="n"/>
      <c r="L306" s="93" t="n"/>
      <c r="M306" s="93" t="n"/>
      <c r="N306" s="93" t="n"/>
      <c r="O306" s="93" t="n"/>
      <c r="P306" s="93" t="n"/>
      <c r="Q306" s="93" t="n"/>
      <c r="R306" s="93" t="n"/>
      <c r="S306" s="93" t="n"/>
      <c r="T306" s="93" t="n"/>
      <c r="U306" s="93" t="n"/>
      <c r="V306" s="93" t="n"/>
      <c r="W306" s="93" t="n"/>
      <c r="X306" s="93" t="n"/>
      <c r="Y306" s="93" t="n"/>
      <c r="Z306" s="93" t="n"/>
    </row>
    <row r="307">
      <c r="A307" s="93" t="n"/>
      <c r="B307" s="93" t="n"/>
      <c r="C307" s="93" t="n"/>
      <c r="D307" s="93" t="n"/>
      <c r="E307" s="93" t="n"/>
      <c r="F307" s="93" t="n"/>
      <c r="G307" s="93" t="n"/>
      <c r="H307" s="93" t="n"/>
      <c r="I307" s="93" t="n"/>
      <c r="J307" s="93" t="n"/>
      <c r="K307" s="93" t="n"/>
      <c r="L307" s="93" t="n"/>
      <c r="M307" s="93" t="n"/>
      <c r="N307" s="93" t="n"/>
      <c r="O307" s="93" t="n"/>
      <c r="P307" s="93" t="n"/>
      <c r="Q307" s="93" t="n"/>
      <c r="R307" s="93" t="n"/>
      <c r="S307" s="93" t="n"/>
      <c r="T307" s="93" t="n"/>
      <c r="U307" s="93" t="n"/>
      <c r="V307" s="93" t="n"/>
      <c r="W307" s="93" t="n"/>
      <c r="X307" s="93" t="n"/>
      <c r="Y307" s="93" t="n"/>
      <c r="Z307" s="93" t="n"/>
    </row>
    <row r="308">
      <c r="A308" s="93" t="n"/>
      <c r="B308" s="93" t="n"/>
      <c r="C308" s="93" t="n"/>
      <c r="D308" s="93" t="n"/>
      <c r="E308" s="93" t="n"/>
      <c r="F308" s="93" t="n"/>
      <c r="G308" s="93" t="n"/>
      <c r="H308" s="93" t="n"/>
      <c r="I308" s="93" t="n"/>
      <c r="J308" s="93" t="n"/>
      <c r="K308" s="93" t="n"/>
      <c r="L308" s="93" t="n"/>
      <c r="M308" s="93" t="n"/>
      <c r="N308" s="93" t="n"/>
      <c r="O308" s="93" t="n"/>
      <c r="P308" s="93" t="n"/>
      <c r="Q308" s="93" t="n"/>
      <c r="R308" s="93" t="n"/>
      <c r="S308" s="93" t="n"/>
      <c r="T308" s="93" t="n"/>
      <c r="U308" s="93" t="n"/>
      <c r="V308" s="93" t="n"/>
      <c r="W308" s="93" t="n"/>
      <c r="X308" s="93" t="n"/>
      <c r="Y308" s="93" t="n"/>
      <c r="Z308" s="93" t="n"/>
    </row>
    <row r="309">
      <c r="A309" s="93" t="n"/>
      <c r="B309" s="93" t="n"/>
      <c r="C309" s="93" t="n"/>
      <c r="D309" s="93" t="n"/>
      <c r="E309" s="93" t="n"/>
      <c r="F309" s="93" t="n"/>
      <c r="G309" s="93" t="n"/>
      <c r="H309" s="93" t="n"/>
      <c r="I309" s="93" t="n"/>
      <c r="J309" s="93" t="n"/>
      <c r="K309" s="93" t="n"/>
      <c r="L309" s="93" t="n"/>
      <c r="M309" s="93" t="n"/>
      <c r="N309" s="93" t="n"/>
      <c r="O309" s="93" t="n"/>
      <c r="P309" s="93" t="n"/>
      <c r="Q309" s="93" t="n"/>
      <c r="R309" s="93" t="n"/>
      <c r="S309" s="93" t="n"/>
      <c r="T309" s="93" t="n"/>
      <c r="U309" s="93" t="n"/>
      <c r="V309" s="93" t="n"/>
      <c r="W309" s="93" t="n"/>
      <c r="X309" s="93" t="n"/>
      <c r="Y309" s="93" t="n"/>
      <c r="Z309" s="93" t="n"/>
    </row>
    <row r="310">
      <c r="A310" s="93" t="n"/>
      <c r="B310" s="93" t="n"/>
      <c r="C310" s="93" t="n"/>
      <c r="D310" s="93" t="n"/>
      <c r="E310" s="93" t="n"/>
      <c r="F310" s="93" t="n"/>
      <c r="G310" s="93" t="n"/>
      <c r="H310" s="93" t="n"/>
      <c r="I310" s="93" t="n"/>
      <c r="J310" s="93" t="n"/>
      <c r="K310" s="93" t="n"/>
      <c r="L310" s="93" t="n"/>
      <c r="M310" s="93" t="n"/>
      <c r="N310" s="93" t="n"/>
      <c r="O310" s="93" t="n"/>
      <c r="P310" s="93" t="n"/>
      <c r="Q310" s="93" t="n"/>
      <c r="R310" s="93" t="n"/>
      <c r="S310" s="93" t="n"/>
      <c r="T310" s="93" t="n"/>
      <c r="U310" s="93" t="n"/>
      <c r="V310" s="93" t="n"/>
      <c r="W310" s="93" t="n"/>
      <c r="X310" s="93" t="n"/>
      <c r="Y310" s="93" t="n"/>
      <c r="Z310" s="93" t="n"/>
    </row>
    <row r="311">
      <c r="A311" s="93" t="n"/>
      <c r="B311" s="93" t="n"/>
      <c r="C311" s="93" t="n"/>
      <c r="D311" s="93" t="n"/>
      <c r="E311" s="93" t="n"/>
      <c r="F311" s="93" t="n"/>
      <c r="G311" s="93" t="n"/>
      <c r="H311" s="93" t="n"/>
      <c r="I311" s="93" t="n"/>
      <c r="J311" s="93" t="n"/>
      <c r="K311" s="93" t="n"/>
      <c r="L311" s="93" t="n"/>
      <c r="M311" s="93" t="n"/>
      <c r="N311" s="93" t="n"/>
      <c r="O311" s="93" t="n"/>
      <c r="P311" s="93" t="n"/>
      <c r="Q311" s="93" t="n"/>
      <c r="R311" s="93" t="n"/>
      <c r="S311" s="93" t="n"/>
      <c r="T311" s="93" t="n"/>
      <c r="U311" s="93" t="n"/>
      <c r="V311" s="93" t="n"/>
      <c r="W311" s="93" t="n"/>
      <c r="X311" s="93" t="n"/>
      <c r="Y311" s="93" t="n"/>
      <c r="Z311" s="93" t="n"/>
    </row>
    <row r="312">
      <c r="A312" s="93" t="n"/>
      <c r="B312" s="93" t="n"/>
      <c r="C312" s="93" t="n"/>
      <c r="D312" s="93" t="n"/>
      <c r="E312" s="93" t="n"/>
      <c r="F312" s="93" t="n"/>
      <c r="G312" s="93" t="n"/>
      <c r="H312" s="93" t="n"/>
      <c r="I312" s="93" t="n"/>
      <c r="J312" s="93" t="n"/>
      <c r="K312" s="93" t="n"/>
      <c r="L312" s="93" t="n"/>
      <c r="M312" s="93" t="n"/>
      <c r="N312" s="93" t="n"/>
      <c r="O312" s="93" t="n"/>
      <c r="P312" s="93" t="n"/>
      <c r="Q312" s="93" t="n"/>
      <c r="R312" s="93" t="n"/>
      <c r="S312" s="93" t="n"/>
      <c r="T312" s="93" t="n"/>
      <c r="U312" s="93" t="n"/>
      <c r="V312" s="93" t="n"/>
      <c r="W312" s="93" t="n"/>
      <c r="X312" s="93" t="n"/>
      <c r="Y312" s="93" t="n"/>
      <c r="Z312" s="93" t="n"/>
    </row>
    <row r="313">
      <c r="A313" s="93" t="n"/>
      <c r="B313" s="93" t="n"/>
      <c r="C313" s="93" t="n"/>
      <c r="D313" s="93" t="n"/>
      <c r="E313" s="93" t="n"/>
      <c r="F313" s="93" t="n"/>
      <c r="G313" s="93" t="n"/>
      <c r="H313" s="93" t="n"/>
      <c r="I313" s="93" t="n"/>
      <c r="J313" s="93" t="n"/>
      <c r="K313" s="93" t="n"/>
      <c r="L313" s="93" t="n"/>
      <c r="M313" s="93" t="n"/>
      <c r="N313" s="93" t="n"/>
      <c r="O313" s="93" t="n"/>
      <c r="P313" s="93" t="n"/>
      <c r="Q313" s="93" t="n"/>
      <c r="R313" s="93" t="n"/>
      <c r="S313" s="93" t="n"/>
      <c r="T313" s="93" t="n"/>
      <c r="U313" s="93" t="n"/>
      <c r="V313" s="93" t="n"/>
      <c r="W313" s="93" t="n"/>
      <c r="X313" s="93" t="n"/>
      <c r="Y313" s="93" t="n"/>
      <c r="Z313" s="93" t="n"/>
    </row>
    <row r="314">
      <c r="A314" s="93" t="n"/>
      <c r="B314" s="93" t="n"/>
      <c r="C314" s="93" t="n"/>
      <c r="D314" s="93" t="n"/>
      <c r="E314" s="93" t="n"/>
      <c r="F314" s="93" t="n"/>
      <c r="G314" s="93" t="n"/>
      <c r="H314" s="93" t="n"/>
      <c r="I314" s="93" t="n"/>
      <c r="J314" s="93" t="n"/>
      <c r="K314" s="93" t="n"/>
      <c r="L314" s="93" t="n"/>
      <c r="M314" s="93" t="n"/>
      <c r="N314" s="93" t="n"/>
      <c r="O314" s="93" t="n"/>
      <c r="P314" s="93" t="n"/>
      <c r="Q314" s="93" t="n"/>
      <c r="R314" s="93" t="n"/>
      <c r="S314" s="93" t="n"/>
      <c r="T314" s="93" t="n"/>
      <c r="U314" s="93" t="n"/>
      <c r="V314" s="93" t="n"/>
      <c r="W314" s="93" t="n"/>
      <c r="X314" s="93" t="n"/>
      <c r="Y314" s="93" t="n"/>
      <c r="Z314" s="93" t="n"/>
    </row>
    <row r="315">
      <c r="A315" s="93" t="n"/>
      <c r="B315" s="93" t="n"/>
      <c r="C315" s="93" t="n"/>
      <c r="D315" s="93" t="n"/>
      <c r="E315" s="93" t="n"/>
      <c r="F315" s="93" t="n"/>
      <c r="G315" s="93" t="n"/>
      <c r="H315" s="93" t="n"/>
      <c r="I315" s="93" t="n"/>
      <c r="J315" s="93" t="n"/>
      <c r="K315" s="93" t="n"/>
      <c r="L315" s="93" t="n"/>
      <c r="M315" s="93" t="n"/>
      <c r="N315" s="93" t="n"/>
      <c r="O315" s="93" t="n"/>
      <c r="P315" s="93" t="n"/>
      <c r="Q315" s="93" t="n"/>
      <c r="R315" s="93" t="n"/>
      <c r="S315" s="93" t="n"/>
      <c r="T315" s="93" t="n"/>
      <c r="U315" s="93" t="n"/>
      <c r="V315" s="93" t="n"/>
      <c r="W315" s="93" t="n"/>
      <c r="X315" s="93" t="n"/>
      <c r="Y315" s="93" t="n"/>
      <c r="Z315" s="93" t="n"/>
    </row>
    <row r="316">
      <c r="A316" s="93" t="n"/>
      <c r="B316" s="93" t="n"/>
      <c r="C316" s="93" t="n"/>
      <c r="D316" s="93" t="n"/>
      <c r="E316" s="93" t="n"/>
      <c r="F316" s="93" t="n"/>
      <c r="G316" s="93" t="n"/>
      <c r="H316" s="93" t="n"/>
      <c r="I316" s="93" t="n"/>
      <c r="J316" s="93" t="n"/>
      <c r="K316" s="93" t="n"/>
      <c r="L316" s="93" t="n"/>
      <c r="M316" s="93" t="n"/>
      <c r="N316" s="93" t="n"/>
      <c r="O316" s="93" t="n"/>
      <c r="P316" s="93" t="n"/>
      <c r="Q316" s="93" t="n"/>
      <c r="R316" s="93" t="n"/>
      <c r="S316" s="93" t="n"/>
      <c r="T316" s="93" t="n"/>
      <c r="U316" s="93" t="n"/>
      <c r="V316" s="93" t="n"/>
      <c r="W316" s="93" t="n"/>
      <c r="X316" s="93" t="n"/>
      <c r="Y316" s="93" t="n"/>
      <c r="Z316" s="93" t="n"/>
    </row>
    <row r="317">
      <c r="A317" s="93" t="n"/>
      <c r="B317" s="93" t="n"/>
      <c r="C317" s="93" t="n"/>
      <c r="D317" s="93" t="n"/>
      <c r="E317" s="93" t="n"/>
      <c r="F317" s="93" t="n"/>
      <c r="G317" s="93" t="n"/>
      <c r="H317" s="93" t="n"/>
      <c r="I317" s="93" t="n"/>
      <c r="J317" s="93" t="n"/>
      <c r="K317" s="93" t="n"/>
      <c r="L317" s="93" t="n"/>
      <c r="M317" s="93" t="n"/>
      <c r="N317" s="93" t="n"/>
      <c r="O317" s="93" t="n"/>
      <c r="P317" s="93" t="n"/>
      <c r="Q317" s="93" t="n"/>
      <c r="R317" s="93" t="n"/>
      <c r="S317" s="93" t="n"/>
      <c r="T317" s="93" t="n"/>
      <c r="U317" s="93" t="n"/>
      <c r="V317" s="93" t="n"/>
      <c r="W317" s="93" t="n"/>
      <c r="X317" s="93" t="n"/>
      <c r="Y317" s="93" t="n"/>
      <c r="Z317" s="93" t="n"/>
    </row>
    <row r="318">
      <c r="A318" s="93" t="n"/>
      <c r="B318" s="93" t="n"/>
      <c r="C318" s="93" t="n"/>
      <c r="D318" s="93" t="n"/>
      <c r="E318" s="93" t="n"/>
      <c r="F318" s="93" t="n"/>
      <c r="G318" s="93" t="n"/>
      <c r="H318" s="93" t="n"/>
      <c r="I318" s="93" t="n"/>
      <c r="J318" s="93" t="n"/>
      <c r="K318" s="93" t="n"/>
      <c r="L318" s="93" t="n"/>
      <c r="M318" s="93" t="n"/>
      <c r="N318" s="93" t="n"/>
      <c r="O318" s="93" t="n"/>
      <c r="P318" s="93" t="n"/>
      <c r="Q318" s="93" t="n"/>
      <c r="R318" s="93" t="n"/>
      <c r="S318" s="93" t="n"/>
      <c r="T318" s="93" t="n"/>
      <c r="U318" s="93" t="n"/>
      <c r="V318" s="93" t="n"/>
      <c r="W318" s="93" t="n"/>
      <c r="X318" s="93" t="n"/>
      <c r="Y318" s="93" t="n"/>
      <c r="Z318" s="93" t="n"/>
    </row>
    <row r="319">
      <c r="A319" s="93" t="n"/>
      <c r="B319" s="93" t="n"/>
      <c r="C319" s="93" t="n"/>
      <c r="D319" s="93" t="n"/>
      <c r="E319" s="93" t="n"/>
      <c r="F319" s="93" t="n"/>
      <c r="G319" s="93" t="n"/>
      <c r="H319" s="93" t="n"/>
      <c r="I319" s="93" t="n"/>
      <c r="J319" s="93" t="n"/>
      <c r="K319" s="93" t="n"/>
      <c r="L319" s="93" t="n"/>
      <c r="M319" s="93" t="n"/>
      <c r="N319" s="93" t="n"/>
      <c r="O319" s="93" t="n"/>
      <c r="P319" s="93" t="n"/>
      <c r="Q319" s="93" t="n"/>
      <c r="R319" s="93" t="n"/>
      <c r="S319" s="93" t="n"/>
      <c r="T319" s="93" t="n"/>
      <c r="U319" s="93" t="n"/>
      <c r="V319" s="93" t="n"/>
      <c r="W319" s="93" t="n"/>
      <c r="X319" s="93" t="n"/>
      <c r="Y319" s="93" t="n"/>
      <c r="Z319" s="93" t="n"/>
    </row>
    <row r="320">
      <c r="A320" s="93" t="n"/>
      <c r="B320" s="93" t="n"/>
      <c r="C320" s="93" t="n"/>
      <c r="D320" s="93" t="n"/>
      <c r="E320" s="93" t="n"/>
      <c r="F320" s="93" t="n"/>
      <c r="G320" s="93" t="n"/>
      <c r="H320" s="93" t="n"/>
      <c r="I320" s="93" t="n"/>
      <c r="J320" s="93" t="n"/>
      <c r="K320" s="93" t="n"/>
      <c r="L320" s="93" t="n"/>
      <c r="M320" s="93" t="n"/>
      <c r="N320" s="93" t="n"/>
      <c r="O320" s="93" t="n"/>
      <c r="P320" s="93" t="n"/>
      <c r="Q320" s="93" t="n"/>
      <c r="R320" s="93" t="n"/>
      <c r="S320" s="93" t="n"/>
      <c r="T320" s="93" t="n"/>
      <c r="U320" s="93" t="n"/>
      <c r="V320" s="93" t="n"/>
      <c r="W320" s="93" t="n"/>
      <c r="X320" s="93" t="n"/>
      <c r="Y320" s="93" t="n"/>
      <c r="Z320" s="93" t="n"/>
    </row>
    <row r="321">
      <c r="A321" s="93" t="n"/>
      <c r="B321" s="93" t="n"/>
      <c r="C321" s="93" t="n"/>
      <c r="D321" s="93" t="n"/>
      <c r="E321" s="93" t="n"/>
      <c r="F321" s="93" t="n"/>
      <c r="G321" s="93" t="n"/>
      <c r="H321" s="93" t="n"/>
      <c r="I321" s="93" t="n"/>
      <c r="J321" s="93" t="n"/>
      <c r="K321" s="93" t="n"/>
      <c r="L321" s="93" t="n"/>
      <c r="M321" s="93" t="n"/>
      <c r="N321" s="93" t="n"/>
      <c r="O321" s="93" t="n"/>
      <c r="P321" s="93" t="n"/>
      <c r="Q321" s="93" t="n"/>
      <c r="R321" s="93" t="n"/>
      <c r="S321" s="93" t="n"/>
      <c r="T321" s="93" t="n"/>
      <c r="U321" s="93" t="n"/>
      <c r="V321" s="93" t="n"/>
      <c r="W321" s="93" t="n"/>
      <c r="X321" s="93" t="n"/>
      <c r="Y321" s="93" t="n"/>
      <c r="Z321" s="93" t="n"/>
    </row>
    <row r="322">
      <c r="A322" s="93" t="n"/>
      <c r="B322" s="93" t="n"/>
      <c r="C322" s="93" t="n"/>
      <c r="D322" s="93" t="n"/>
      <c r="E322" s="93" t="n"/>
      <c r="F322" s="93" t="n"/>
      <c r="G322" s="93" t="n"/>
      <c r="H322" s="93" t="n"/>
      <c r="I322" s="93" t="n"/>
      <c r="J322" s="93" t="n"/>
      <c r="K322" s="93" t="n"/>
      <c r="L322" s="93" t="n"/>
      <c r="M322" s="93" t="n"/>
      <c r="N322" s="93" t="n"/>
      <c r="O322" s="93" t="n"/>
      <c r="P322" s="93" t="n"/>
      <c r="Q322" s="93" t="n"/>
      <c r="R322" s="93" t="n"/>
      <c r="S322" s="93" t="n"/>
      <c r="T322" s="93" t="n"/>
      <c r="U322" s="93" t="n"/>
      <c r="V322" s="93" t="n"/>
      <c r="W322" s="93" t="n"/>
      <c r="X322" s="93" t="n"/>
      <c r="Y322" s="93" t="n"/>
      <c r="Z322" s="93" t="n"/>
    </row>
    <row r="323">
      <c r="A323" s="93" t="n"/>
      <c r="B323" s="93" t="n"/>
      <c r="C323" s="93" t="n"/>
      <c r="D323" s="93" t="n"/>
      <c r="E323" s="93" t="n"/>
      <c r="F323" s="93" t="n"/>
      <c r="G323" s="93" t="n"/>
      <c r="H323" s="93" t="n"/>
      <c r="I323" s="93" t="n"/>
      <c r="J323" s="93" t="n"/>
      <c r="K323" s="93" t="n"/>
      <c r="L323" s="93" t="n"/>
      <c r="M323" s="93" t="n"/>
      <c r="N323" s="93" t="n"/>
      <c r="O323" s="93" t="n"/>
      <c r="P323" s="93" t="n"/>
      <c r="Q323" s="93" t="n"/>
      <c r="R323" s="93" t="n"/>
      <c r="S323" s="93" t="n"/>
      <c r="T323" s="93" t="n"/>
      <c r="U323" s="93" t="n"/>
      <c r="V323" s="93" t="n"/>
      <c r="W323" s="93" t="n"/>
      <c r="X323" s="93" t="n"/>
      <c r="Y323" s="93" t="n"/>
      <c r="Z323" s="93" t="n"/>
    </row>
    <row r="324">
      <c r="A324" s="93" t="n"/>
      <c r="B324" s="93" t="n"/>
      <c r="C324" s="93" t="n"/>
      <c r="D324" s="93" t="n"/>
      <c r="E324" s="93" t="n"/>
      <c r="F324" s="93" t="n"/>
      <c r="G324" s="93" t="n"/>
      <c r="H324" s="93" t="n"/>
      <c r="I324" s="93" t="n"/>
      <c r="J324" s="93" t="n"/>
      <c r="K324" s="93" t="n"/>
      <c r="L324" s="93" t="n"/>
      <c r="M324" s="93" t="n"/>
      <c r="N324" s="93" t="n"/>
      <c r="O324" s="93" t="n"/>
      <c r="P324" s="93" t="n"/>
      <c r="Q324" s="93" t="n"/>
      <c r="R324" s="93" t="n"/>
      <c r="S324" s="93" t="n"/>
      <c r="T324" s="93" t="n"/>
      <c r="U324" s="93" t="n"/>
      <c r="V324" s="93" t="n"/>
      <c r="W324" s="93" t="n"/>
      <c r="X324" s="93" t="n"/>
      <c r="Y324" s="93" t="n"/>
      <c r="Z324" s="93" t="n"/>
    </row>
    <row r="325">
      <c r="A325" s="93" t="n"/>
      <c r="B325" s="93" t="n"/>
      <c r="C325" s="93" t="n"/>
      <c r="D325" s="93" t="n"/>
      <c r="E325" s="93" t="n"/>
      <c r="F325" s="93" t="n"/>
      <c r="G325" s="93" t="n"/>
      <c r="H325" s="93" t="n"/>
      <c r="I325" s="93" t="n"/>
      <c r="J325" s="93" t="n"/>
      <c r="K325" s="93" t="n"/>
      <c r="L325" s="93" t="n"/>
      <c r="M325" s="93" t="n"/>
      <c r="N325" s="93" t="n"/>
      <c r="O325" s="93" t="n"/>
      <c r="P325" s="93" t="n"/>
      <c r="Q325" s="93" t="n"/>
      <c r="R325" s="93" t="n"/>
      <c r="S325" s="93" t="n"/>
      <c r="T325" s="93" t="n"/>
      <c r="U325" s="93" t="n"/>
      <c r="V325" s="93" t="n"/>
      <c r="W325" s="93" t="n"/>
      <c r="X325" s="93" t="n"/>
      <c r="Y325" s="93" t="n"/>
      <c r="Z325" s="93" t="n"/>
    </row>
    <row r="326">
      <c r="A326" s="93" t="n"/>
      <c r="B326" s="93" t="n"/>
      <c r="C326" s="93" t="n"/>
      <c r="D326" s="93" t="n"/>
      <c r="E326" s="93" t="n"/>
      <c r="F326" s="93" t="n"/>
      <c r="G326" s="93" t="n"/>
      <c r="H326" s="93" t="n"/>
      <c r="I326" s="93" t="n"/>
      <c r="J326" s="93" t="n"/>
      <c r="K326" s="93" t="n"/>
      <c r="L326" s="93" t="n"/>
      <c r="M326" s="93" t="n"/>
      <c r="N326" s="93" t="n"/>
      <c r="O326" s="93" t="n"/>
      <c r="P326" s="93" t="n"/>
      <c r="Q326" s="93" t="n"/>
      <c r="R326" s="93" t="n"/>
      <c r="S326" s="93" t="n"/>
      <c r="T326" s="93" t="n"/>
      <c r="U326" s="93" t="n"/>
      <c r="V326" s="93" t="n"/>
      <c r="W326" s="93" t="n"/>
      <c r="X326" s="93" t="n"/>
      <c r="Y326" s="93" t="n"/>
      <c r="Z326" s="93" t="n"/>
    </row>
    <row r="327">
      <c r="A327" s="93" t="n"/>
      <c r="B327" s="93" t="n"/>
      <c r="C327" s="93" t="n"/>
      <c r="D327" s="93" t="n"/>
      <c r="E327" s="93" t="n"/>
      <c r="F327" s="93" t="n"/>
      <c r="G327" s="93" t="n"/>
      <c r="H327" s="93" t="n"/>
      <c r="I327" s="93" t="n"/>
      <c r="J327" s="93" t="n"/>
      <c r="K327" s="93" t="n"/>
      <c r="L327" s="93" t="n"/>
      <c r="M327" s="93" t="n"/>
      <c r="N327" s="93" t="n"/>
      <c r="O327" s="93" t="n"/>
      <c r="P327" s="93" t="n"/>
      <c r="Q327" s="93" t="n"/>
      <c r="R327" s="93" t="n"/>
      <c r="S327" s="93" t="n"/>
      <c r="T327" s="93" t="n"/>
      <c r="U327" s="93" t="n"/>
      <c r="V327" s="93" t="n"/>
      <c r="W327" s="93" t="n"/>
      <c r="X327" s="93" t="n"/>
      <c r="Y327" s="93" t="n"/>
      <c r="Z327" s="93" t="n"/>
    </row>
    <row r="328">
      <c r="A328" s="93" t="n"/>
      <c r="B328" s="93" t="n"/>
      <c r="C328" s="93" t="n"/>
      <c r="D328" s="93" t="n"/>
      <c r="E328" s="93" t="n"/>
      <c r="F328" s="93" t="n"/>
      <c r="G328" s="93" t="n"/>
      <c r="H328" s="93" t="n"/>
      <c r="I328" s="93" t="n"/>
      <c r="J328" s="93" t="n"/>
      <c r="K328" s="93" t="n"/>
      <c r="L328" s="93" t="n"/>
      <c r="M328" s="93" t="n"/>
      <c r="N328" s="93" t="n"/>
      <c r="O328" s="93" t="n"/>
      <c r="P328" s="93" t="n"/>
      <c r="Q328" s="93" t="n"/>
      <c r="R328" s="93" t="n"/>
      <c r="S328" s="93" t="n"/>
      <c r="T328" s="93" t="n"/>
      <c r="U328" s="93" t="n"/>
      <c r="V328" s="93" t="n"/>
      <c r="W328" s="93" t="n"/>
      <c r="X328" s="93" t="n"/>
      <c r="Y328" s="93" t="n"/>
      <c r="Z328" s="93" t="n"/>
    </row>
    <row r="329">
      <c r="A329" s="93" t="n"/>
      <c r="B329" s="93" t="n"/>
      <c r="C329" s="93" t="n"/>
      <c r="D329" s="93" t="n"/>
      <c r="E329" s="93" t="n"/>
      <c r="F329" s="93" t="n"/>
      <c r="G329" s="93" t="n"/>
      <c r="H329" s="93" t="n"/>
      <c r="I329" s="93" t="n"/>
      <c r="J329" s="93" t="n"/>
      <c r="K329" s="93" t="n"/>
      <c r="L329" s="93" t="n"/>
      <c r="M329" s="93" t="n"/>
      <c r="N329" s="93" t="n"/>
      <c r="O329" s="93" t="n"/>
      <c r="P329" s="93" t="n"/>
      <c r="Q329" s="93" t="n"/>
      <c r="R329" s="93" t="n"/>
      <c r="S329" s="93" t="n"/>
      <c r="T329" s="93" t="n"/>
      <c r="U329" s="93" t="n"/>
      <c r="V329" s="93" t="n"/>
      <c r="W329" s="93" t="n"/>
      <c r="X329" s="93" t="n"/>
      <c r="Y329" s="93" t="n"/>
      <c r="Z329" s="93" t="n"/>
    </row>
    <row r="330">
      <c r="A330" s="93" t="n"/>
      <c r="B330" s="93" t="n"/>
      <c r="C330" s="93" t="n"/>
      <c r="D330" s="93" t="n"/>
      <c r="E330" s="93" t="n"/>
      <c r="F330" s="93" t="n"/>
      <c r="G330" s="93" t="n"/>
      <c r="H330" s="93" t="n"/>
      <c r="I330" s="93" t="n"/>
      <c r="J330" s="93" t="n"/>
      <c r="K330" s="93" t="n"/>
      <c r="L330" s="93" t="n"/>
      <c r="M330" s="93" t="n"/>
      <c r="N330" s="93" t="n"/>
      <c r="O330" s="93" t="n"/>
      <c r="P330" s="93" t="n"/>
      <c r="Q330" s="93" t="n"/>
      <c r="R330" s="93" t="n"/>
      <c r="S330" s="93" t="n"/>
      <c r="T330" s="93" t="n"/>
      <c r="U330" s="93" t="n"/>
      <c r="V330" s="93" t="n"/>
      <c r="W330" s="93" t="n"/>
      <c r="X330" s="93" t="n"/>
      <c r="Y330" s="93" t="n"/>
      <c r="Z330" s="93" t="n"/>
    </row>
    <row r="331">
      <c r="A331" s="93" t="n"/>
      <c r="B331" s="93" t="n"/>
      <c r="C331" s="93" t="n"/>
      <c r="D331" s="93" t="n"/>
      <c r="E331" s="93" t="n"/>
      <c r="F331" s="93" t="n"/>
      <c r="G331" s="93" t="n"/>
      <c r="H331" s="93" t="n"/>
      <c r="I331" s="93" t="n"/>
      <c r="J331" s="93" t="n"/>
      <c r="K331" s="93" t="n"/>
      <c r="L331" s="93" t="n"/>
      <c r="M331" s="93" t="n"/>
      <c r="N331" s="93" t="n"/>
      <c r="O331" s="93" t="n"/>
      <c r="P331" s="93" t="n"/>
      <c r="Q331" s="93" t="n"/>
      <c r="R331" s="93" t="n"/>
      <c r="S331" s="93" t="n"/>
      <c r="T331" s="93" t="n"/>
      <c r="U331" s="93" t="n"/>
      <c r="V331" s="93" t="n"/>
      <c r="W331" s="93" t="n"/>
      <c r="X331" s="93" t="n"/>
      <c r="Y331" s="93" t="n"/>
      <c r="Z331" s="93" t="n"/>
    </row>
    <row r="332">
      <c r="A332" s="93" t="n"/>
      <c r="B332" s="93" t="n"/>
      <c r="C332" s="93" t="n"/>
      <c r="D332" s="93" t="n"/>
      <c r="E332" s="93" t="n"/>
      <c r="F332" s="93" t="n"/>
      <c r="G332" s="93" t="n"/>
      <c r="H332" s="93" t="n"/>
      <c r="I332" s="93" t="n"/>
      <c r="J332" s="93" t="n"/>
      <c r="K332" s="93" t="n"/>
      <c r="L332" s="93" t="n"/>
      <c r="M332" s="93" t="n"/>
      <c r="N332" s="93" t="n"/>
      <c r="O332" s="93" t="n"/>
      <c r="P332" s="93" t="n"/>
      <c r="Q332" s="93" t="n"/>
      <c r="R332" s="93" t="n"/>
      <c r="S332" s="93" t="n"/>
      <c r="T332" s="93" t="n"/>
      <c r="U332" s="93" t="n"/>
      <c r="V332" s="93" t="n"/>
      <c r="W332" s="93" t="n"/>
      <c r="X332" s="93" t="n"/>
      <c r="Y332" s="93" t="n"/>
      <c r="Z332" s="93" t="n"/>
    </row>
    <row r="333">
      <c r="A333" s="93" t="n"/>
      <c r="B333" s="93" t="n"/>
      <c r="C333" s="93" t="n"/>
      <c r="D333" s="93" t="n"/>
      <c r="E333" s="93" t="n"/>
      <c r="F333" s="93" t="n"/>
      <c r="G333" s="93" t="n"/>
      <c r="H333" s="93" t="n"/>
      <c r="I333" s="93" t="n"/>
      <c r="J333" s="93" t="n"/>
      <c r="K333" s="93" t="n"/>
      <c r="L333" s="93" t="n"/>
      <c r="M333" s="93" t="n"/>
      <c r="N333" s="93" t="n"/>
      <c r="O333" s="93" t="n"/>
      <c r="P333" s="93" t="n"/>
      <c r="Q333" s="93" t="n"/>
      <c r="R333" s="93" t="n"/>
      <c r="S333" s="93" t="n"/>
      <c r="T333" s="93" t="n"/>
      <c r="U333" s="93" t="n"/>
      <c r="V333" s="93" t="n"/>
      <c r="W333" s="93" t="n"/>
      <c r="X333" s="93" t="n"/>
      <c r="Y333" s="93" t="n"/>
      <c r="Z333" s="93" t="n"/>
    </row>
    <row r="334">
      <c r="A334" s="93" t="n"/>
      <c r="B334" s="93" t="n"/>
      <c r="C334" s="93" t="n"/>
      <c r="D334" s="93" t="n"/>
      <c r="E334" s="93" t="n"/>
      <c r="F334" s="93" t="n"/>
      <c r="G334" s="93" t="n"/>
      <c r="H334" s="93" t="n"/>
      <c r="I334" s="93" t="n"/>
      <c r="J334" s="93" t="n"/>
      <c r="K334" s="93" t="n"/>
      <c r="L334" s="93" t="n"/>
      <c r="M334" s="93" t="n"/>
      <c r="N334" s="93" t="n"/>
      <c r="O334" s="93" t="n"/>
      <c r="P334" s="93" t="n"/>
      <c r="Q334" s="93" t="n"/>
      <c r="R334" s="93" t="n"/>
      <c r="S334" s="93" t="n"/>
      <c r="T334" s="93" t="n"/>
      <c r="U334" s="93" t="n"/>
      <c r="V334" s="93" t="n"/>
      <c r="W334" s="93" t="n"/>
      <c r="X334" s="93" t="n"/>
      <c r="Y334" s="93" t="n"/>
      <c r="Z334" s="93" t="n"/>
    </row>
    <row r="335">
      <c r="A335" s="93" t="n"/>
      <c r="B335" s="93" t="n"/>
      <c r="C335" s="93" t="n"/>
      <c r="D335" s="93" t="n"/>
      <c r="E335" s="93" t="n"/>
      <c r="F335" s="93" t="n"/>
      <c r="G335" s="93" t="n"/>
      <c r="H335" s="93" t="n"/>
      <c r="I335" s="93" t="n"/>
      <c r="J335" s="93" t="n"/>
      <c r="K335" s="93" t="n"/>
      <c r="L335" s="93" t="n"/>
      <c r="M335" s="93" t="n"/>
      <c r="N335" s="93" t="n"/>
      <c r="O335" s="93" t="n"/>
      <c r="P335" s="93" t="n"/>
      <c r="Q335" s="93" t="n"/>
      <c r="R335" s="93" t="n"/>
      <c r="S335" s="93" t="n"/>
      <c r="T335" s="93" t="n"/>
      <c r="U335" s="93" t="n"/>
      <c r="V335" s="93" t="n"/>
      <c r="W335" s="93" t="n"/>
      <c r="X335" s="93" t="n"/>
      <c r="Y335" s="93" t="n"/>
      <c r="Z335" s="93" t="n"/>
    </row>
    <row r="336">
      <c r="A336" s="93" t="n"/>
      <c r="B336" s="93" t="n"/>
      <c r="C336" s="93" t="n"/>
      <c r="D336" s="93" t="n"/>
      <c r="E336" s="93" t="n"/>
      <c r="F336" s="93" t="n"/>
      <c r="G336" s="93" t="n"/>
      <c r="H336" s="93" t="n"/>
      <c r="I336" s="93" t="n"/>
      <c r="J336" s="93" t="n"/>
      <c r="K336" s="93" t="n"/>
      <c r="L336" s="93" t="n"/>
      <c r="M336" s="93" t="n"/>
      <c r="N336" s="93" t="n"/>
      <c r="O336" s="93" t="n"/>
      <c r="P336" s="93" t="n"/>
      <c r="Q336" s="93" t="n"/>
      <c r="R336" s="93" t="n"/>
      <c r="S336" s="93" t="n"/>
      <c r="T336" s="93" t="n"/>
      <c r="U336" s="93" t="n"/>
      <c r="V336" s="93" t="n"/>
      <c r="W336" s="93" t="n"/>
      <c r="X336" s="93" t="n"/>
      <c r="Y336" s="93" t="n"/>
      <c r="Z336" s="93" t="n"/>
    </row>
    <row r="337">
      <c r="A337" s="93" t="n"/>
      <c r="B337" s="93" t="n"/>
      <c r="C337" s="93" t="n"/>
      <c r="D337" s="93" t="n"/>
      <c r="E337" s="93" t="n"/>
      <c r="F337" s="93" t="n"/>
      <c r="G337" s="93" t="n"/>
      <c r="H337" s="93" t="n"/>
      <c r="I337" s="93" t="n"/>
      <c r="J337" s="93" t="n"/>
      <c r="K337" s="93" t="n"/>
      <c r="L337" s="93" t="n"/>
      <c r="M337" s="93" t="n"/>
      <c r="N337" s="93" t="n"/>
      <c r="O337" s="93" t="n"/>
      <c r="P337" s="93" t="n"/>
      <c r="Q337" s="93" t="n"/>
      <c r="R337" s="93" t="n"/>
      <c r="S337" s="93" t="n"/>
      <c r="T337" s="93" t="n"/>
      <c r="U337" s="93" t="n"/>
      <c r="V337" s="93" t="n"/>
      <c r="W337" s="93" t="n"/>
      <c r="X337" s="93" t="n"/>
      <c r="Y337" s="93" t="n"/>
      <c r="Z337" s="93" t="n"/>
    </row>
    <row r="338">
      <c r="A338" s="93" t="n"/>
      <c r="B338" s="93" t="n"/>
      <c r="C338" s="93" t="n"/>
      <c r="D338" s="93" t="n"/>
      <c r="E338" s="93" t="n"/>
      <c r="F338" s="93" t="n"/>
      <c r="G338" s="93" t="n"/>
      <c r="H338" s="93" t="n"/>
      <c r="I338" s="93" t="n"/>
      <c r="J338" s="93" t="n"/>
      <c r="K338" s="93" t="n"/>
      <c r="L338" s="93" t="n"/>
      <c r="M338" s="93" t="n"/>
      <c r="N338" s="93" t="n"/>
      <c r="O338" s="93" t="n"/>
      <c r="P338" s="93" t="n"/>
      <c r="Q338" s="93" t="n"/>
      <c r="R338" s="93" t="n"/>
      <c r="S338" s="93" t="n"/>
      <c r="T338" s="93" t="n"/>
      <c r="U338" s="93" t="n"/>
      <c r="V338" s="93" t="n"/>
      <c r="W338" s="93" t="n"/>
      <c r="X338" s="93" t="n"/>
      <c r="Y338" s="93" t="n"/>
      <c r="Z338" s="93" t="n"/>
    </row>
    <row r="339">
      <c r="A339" s="93" t="n"/>
      <c r="B339" s="93" t="n"/>
      <c r="C339" s="93" t="n"/>
      <c r="D339" s="93" t="n"/>
      <c r="E339" s="93" t="n"/>
      <c r="F339" s="93" t="n"/>
      <c r="G339" s="93" t="n"/>
      <c r="H339" s="93" t="n"/>
      <c r="I339" s="93" t="n"/>
      <c r="J339" s="93" t="n"/>
      <c r="K339" s="93" t="n"/>
      <c r="L339" s="93" t="n"/>
      <c r="M339" s="93" t="n"/>
      <c r="N339" s="93" t="n"/>
      <c r="O339" s="93" t="n"/>
      <c r="P339" s="93" t="n"/>
      <c r="Q339" s="93" t="n"/>
      <c r="R339" s="93" t="n"/>
      <c r="S339" s="93" t="n"/>
      <c r="T339" s="93" t="n"/>
      <c r="U339" s="93" t="n"/>
      <c r="V339" s="93" t="n"/>
      <c r="W339" s="93" t="n"/>
      <c r="X339" s="93" t="n"/>
      <c r="Y339" s="93" t="n"/>
      <c r="Z339" s="93" t="n"/>
    </row>
    <row r="340">
      <c r="A340" s="93" t="n"/>
      <c r="B340" s="93" t="n"/>
      <c r="C340" s="93" t="n"/>
      <c r="D340" s="93" t="n"/>
      <c r="E340" s="93" t="n"/>
      <c r="F340" s="93" t="n"/>
      <c r="G340" s="93" t="n"/>
      <c r="H340" s="93" t="n"/>
      <c r="I340" s="93" t="n"/>
      <c r="J340" s="93" t="n"/>
      <c r="K340" s="93" t="n"/>
      <c r="L340" s="93" t="n"/>
      <c r="M340" s="93" t="n"/>
      <c r="N340" s="93" t="n"/>
      <c r="O340" s="93" t="n"/>
      <c r="P340" s="93" t="n"/>
      <c r="Q340" s="93" t="n"/>
      <c r="R340" s="93" t="n"/>
      <c r="S340" s="93" t="n"/>
      <c r="T340" s="93" t="n"/>
      <c r="U340" s="93" t="n"/>
      <c r="V340" s="93" t="n"/>
      <c r="W340" s="93" t="n"/>
      <c r="X340" s="93" t="n"/>
      <c r="Y340" s="93" t="n"/>
      <c r="Z340" s="93" t="n"/>
    </row>
    <row r="341">
      <c r="A341" s="93" t="n"/>
      <c r="B341" s="93" t="n"/>
      <c r="C341" s="93" t="n"/>
      <c r="D341" s="93" t="n"/>
      <c r="E341" s="93" t="n"/>
      <c r="F341" s="93" t="n"/>
      <c r="G341" s="93" t="n"/>
      <c r="H341" s="93" t="n"/>
      <c r="I341" s="93" t="n"/>
      <c r="J341" s="93" t="n"/>
      <c r="K341" s="93" t="n"/>
      <c r="L341" s="93" t="n"/>
      <c r="M341" s="93" t="n"/>
      <c r="N341" s="93" t="n"/>
      <c r="O341" s="93" t="n"/>
      <c r="P341" s="93" t="n"/>
      <c r="Q341" s="93" t="n"/>
      <c r="R341" s="93" t="n"/>
      <c r="S341" s="93" t="n"/>
      <c r="T341" s="93" t="n"/>
      <c r="U341" s="93" t="n"/>
      <c r="V341" s="93" t="n"/>
      <c r="W341" s="93" t="n"/>
      <c r="X341" s="93" t="n"/>
      <c r="Y341" s="93" t="n"/>
      <c r="Z341" s="93" t="n"/>
    </row>
    <row r="342">
      <c r="A342" s="93" t="n"/>
      <c r="B342" s="93" t="n"/>
      <c r="C342" s="93" t="n"/>
      <c r="D342" s="93" t="n"/>
      <c r="E342" s="93" t="n"/>
      <c r="F342" s="93" t="n"/>
      <c r="G342" s="93" t="n"/>
      <c r="H342" s="93" t="n"/>
      <c r="I342" s="93" t="n"/>
      <c r="J342" s="93" t="n"/>
      <c r="K342" s="93" t="n"/>
      <c r="L342" s="93" t="n"/>
      <c r="M342" s="93" t="n"/>
      <c r="N342" s="93" t="n"/>
      <c r="O342" s="93" t="n"/>
      <c r="P342" s="93" t="n"/>
      <c r="Q342" s="93" t="n"/>
      <c r="R342" s="93" t="n"/>
      <c r="S342" s="93" t="n"/>
      <c r="T342" s="93" t="n"/>
      <c r="U342" s="93" t="n"/>
      <c r="V342" s="93" t="n"/>
      <c r="W342" s="93" t="n"/>
      <c r="X342" s="93" t="n"/>
      <c r="Y342" s="93" t="n"/>
      <c r="Z342" s="93" t="n"/>
    </row>
    <row r="343">
      <c r="A343" s="93" t="n"/>
      <c r="B343" s="93" t="n"/>
      <c r="C343" s="93" t="n"/>
      <c r="D343" s="93" t="n"/>
      <c r="E343" s="93" t="n"/>
      <c r="F343" s="93" t="n"/>
      <c r="G343" s="93" t="n"/>
      <c r="H343" s="93" t="n"/>
      <c r="I343" s="93" t="n"/>
      <c r="J343" s="93" t="n"/>
      <c r="K343" s="93" t="n"/>
      <c r="L343" s="93" t="n"/>
      <c r="M343" s="93" t="n"/>
      <c r="N343" s="93" t="n"/>
      <c r="O343" s="93" t="n"/>
      <c r="P343" s="93" t="n"/>
      <c r="Q343" s="93" t="n"/>
      <c r="R343" s="93" t="n"/>
      <c r="S343" s="93" t="n"/>
      <c r="T343" s="93" t="n"/>
      <c r="U343" s="93" t="n"/>
      <c r="V343" s="93" t="n"/>
      <c r="W343" s="93" t="n"/>
      <c r="X343" s="93" t="n"/>
      <c r="Y343" s="93" t="n"/>
      <c r="Z343" s="93" t="n"/>
    </row>
    <row r="344">
      <c r="A344" s="93" t="n"/>
      <c r="B344" s="93" t="n"/>
      <c r="C344" s="93" t="n"/>
      <c r="D344" s="93" t="n"/>
      <c r="E344" s="93" t="n"/>
      <c r="F344" s="93" t="n"/>
      <c r="G344" s="93" t="n"/>
      <c r="H344" s="93" t="n"/>
      <c r="I344" s="93" t="n"/>
      <c r="J344" s="93" t="n"/>
      <c r="K344" s="93" t="n"/>
      <c r="L344" s="93" t="n"/>
      <c r="M344" s="93" t="n"/>
      <c r="N344" s="93" t="n"/>
      <c r="O344" s="93" t="n"/>
      <c r="P344" s="93" t="n"/>
      <c r="Q344" s="93" t="n"/>
      <c r="R344" s="93" t="n"/>
      <c r="S344" s="93" t="n"/>
      <c r="T344" s="93" t="n"/>
      <c r="U344" s="93" t="n"/>
      <c r="V344" s="93" t="n"/>
      <c r="W344" s="93" t="n"/>
      <c r="X344" s="93" t="n"/>
      <c r="Y344" s="93" t="n"/>
      <c r="Z344" s="93" t="n"/>
    </row>
    <row r="345">
      <c r="A345" s="93" t="n"/>
      <c r="B345" s="93" t="n"/>
      <c r="C345" s="93" t="n"/>
      <c r="D345" s="93" t="n"/>
      <c r="E345" s="93" t="n"/>
      <c r="F345" s="93" t="n"/>
      <c r="G345" s="93" t="n"/>
      <c r="H345" s="93" t="n"/>
      <c r="I345" s="93" t="n"/>
      <c r="J345" s="93" t="n"/>
      <c r="K345" s="93" t="n"/>
      <c r="L345" s="93" t="n"/>
      <c r="M345" s="93" t="n"/>
      <c r="N345" s="93" t="n"/>
      <c r="O345" s="93" t="n"/>
      <c r="P345" s="93" t="n"/>
      <c r="Q345" s="93" t="n"/>
      <c r="R345" s="93" t="n"/>
      <c r="S345" s="93" t="n"/>
      <c r="T345" s="93" t="n"/>
      <c r="U345" s="93" t="n"/>
      <c r="V345" s="93" t="n"/>
      <c r="W345" s="93" t="n"/>
      <c r="X345" s="93" t="n"/>
      <c r="Y345" s="93" t="n"/>
      <c r="Z345" s="93" t="n"/>
    </row>
    <row r="346">
      <c r="A346" s="93" t="n"/>
      <c r="B346" s="93" t="n"/>
      <c r="C346" s="93" t="n"/>
      <c r="D346" s="93" t="n"/>
      <c r="E346" s="93" t="n"/>
      <c r="F346" s="93" t="n"/>
      <c r="G346" s="93" t="n"/>
      <c r="H346" s="93" t="n"/>
      <c r="I346" s="93" t="n"/>
      <c r="J346" s="93" t="n"/>
      <c r="K346" s="93" t="n"/>
      <c r="L346" s="93" t="n"/>
      <c r="M346" s="93" t="n"/>
      <c r="N346" s="93" t="n"/>
      <c r="O346" s="93" t="n"/>
      <c r="P346" s="93" t="n"/>
      <c r="Q346" s="93" t="n"/>
      <c r="R346" s="93" t="n"/>
      <c r="S346" s="93" t="n"/>
      <c r="T346" s="93" t="n"/>
      <c r="U346" s="93" t="n"/>
      <c r="V346" s="93" t="n"/>
      <c r="W346" s="93" t="n"/>
      <c r="X346" s="93" t="n"/>
      <c r="Y346" s="93" t="n"/>
      <c r="Z346" s="93" t="n"/>
    </row>
    <row r="347">
      <c r="A347" s="93" t="n"/>
      <c r="B347" s="93" t="n"/>
      <c r="C347" s="93" t="n"/>
      <c r="D347" s="93" t="n"/>
      <c r="E347" s="93" t="n"/>
      <c r="F347" s="93" t="n"/>
      <c r="G347" s="93" t="n"/>
      <c r="H347" s="93" t="n"/>
      <c r="I347" s="93" t="n"/>
      <c r="J347" s="93" t="n"/>
      <c r="K347" s="93" t="n"/>
      <c r="L347" s="93" t="n"/>
      <c r="M347" s="93" t="n"/>
      <c r="N347" s="93" t="n"/>
      <c r="O347" s="93" t="n"/>
      <c r="P347" s="93" t="n"/>
      <c r="Q347" s="93" t="n"/>
      <c r="R347" s="93" t="n"/>
      <c r="S347" s="93" t="n"/>
      <c r="T347" s="93" t="n"/>
      <c r="U347" s="93" t="n"/>
      <c r="V347" s="93" t="n"/>
      <c r="W347" s="93" t="n"/>
      <c r="X347" s="93" t="n"/>
      <c r="Y347" s="93" t="n"/>
      <c r="Z347" s="93" t="n"/>
    </row>
    <row r="348">
      <c r="A348" s="93" t="n"/>
      <c r="B348" s="93" t="n"/>
      <c r="C348" s="93" t="n"/>
      <c r="D348" s="93" t="n"/>
      <c r="E348" s="93" t="n"/>
      <c r="F348" s="93" t="n"/>
      <c r="G348" s="93" t="n"/>
      <c r="H348" s="93" t="n"/>
      <c r="I348" s="93" t="n"/>
      <c r="J348" s="93" t="n"/>
      <c r="K348" s="93" t="n"/>
      <c r="L348" s="93" t="n"/>
      <c r="M348" s="93" t="n"/>
      <c r="N348" s="93" t="n"/>
      <c r="O348" s="93" t="n"/>
      <c r="P348" s="93" t="n"/>
      <c r="Q348" s="93" t="n"/>
      <c r="R348" s="93" t="n"/>
      <c r="S348" s="93" t="n"/>
      <c r="T348" s="93" t="n"/>
      <c r="U348" s="93" t="n"/>
      <c r="V348" s="93" t="n"/>
      <c r="W348" s="93" t="n"/>
      <c r="X348" s="93" t="n"/>
      <c r="Y348" s="93" t="n"/>
      <c r="Z348" s="93" t="n"/>
    </row>
    <row r="349">
      <c r="A349" s="93" t="n"/>
      <c r="B349" s="93" t="n"/>
      <c r="C349" s="93" t="n"/>
      <c r="D349" s="93" t="n"/>
      <c r="E349" s="93" t="n"/>
      <c r="F349" s="93" t="n"/>
      <c r="G349" s="93" t="n"/>
      <c r="H349" s="93" t="n"/>
      <c r="I349" s="93" t="n"/>
      <c r="J349" s="93" t="n"/>
      <c r="K349" s="93" t="n"/>
      <c r="L349" s="93" t="n"/>
      <c r="M349" s="93" t="n"/>
      <c r="N349" s="93" t="n"/>
      <c r="O349" s="93" t="n"/>
      <c r="P349" s="93" t="n"/>
      <c r="Q349" s="93" t="n"/>
      <c r="R349" s="93" t="n"/>
      <c r="S349" s="93" t="n"/>
      <c r="T349" s="93" t="n"/>
      <c r="U349" s="93" t="n"/>
      <c r="V349" s="93" t="n"/>
      <c r="W349" s="93" t="n"/>
      <c r="X349" s="93" t="n"/>
      <c r="Y349" s="93" t="n"/>
      <c r="Z349" s="93" t="n"/>
    </row>
    <row r="350">
      <c r="A350" s="93" t="n"/>
      <c r="B350" s="93" t="n"/>
      <c r="C350" s="93" t="n"/>
      <c r="D350" s="93" t="n"/>
      <c r="E350" s="93" t="n"/>
      <c r="F350" s="93" t="n"/>
      <c r="G350" s="93" t="n"/>
      <c r="H350" s="93" t="n"/>
      <c r="I350" s="93" t="n"/>
      <c r="J350" s="93" t="n"/>
      <c r="K350" s="93" t="n"/>
      <c r="L350" s="93" t="n"/>
      <c r="M350" s="93" t="n"/>
      <c r="N350" s="93" t="n"/>
      <c r="O350" s="93" t="n"/>
      <c r="P350" s="93" t="n"/>
      <c r="Q350" s="93" t="n"/>
      <c r="R350" s="93" t="n"/>
      <c r="S350" s="93" t="n"/>
      <c r="T350" s="93" t="n"/>
      <c r="U350" s="93" t="n"/>
      <c r="V350" s="93" t="n"/>
      <c r="W350" s="93" t="n"/>
      <c r="X350" s="93" t="n"/>
      <c r="Y350" s="93" t="n"/>
      <c r="Z350" s="93" t="n"/>
    </row>
    <row r="351">
      <c r="A351" s="93" t="n"/>
      <c r="B351" s="93" t="n"/>
      <c r="C351" s="93" t="n"/>
      <c r="D351" s="93" t="n"/>
      <c r="E351" s="93" t="n"/>
      <c r="F351" s="93" t="n"/>
      <c r="G351" s="93" t="n"/>
      <c r="H351" s="93" t="n"/>
      <c r="I351" s="93" t="n"/>
      <c r="J351" s="93" t="n"/>
      <c r="K351" s="93" t="n"/>
      <c r="L351" s="93" t="n"/>
      <c r="M351" s="93" t="n"/>
      <c r="N351" s="93" t="n"/>
      <c r="O351" s="93" t="n"/>
      <c r="P351" s="93" t="n"/>
      <c r="Q351" s="93" t="n"/>
      <c r="R351" s="93" t="n"/>
      <c r="S351" s="93" t="n"/>
      <c r="T351" s="93" t="n"/>
      <c r="U351" s="93" t="n"/>
      <c r="V351" s="93" t="n"/>
      <c r="W351" s="93" t="n"/>
      <c r="X351" s="93" t="n"/>
      <c r="Y351" s="93" t="n"/>
      <c r="Z351" s="93" t="n"/>
    </row>
    <row r="352">
      <c r="A352" s="93" t="n"/>
      <c r="B352" s="93" t="n"/>
      <c r="C352" s="93" t="n"/>
      <c r="D352" s="93" t="n"/>
      <c r="E352" s="93" t="n"/>
      <c r="F352" s="93" t="n"/>
      <c r="G352" s="93" t="n"/>
      <c r="H352" s="93" t="n"/>
      <c r="I352" s="93" t="n"/>
      <c r="J352" s="93" t="n"/>
      <c r="K352" s="93" t="n"/>
      <c r="L352" s="93" t="n"/>
      <c r="M352" s="93" t="n"/>
      <c r="N352" s="93" t="n"/>
      <c r="O352" s="93" t="n"/>
      <c r="P352" s="93" t="n"/>
      <c r="Q352" s="93" t="n"/>
      <c r="R352" s="93" t="n"/>
      <c r="S352" s="93" t="n"/>
      <c r="T352" s="93" t="n"/>
      <c r="U352" s="93" t="n"/>
      <c r="V352" s="93" t="n"/>
      <c r="W352" s="93" t="n"/>
      <c r="X352" s="93" t="n"/>
      <c r="Y352" s="93" t="n"/>
      <c r="Z352" s="93" t="n"/>
    </row>
    <row r="353">
      <c r="A353" s="93" t="n"/>
      <c r="B353" s="93" t="n"/>
      <c r="C353" s="93" t="n"/>
      <c r="D353" s="93" t="n"/>
      <c r="E353" s="93" t="n"/>
      <c r="F353" s="93" t="n"/>
      <c r="G353" s="93" t="n"/>
      <c r="H353" s="93" t="n"/>
      <c r="I353" s="93" t="n"/>
      <c r="J353" s="93" t="n"/>
      <c r="K353" s="93" t="n"/>
      <c r="L353" s="93" t="n"/>
      <c r="M353" s="93" t="n"/>
      <c r="N353" s="93" t="n"/>
      <c r="O353" s="93" t="n"/>
      <c r="P353" s="93" t="n"/>
      <c r="Q353" s="93" t="n"/>
      <c r="R353" s="93" t="n"/>
      <c r="S353" s="93" t="n"/>
      <c r="T353" s="93" t="n"/>
      <c r="U353" s="93" t="n"/>
      <c r="V353" s="93" t="n"/>
      <c r="W353" s="93" t="n"/>
      <c r="X353" s="93" t="n"/>
      <c r="Y353" s="93" t="n"/>
      <c r="Z353" s="93" t="n"/>
    </row>
    <row r="354">
      <c r="A354" s="93" t="n"/>
      <c r="B354" s="93" t="n"/>
      <c r="C354" s="93" t="n"/>
      <c r="D354" s="93" t="n"/>
      <c r="E354" s="93" t="n"/>
      <c r="F354" s="93" t="n"/>
      <c r="G354" s="93" t="n"/>
      <c r="H354" s="93" t="n"/>
      <c r="I354" s="93" t="n"/>
      <c r="J354" s="93" t="n"/>
      <c r="K354" s="93" t="n"/>
      <c r="L354" s="93" t="n"/>
      <c r="M354" s="93" t="n"/>
      <c r="N354" s="93" t="n"/>
      <c r="O354" s="93" t="n"/>
      <c r="P354" s="93" t="n"/>
      <c r="Q354" s="93" t="n"/>
      <c r="R354" s="93" t="n"/>
      <c r="S354" s="93" t="n"/>
      <c r="T354" s="93" t="n"/>
      <c r="U354" s="93" t="n"/>
      <c r="V354" s="93" t="n"/>
      <c r="W354" s="93" t="n"/>
      <c r="X354" s="93" t="n"/>
      <c r="Y354" s="93" t="n"/>
      <c r="Z354" s="93" t="n"/>
    </row>
    <row r="355">
      <c r="A355" s="93" t="n"/>
      <c r="B355" s="93" t="n"/>
      <c r="C355" s="93" t="n"/>
      <c r="D355" s="93" t="n"/>
      <c r="E355" s="93" t="n"/>
      <c r="F355" s="93" t="n"/>
      <c r="G355" s="93" t="n"/>
      <c r="H355" s="93" t="n"/>
      <c r="I355" s="93" t="n"/>
      <c r="J355" s="93" t="n"/>
      <c r="K355" s="93" t="n"/>
      <c r="L355" s="93" t="n"/>
      <c r="M355" s="93" t="n"/>
      <c r="N355" s="93" t="n"/>
      <c r="O355" s="93" t="n"/>
      <c r="P355" s="93" t="n"/>
      <c r="Q355" s="93" t="n"/>
      <c r="R355" s="93" t="n"/>
      <c r="S355" s="93" t="n"/>
      <c r="T355" s="93" t="n"/>
      <c r="U355" s="93" t="n"/>
      <c r="V355" s="93" t="n"/>
      <c r="W355" s="93" t="n"/>
      <c r="X355" s="93" t="n"/>
      <c r="Y355" s="93" t="n"/>
      <c r="Z355" s="93" t="n"/>
    </row>
    <row r="356">
      <c r="A356" s="93" t="n"/>
      <c r="B356" s="93" t="n"/>
      <c r="C356" s="93" t="n"/>
      <c r="D356" s="93" t="n"/>
      <c r="E356" s="93" t="n"/>
      <c r="F356" s="93" t="n"/>
      <c r="G356" s="93" t="n"/>
      <c r="H356" s="93" t="n"/>
      <c r="I356" s="93" t="n"/>
      <c r="J356" s="93" t="n"/>
      <c r="K356" s="93" t="n"/>
      <c r="L356" s="93" t="n"/>
      <c r="M356" s="93" t="n"/>
      <c r="N356" s="93" t="n"/>
      <c r="O356" s="93" t="n"/>
      <c r="P356" s="93" t="n"/>
      <c r="Q356" s="93" t="n"/>
      <c r="R356" s="93" t="n"/>
      <c r="S356" s="93" t="n"/>
      <c r="T356" s="93" t="n"/>
      <c r="U356" s="93" t="n"/>
      <c r="V356" s="93" t="n"/>
      <c r="W356" s="93" t="n"/>
      <c r="X356" s="93" t="n"/>
      <c r="Y356" s="93" t="n"/>
      <c r="Z356" s="93" t="n"/>
    </row>
    <row r="357">
      <c r="A357" s="93" t="n"/>
      <c r="B357" s="93" t="n"/>
      <c r="C357" s="93" t="n"/>
      <c r="D357" s="93" t="n"/>
      <c r="E357" s="93" t="n"/>
      <c r="F357" s="93" t="n"/>
      <c r="G357" s="93" t="n"/>
      <c r="H357" s="93" t="n"/>
      <c r="I357" s="93" t="n"/>
      <c r="J357" s="93" t="n"/>
      <c r="K357" s="93" t="n"/>
      <c r="L357" s="93" t="n"/>
      <c r="M357" s="93" t="n"/>
      <c r="N357" s="93" t="n"/>
      <c r="O357" s="93" t="n"/>
      <c r="P357" s="93" t="n"/>
      <c r="Q357" s="93" t="n"/>
      <c r="R357" s="93" t="n"/>
      <c r="S357" s="93" t="n"/>
      <c r="T357" s="93" t="n"/>
      <c r="U357" s="93" t="n"/>
      <c r="V357" s="93" t="n"/>
      <c r="W357" s="93" t="n"/>
      <c r="X357" s="93" t="n"/>
      <c r="Y357" s="93" t="n"/>
      <c r="Z357" s="93" t="n"/>
    </row>
    <row r="358">
      <c r="A358" s="93" t="n"/>
      <c r="B358" s="93" t="n"/>
      <c r="C358" s="93" t="n"/>
      <c r="D358" s="93" t="n"/>
      <c r="E358" s="93" t="n"/>
      <c r="F358" s="93" t="n"/>
      <c r="G358" s="93" t="n"/>
      <c r="H358" s="93" t="n"/>
      <c r="I358" s="93" t="n"/>
      <c r="J358" s="93" t="n"/>
      <c r="K358" s="93" t="n"/>
      <c r="L358" s="93" t="n"/>
      <c r="M358" s="93" t="n"/>
      <c r="N358" s="93" t="n"/>
      <c r="O358" s="93" t="n"/>
      <c r="P358" s="93" t="n"/>
      <c r="Q358" s="93" t="n"/>
      <c r="R358" s="93" t="n"/>
      <c r="S358" s="93" t="n"/>
      <c r="T358" s="93" t="n"/>
      <c r="U358" s="93" t="n"/>
      <c r="V358" s="93" t="n"/>
      <c r="W358" s="93" t="n"/>
      <c r="X358" s="93" t="n"/>
      <c r="Y358" s="93" t="n"/>
      <c r="Z358" s="93" t="n"/>
    </row>
    <row r="359">
      <c r="A359" s="93" t="n"/>
      <c r="B359" s="93" t="n"/>
      <c r="C359" s="93" t="n"/>
      <c r="D359" s="93" t="n"/>
      <c r="E359" s="93" t="n"/>
      <c r="F359" s="93" t="n"/>
      <c r="G359" s="93" t="n"/>
      <c r="H359" s="93" t="n"/>
      <c r="I359" s="93" t="n"/>
      <c r="J359" s="93" t="n"/>
      <c r="K359" s="93" t="n"/>
      <c r="L359" s="93" t="n"/>
      <c r="M359" s="93" t="n"/>
      <c r="N359" s="93" t="n"/>
      <c r="O359" s="93" t="n"/>
      <c r="P359" s="93" t="n"/>
      <c r="Q359" s="93" t="n"/>
      <c r="R359" s="93" t="n"/>
      <c r="S359" s="93" t="n"/>
      <c r="T359" s="93" t="n"/>
      <c r="U359" s="93" t="n"/>
      <c r="V359" s="93" t="n"/>
      <c r="W359" s="93" t="n"/>
      <c r="X359" s="93" t="n"/>
      <c r="Y359" s="93" t="n"/>
      <c r="Z359" s="93" t="n"/>
    </row>
    <row r="360">
      <c r="A360" s="93" t="n"/>
      <c r="B360" s="93" t="n"/>
      <c r="C360" s="93" t="n"/>
      <c r="D360" s="93" t="n"/>
      <c r="E360" s="93" t="n"/>
      <c r="F360" s="93" t="n"/>
      <c r="G360" s="93" t="n"/>
      <c r="H360" s="93" t="n"/>
      <c r="I360" s="93" t="n"/>
      <c r="J360" s="93" t="n"/>
      <c r="K360" s="93" t="n"/>
      <c r="L360" s="93" t="n"/>
      <c r="M360" s="93" t="n"/>
      <c r="N360" s="93" t="n"/>
      <c r="O360" s="93" t="n"/>
      <c r="P360" s="93" t="n"/>
      <c r="Q360" s="93" t="n"/>
      <c r="R360" s="93" t="n"/>
      <c r="S360" s="93" t="n"/>
      <c r="T360" s="93" t="n"/>
      <c r="U360" s="93" t="n"/>
      <c r="V360" s="93" t="n"/>
      <c r="W360" s="93" t="n"/>
      <c r="X360" s="93" t="n"/>
      <c r="Y360" s="93" t="n"/>
      <c r="Z360" s="93" t="n"/>
    </row>
    <row r="361">
      <c r="A361" s="93" t="n"/>
      <c r="B361" s="93" t="n"/>
      <c r="C361" s="93" t="n"/>
      <c r="D361" s="93" t="n"/>
      <c r="E361" s="93" t="n"/>
      <c r="F361" s="93" t="n"/>
      <c r="G361" s="93" t="n"/>
      <c r="H361" s="93" t="n"/>
      <c r="I361" s="93" t="n"/>
      <c r="J361" s="93" t="n"/>
      <c r="K361" s="93" t="n"/>
      <c r="L361" s="93" t="n"/>
      <c r="M361" s="93" t="n"/>
      <c r="N361" s="93" t="n"/>
      <c r="O361" s="93" t="n"/>
      <c r="P361" s="93" t="n"/>
      <c r="Q361" s="93" t="n"/>
      <c r="R361" s="93" t="n"/>
      <c r="S361" s="93" t="n"/>
      <c r="T361" s="93" t="n"/>
      <c r="U361" s="93" t="n"/>
      <c r="V361" s="93" t="n"/>
      <c r="W361" s="93" t="n"/>
      <c r="X361" s="93" t="n"/>
      <c r="Y361" s="93" t="n"/>
      <c r="Z361" s="93" t="n"/>
    </row>
    <row r="362">
      <c r="A362" s="93" t="n"/>
      <c r="B362" s="93" t="n"/>
      <c r="C362" s="93" t="n"/>
      <c r="D362" s="93" t="n"/>
      <c r="E362" s="93" t="n"/>
      <c r="F362" s="93" t="n"/>
      <c r="G362" s="93" t="n"/>
      <c r="H362" s="93" t="n"/>
      <c r="I362" s="93" t="n"/>
      <c r="J362" s="93" t="n"/>
      <c r="K362" s="93" t="n"/>
      <c r="L362" s="93" t="n"/>
      <c r="M362" s="93" t="n"/>
      <c r="N362" s="93" t="n"/>
      <c r="O362" s="93" t="n"/>
      <c r="P362" s="93" t="n"/>
      <c r="Q362" s="93" t="n"/>
      <c r="R362" s="93" t="n"/>
      <c r="S362" s="93" t="n"/>
      <c r="T362" s="93" t="n"/>
      <c r="U362" s="93" t="n"/>
      <c r="V362" s="93" t="n"/>
      <c r="W362" s="93" t="n"/>
      <c r="X362" s="93" t="n"/>
      <c r="Y362" s="93" t="n"/>
      <c r="Z362" s="93" t="n"/>
    </row>
    <row r="363">
      <c r="A363" s="93" t="n"/>
      <c r="B363" s="93" t="n"/>
      <c r="C363" s="93" t="n"/>
      <c r="D363" s="93" t="n"/>
      <c r="E363" s="93" t="n"/>
      <c r="F363" s="93" t="n"/>
      <c r="G363" s="93" t="n"/>
      <c r="H363" s="93" t="n"/>
      <c r="I363" s="93" t="n"/>
      <c r="J363" s="93" t="n"/>
      <c r="K363" s="93" t="n"/>
      <c r="L363" s="93" t="n"/>
      <c r="M363" s="93" t="n"/>
      <c r="N363" s="93" t="n"/>
      <c r="O363" s="93" t="n"/>
      <c r="P363" s="93" t="n"/>
      <c r="Q363" s="93" t="n"/>
      <c r="R363" s="93" t="n"/>
      <c r="S363" s="93" t="n"/>
      <c r="T363" s="93" t="n"/>
      <c r="U363" s="93" t="n"/>
      <c r="V363" s="93" t="n"/>
      <c r="W363" s="93" t="n"/>
      <c r="X363" s="93" t="n"/>
      <c r="Y363" s="93" t="n"/>
      <c r="Z363" s="93" t="n"/>
    </row>
    <row r="364">
      <c r="A364" s="93" t="n"/>
      <c r="B364" s="93" t="n"/>
      <c r="C364" s="93" t="n"/>
      <c r="D364" s="93" t="n"/>
      <c r="E364" s="93" t="n"/>
      <c r="F364" s="93" t="n"/>
      <c r="G364" s="93" t="n"/>
      <c r="H364" s="93" t="n"/>
      <c r="I364" s="93" t="n"/>
      <c r="J364" s="93" t="n"/>
      <c r="K364" s="93" t="n"/>
      <c r="L364" s="93" t="n"/>
      <c r="M364" s="93" t="n"/>
      <c r="N364" s="93" t="n"/>
      <c r="O364" s="93" t="n"/>
      <c r="P364" s="93" t="n"/>
      <c r="Q364" s="93" t="n"/>
      <c r="R364" s="93" t="n"/>
      <c r="S364" s="93" t="n"/>
      <c r="T364" s="93" t="n"/>
      <c r="U364" s="93" t="n"/>
      <c r="V364" s="93" t="n"/>
      <c r="W364" s="93" t="n"/>
      <c r="X364" s="93" t="n"/>
      <c r="Y364" s="93" t="n"/>
      <c r="Z364" s="93" t="n"/>
    </row>
    <row r="365">
      <c r="A365" s="93" t="n"/>
      <c r="B365" s="93" t="n"/>
      <c r="C365" s="93" t="n"/>
      <c r="D365" s="93" t="n"/>
      <c r="E365" s="93" t="n"/>
      <c r="F365" s="93" t="n"/>
      <c r="G365" s="93" t="n"/>
      <c r="H365" s="93" t="n"/>
      <c r="I365" s="93" t="n"/>
      <c r="J365" s="93" t="n"/>
      <c r="K365" s="93" t="n"/>
      <c r="L365" s="93" t="n"/>
      <c r="M365" s="93" t="n"/>
      <c r="N365" s="93" t="n"/>
      <c r="O365" s="93" t="n"/>
      <c r="P365" s="93" t="n"/>
      <c r="Q365" s="93" t="n"/>
      <c r="R365" s="93" t="n"/>
      <c r="S365" s="93" t="n"/>
      <c r="T365" s="93" t="n"/>
      <c r="U365" s="93" t="n"/>
      <c r="V365" s="93" t="n"/>
      <c r="W365" s="93" t="n"/>
      <c r="X365" s="93" t="n"/>
      <c r="Y365" s="93" t="n"/>
      <c r="Z365" s="93" t="n"/>
    </row>
    <row r="366">
      <c r="A366" s="93" t="n"/>
      <c r="B366" s="93" t="n"/>
      <c r="C366" s="93" t="n"/>
      <c r="D366" s="93" t="n"/>
      <c r="E366" s="93" t="n"/>
      <c r="F366" s="93" t="n"/>
      <c r="G366" s="93" t="n"/>
      <c r="H366" s="93" t="n"/>
      <c r="I366" s="93" t="n"/>
      <c r="J366" s="93" t="n"/>
      <c r="K366" s="93" t="n"/>
      <c r="L366" s="93" t="n"/>
      <c r="M366" s="93" t="n"/>
      <c r="N366" s="93" t="n"/>
      <c r="O366" s="93" t="n"/>
      <c r="P366" s="93" t="n"/>
      <c r="Q366" s="93" t="n"/>
      <c r="R366" s="93" t="n"/>
      <c r="S366" s="93" t="n"/>
      <c r="T366" s="93" t="n"/>
      <c r="U366" s="93" t="n"/>
      <c r="V366" s="93" t="n"/>
      <c r="W366" s="93" t="n"/>
      <c r="X366" s="93" t="n"/>
      <c r="Y366" s="93" t="n"/>
      <c r="Z366" s="93" t="n"/>
    </row>
    <row r="367">
      <c r="A367" s="93" t="n"/>
      <c r="B367" s="93" t="n"/>
      <c r="C367" s="93" t="n"/>
      <c r="D367" s="93" t="n"/>
      <c r="E367" s="93" t="n"/>
      <c r="F367" s="93" t="n"/>
      <c r="G367" s="93" t="n"/>
      <c r="H367" s="93" t="n"/>
      <c r="I367" s="93" t="n"/>
      <c r="J367" s="93" t="n"/>
      <c r="K367" s="93" t="n"/>
      <c r="L367" s="93" t="n"/>
      <c r="M367" s="93" t="n"/>
      <c r="N367" s="93" t="n"/>
      <c r="O367" s="93" t="n"/>
      <c r="P367" s="93" t="n"/>
      <c r="Q367" s="93" t="n"/>
      <c r="R367" s="93" t="n"/>
      <c r="S367" s="93" t="n"/>
      <c r="T367" s="93" t="n"/>
      <c r="U367" s="93" t="n"/>
      <c r="V367" s="93" t="n"/>
      <c r="W367" s="93" t="n"/>
      <c r="X367" s="93" t="n"/>
      <c r="Y367" s="93" t="n"/>
      <c r="Z367" s="93" t="n"/>
    </row>
    <row r="368">
      <c r="A368" s="93" t="n"/>
      <c r="B368" s="93" t="n"/>
      <c r="C368" s="93" t="n"/>
      <c r="D368" s="93" t="n"/>
      <c r="E368" s="93" t="n"/>
      <c r="F368" s="93" t="n"/>
      <c r="G368" s="93" t="n"/>
      <c r="H368" s="93" t="n"/>
      <c r="I368" s="93" t="n"/>
      <c r="J368" s="93" t="n"/>
      <c r="K368" s="93" t="n"/>
      <c r="L368" s="93" t="n"/>
      <c r="M368" s="93" t="n"/>
      <c r="N368" s="93" t="n"/>
      <c r="O368" s="93" t="n"/>
      <c r="P368" s="93" t="n"/>
      <c r="Q368" s="93" t="n"/>
      <c r="R368" s="93" t="n"/>
      <c r="S368" s="93" t="n"/>
      <c r="T368" s="93" t="n"/>
      <c r="U368" s="93" t="n"/>
      <c r="V368" s="93" t="n"/>
      <c r="W368" s="93" t="n"/>
      <c r="X368" s="93" t="n"/>
      <c r="Y368" s="93" t="n"/>
      <c r="Z368" s="93" t="n"/>
    </row>
    <row r="369">
      <c r="A369" s="93" t="n"/>
      <c r="B369" s="93" t="n"/>
      <c r="C369" s="93" t="n"/>
      <c r="D369" s="93" t="n"/>
      <c r="E369" s="93" t="n"/>
      <c r="F369" s="93" t="n"/>
      <c r="G369" s="93" t="n"/>
      <c r="H369" s="93" t="n"/>
      <c r="I369" s="93" t="n"/>
      <c r="J369" s="93" t="n"/>
      <c r="K369" s="93" t="n"/>
      <c r="L369" s="93" t="n"/>
      <c r="M369" s="93" t="n"/>
      <c r="N369" s="93" t="n"/>
      <c r="O369" s="93" t="n"/>
      <c r="P369" s="93" t="n"/>
      <c r="Q369" s="93" t="n"/>
      <c r="R369" s="93" t="n"/>
      <c r="S369" s="93" t="n"/>
      <c r="T369" s="93" t="n"/>
      <c r="U369" s="93" t="n"/>
      <c r="V369" s="93" t="n"/>
      <c r="W369" s="93" t="n"/>
      <c r="X369" s="93" t="n"/>
      <c r="Y369" s="93" t="n"/>
      <c r="Z369" s="93" t="n"/>
    </row>
    <row r="370">
      <c r="A370" s="93" t="n"/>
      <c r="B370" s="93" t="n"/>
      <c r="C370" s="93" t="n"/>
      <c r="D370" s="93" t="n"/>
      <c r="E370" s="93" t="n"/>
      <c r="F370" s="93" t="n"/>
      <c r="G370" s="93" t="n"/>
      <c r="H370" s="93" t="n"/>
      <c r="I370" s="93" t="n"/>
      <c r="J370" s="93" t="n"/>
      <c r="K370" s="93" t="n"/>
      <c r="L370" s="93" t="n"/>
      <c r="M370" s="93" t="n"/>
      <c r="N370" s="93" t="n"/>
      <c r="O370" s="93" t="n"/>
      <c r="P370" s="93" t="n"/>
      <c r="Q370" s="93" t="n"/>
      <c r="R370" s="93" t="n"/>
      <c r="S370" s="93" t="n"/>
      <c r="T370" s="93" t="n"/>
      <c r="U370" s="93" t="n"/>
      <c r="V370" s="93" t="n"/>
      <c r="W370" s="93" t="n"/>
      <c r="X370" s="93" t="n"/>
      <c r="Y370" s="93" t="n"/>
      <c r="Z370" s="93" t="n"/>
    </row>
    <row r="371">
      <c r="A371" s="93" t="n"/>
      <c r="B371" s="93" t="n"/>
      <c r="C371" s="93" t="n"/>
      <c r="D371" s="93" t="n"/>
      <c r="E371" s="93" t="n"/>
      <c r="F371" s="93" t="n"/>
      <c r="G371" s="93" t="n"/>
      <c r="H371" s="93" t="n"/>
      <c r="I371" s="93" t="n"/>
      <c r="J371" s="93" t="n"/>
      <c r="K371" s="93" t="n"/>
      <c r="L371" s="93" t="n"/>
      <c r="M371" s="93" t="n"/>
      <c r="N371" s="93" t="n"/>
      <c r="O371" s="93" t="n"/>
      <c r="P371" s="93" t="n"/>
      <c r="Q371" s="93" t="n"/>
      <c r="R371" s="93" t="n"/>
      <c r="S371" s="93" t="n"/>
      <c r="T371" s="93" t="n"/>
      <c r="U371" s="93" t="n"/>
      <c r="V371" s="93" t="n"/>
      <c r="W371" s="93" t="n"/>
      <c r="X371" s="93" t="n"/>
      <c r="Y371" s="93" t="n"/>
      <c r="Z371" s="93" t="n"/>
    </row>
    <row r="372">
      <c r="A372" s="93" t="n"/>
      <c r="B372" s="93" t="n"/>
      <c r="C372" s="93" t="n"/>
      <c r="D372" s="93" t="n"/>
      <c r="E372" s="93" t="n"/>
      <c r="F372" s="93" t="n"/>
      <c r="G372" s="93" t="n"/>
      <c r="H372" s="93" t="n"/>
      <c r="I372" s="93" t="n"/>
      <c r="J372" s="93" t="n"/>
      <c r="K372" s="93" t="n"/>
      <c r="L372" s="93" t="n"/>
      <c r="M372" s="93" t="n"/>
      <c r="N372" s="93" t="n"/>
      <c r="O372" s="93" t="n"/>
      <c r="P372" s="93" t="n"/>
      <c r="Q372" s="93" t="n"/>
      <c r="R372" s="93" t="n"/>
      <c r="S372" s="93" t="n"/>
      <c r="T372" s="93" t="n"/>
      <c r="U372" s="93" t="n"/>
      <c r="V372" s="93" t="n"/>
      <c r="W372" s="93" t="n"/>
      <c r="X372" s="93" t="n"/>
      <c r="Y372" s="93" t="n"/>
      <c r="Z372" s="93" t="n"/>
    </row>
    <row r="373">
      <c r="A373" s="93" t="n"/>
      <c r="B373" s="93" t="n"/>
      <c r="C373" s="93" t="n"/>
      <c r="D373" s="93" t="n"/>
      <c r="E373" s="93" t="n"/>
      <c r="F373" s="93" t="n"/>
      <c r="G373" s="93" t="n"/>
      <c r="H373" s="93" t="n"/>
      <c r="I373" s="93" t="n"/>
      <c r="J373" s="93" t="n"/>
      <c r="K373" s="93" t="n"/>
      <c r="L373" s="93" t="n"/>
      <c r="M373" s="93" t="n"/>
      <c r="N373" s="93" t="n"/>
      <c r="O373" s="93" t="n"/>
      <c r="P373" s="93" t="n"/>
      <c r="Q373" s="93" t="n"/>
      <c r="R373" s="93" t="n"/>
      <c r="S373" s="93" t="n"/>
      <c r="T373" s="93" t="n"/>
      <c r="U373" s="93" t="n"/>
      <c r="V373" s="93" t="n"/>
      <c r="W373" s="93" t="n"/>
      <c r="X373" s="93" t="n"/>
      <c r="Y373" s="93" t="n"/>
      <c r="Z373" s="93" t="n"/>
    </row>
    <row r="374">
      <c r="A374" s="93" t="n"/>
      <c r="B374" s="93" t="n"/>
      <c r="C374" s="93" t="n"/>
      <c r="D374" s="93" t="n"/>
      <c r="E374" s="93" t="n"/>
      <c r="F374" s="93" t="n"/>
      <c r="G374" s="93" t="n"/>
      <c r="H374" s="93" t="n"/>
      <c r="I374" s="93" t="n"/>
      <c r="J374" s="93" t="n"/>
      <c r="K374" s="93" t="n"/>
      <c r="L374" s="93" t="n"/>
      <c r="M374" s="93" t="n"/>
      <c r="N374" s="93" t="n"/>
      <c r="O374" s="93" t="n"/>
      <c r="P374" s="93" t="n"/>
      <c r="Q374" s="93" t="n"/>
      <c r="R374" s="93" t="n"/>
      <c r="S374" s="93" t="n"/>
      <c r="T374" s="93" t="n"/>
      <c r="U374" s="93" t="n"/>
      <c r="V374" s="93" t="n"/>
      <c r="W374" s="93" t="n"/>
      <c r="X374" s="93" t="n"/>
      <c r="Y374" s="93" t="n"/>
      <c r="Z374" s="93" t="n"/>
    </row>
    <row r="375">
      <c r="A375" s="93" t="n"/>
      <c r="B375" s="93" t="n"/>
      <c r="C375" s="93" t="n"/>
      <c r="D375" s="93" t="n"/>
      <c r="E375" s="93" t="n"/>
      <c r="F375" s="93" t="n"/>
      <c r="G375" s="93" t="n"/>
      <c r="H375" s="93" t="n"/>
      <c r="I375" s="93" t="n"/>
      <c r="J375" s="93" t="n"/>
      <c r="K375" s="93" t="n"/>
      <c r="L375" s="93" t="n"/>
      <c r="M375" s="93" t="n"/>
      <c r="N375" s="93" t="n"/>
      <c r="O375" s="93" t="n"/>
      <c r="P375" s="93" t="n"/>
      <c r="Q375" s="93" t="n"/>
      <c r="R375" s="93" t="n"/>
      <c r="S375" s="93" t="n"/>
      <c r="T375" s="93" t="n"/>
      <c r="U375" s="93" t="n"/>
      <c r="V375" s="93" t="n"/>
      <c r="W375" s="93" t="n"/>
      <c r="X375" s="93" t="n"/>
      <c r="Y375" s="93" t="n"/>
      <c r="Z375" s="93" t="n"/>
    </row>
    <row r="376">
      <c r="A376" s="93" t="n"/>
      <c r="B376" s="93" t="n"/>
      <c r="C376" s="93" t="n"/>
      <c r="D376" s="93" t="n"/>
      <c r="E376" s="93" t="n"/>
      <c r="F376" s="93" t="n"/>
      <c r="G376" s="93" t="n"/>
      <c r="H376" s="93" t="n"/>
      <c r="I376" s="93" t="n"/>
      <c r="J376" s="93" t="n"/>
      <c r="K376" s="93" t="n"/>
      <c r="L376" s="93" t="n"/>
      <c r="M376" s="93" t="n"/>
      <c r="N376" s="93" t="n"/>
      <c r="O376" s="93" t="n"/>
      <c r="P376" s="93" t="n"/>
      <c r="Q376" s="93" t="n"/>
      <c r="R376" s="93" t="n"/>
      <c r="S376" s="93" t="n"/>
      <c r="T376" s="93" t="n"/>
      <c r="U376" s="93" t="n"/>
      <c r="V376" s="93" t="n"/>
      <c r="W376" s="93" t="n"/>
      <c r="X376" s="93" t="n"/>
      <c r="Y376" s="93" t="n"/>
      <c r="Z376" s="93" t="n"/>
    </row>
    <row r="377">
      <c r="A377" s="93" t="n"/>
      <c r="B377" s="93" t="n"/>
      <c r="C377" s="93" t="n"/>
      <c r="D377" s="93" t="n"/>
      <c r="E377" s="93" t="n"/>
      <c r="F377" s="93" t="n"/>
      <c r="G377" s="93" t="n"/>
      <c r="H377" s="93" t="n"/>
      <c r="I377" s="93" t="n"/>
      <c r="J377" s="93" t="n"/>
      <c r="K377" s="93" t="n"/>
      <c r="L377" s="93" t="n"/>
      <c r="M377" s="93" t="n"/>
      <c r="N377" s="93" t="n"/>
      <c r="O377" s="93" t="n"/>
      <c r="P377" s="93" t="n"/>
      <c r="Q377" s="93" t="n"/>
      <c r="R377" s="93" t="n"/>
      <c r="S377" s="93" t="n"/>
      <c r="T377" s="93" t="n"/>
      <c r="U377" s="93" t="n"/>
      <c r="V377" s="93" t="n"/>
      <c r="W377" s="93" t="n"/>
      <c r="X377" s="93" t="n"/>
      <c r="Y377" s="93" t="n"/>
      <c r="Z377" s="93" t="n"/>
    </row>
    <row r="378">
      <c r="A378" s="93" t="n"/>
      <c r="B378" s="93" t="n"/>
      <c r="C378" s="93" t="n"/>
      <c r="D378" s="93" t="n"/>
      <c r="E378" s="93" t="n"/>
      <c r="F378" s="93" t="n"/>
      <c r="G378" s="93" t="n"/>
      <c r="H378" s="93" t="n"/>
      <c r="I378" s="93" t="n"/>
      <c r="J378" s="93" t="n"/>
      <c r="K378" s="93" t="n"/>
      <c r="L378" s="93" t="n"/>
      <c r="M378" s="93" t="n"/>
      <c r="N378" s="93" t="n"/>
      <c r="O378" s="93" t="n"/>
      <c r="P378" s="93" t="n"/>
      <c r="Q378" s="93" t="n"/>
      <c r="R378" s="93" t="n"/>
      <c r="S378" s="93" t="n"/>
      <c r="T378" s="93" t="n"/>
      <c r="U378" s="93" t="n"/>
      <c r="V378" s="93" t="n"/>
      <c r="W378" s="93" t="n"/>
      <c r="X378" s="93" t="n"/>
      <c r="Y378" s="93" t="n"/>
      <c r="Z378" s="93" t="n"/>
    </row>
    <row r="379">
      <c r="A379" s="93" t="n"/>
      <c r="B379" s="93" t="n"/>
      <c r="C379" s="93" t="n"/>
      <c r="D379" s="93" t="n"/>
      <c r="E379" s="93" t="n"/>
      <c r="F379" s="93" t="n"/>
      <c r="G379" s="93" t="n"/>
      <c r="H379" s="93" t="n"/>
      <c r="I379" s="93" t="n"/>
      <c r="J379" s="93" t="n"/>
      <c r="K379" s="93" t="n"/>
      <c r="L379" s="93" t="n"/>
      <c r="M379" s="93" t="n"/>
      <c r="N379" s="93" t="n"/>
      <c r="O379" s="93" t="n"/>
      <c r="P379" s="93" t="n"/>
      <c r="Q379" s="93" t="n"/>
      <c r="R379" s="93" t="n"/>
      <c r="S379" s="93" t="n"/>
      <c r="T379" s="93" t="n"/>
      <c r="U379" s="93" t="n"/>
      <c r="V379" s="93" t="n"/>
      <c r="W379" s="93" t="n"/>
      <c r="X379" s="93" t="n"/>
      <c r="Y379" s="93" t="n"/>
      <c r="Z379" s="93" t="n"/>
    </row>
    <row r="380">
      <c r="A380" s="93" t="n"/>
      <c r="B380" s="93" t="n"/>
      <c r="C380" s="93" t="n"/>
      <c r="D380" s="93" t="n"/>
      <c r="E380" s="93" t="n"/>
      <c r="F380" s="93" t="n"/>
      <c r="G380" s="93" t="n"/>
      <c r="H380" s="93" t="n"/>
      <c r="I380" s="93" t="n"/>
      <c r="J380" s="93" t="n"/>
      <c r="K380" s="93" t="n"/>
      <c r="L380" s="93" t="n"/>
      <c r="M380" s="93" t="n"/>
      <c r="N380" s="93" t="n"/>
      <c r="O380" s="93" t="n"/>
      <c r="P380" s="93" t="n"/>
      <c r="Q380" s="93" t="n"/>
      <c r="R380" s="93" t="n"/>
      <c r="S380" s="93" t="n"/>
      <c r="T380" s="93" t="n"/>
      <c r="U380" s="93" t="n"/>
      <c r="V380" s="93" t="n"/>
      <c r="W380" s="93" t="n"/>
      <c r="X380" s="93" t="n"/>
      <c r="Y380" s="93" t="n"/>
      <c r="Z380" s="93" t="n"/>
    </row>
    <row r="381">
      <c r="A381" s="93" t="n"/>
      <c r="B381" s="93" t="n"/>
      <c r="C381" s="93" t="n"/>
      <c r="D381" s="93" t="n"/>
      <c r="E381" s="93" t="n"/>
      <c r="F381" s="93" t="n"/>
      <c r="G381" s="93" t="n"/>
      <c r="H381" s="93" t="n"/>
      <c r="I381" s="93" t="n"/>
      <c r="J381" s="93" t="n"/>
      <c r="K381" s="93" t="n"/>
      <c r="L381" s="93" t="n"/>
      <c r="M381" s="93" t="n"/>
      <c r="N381" s="93" t="n"/>
      <c r="O381" s="93" t="n"/>
      <c r="P381" s="93" t="n"/>
      <c r="Q381" s="93" t="n"/>
      <c r="R381" s="93" t="n"/>
      <c r="S381" s="93" t="n"/>
      <c r="T381" s="93" t="n"/>
      <c r="U381" s="93" t="n"/>
      <c r="V381" s="93" t="n"/>
      <c r="W381" s="93" t="n"/>
      <c r="X381" s="93" t="n"/>
      <c r="Y381" s="93" t="n"/>
      <c r="Z381" s="93" t="n"/>
    </row>
    <row r="382">
      <c r="A382" s="93" t="n"/>
      <c r="B382" s="93" t="n"/>
      <c r="C382" s="93" t="n"/>
      <c r="D382" s="93" t="n"/>
      <c r="E382" s="93" t="n"/>
      <c r="F382" s="93" t="n"/>
      <c r="G382" s="93" t="n"/>
      <c r="H382" s="93" t="n"/>
      <c r="I382" s="93" t="n"/>
      <c r="J382" s="93" t="n"/>
      <c r="K382" s="93" t="n"/>
      <c r="L382" s="93" t="n"/>
      <c r="M382" s="93" t="n"/>
      <c r="N382" s="93" t="n"/>
      <c r="O382" s="93" t="n"/>
      <c r="P382" s="93" t="n"/>
      <c r="Q382" s="93" t="n"/>
      <c r="R382" s="93" t="n"/>
      <c r="S382" s="93" t="n"/>
      <c r="T382" s="93" t="n"/>
      <c r="U382" s="93" t="n"/>
      <c r="V382" s="93" t="n"/>
      <c r="W382" s="93" t="n"/>
      <c r="X382" s="93" t="n"/>
      <c r="Y382" s="93" t="n"/>
      <c r="Z382" s="93" t="n"/>
    </row>
    <row r="383">
      <c r="A383" s="93" t="n"/>
      <c r="B383" s="93" t="n"/>
      <c r="C383" s="93" t="n"/>
      <c r="D383" s="93" t="n"/>
      <c r="E383" s="93" t="n"/>
      <c r="F383" s="93" t="n"/>
      <c r="G383" s="93" t="n"/>
      <c r="H383" s="93" t="n"/>
      <c r="I383" s="93" t="n"/>
      <c r="J383" s="93" t="n"/>
      <c r="K383" s="93" t="n"/>
      <c r="L383" s="93" t="n"/>
      <c r="M383" s="93" t="n"/>
      <c r="N383" s="93" t="n"/>
      <c r="O383" s="93" t="n"/>
      <c r="P383" s="93" t="n"/>
      <c r="Q383" s="93" t="n"/>
      <c r="R383" s="93" t="n"/>
      <c r="S383" s="93" t="n"/>
      <c r="T383" s="93" t="n"/>
      <c r="U383" s="93" t="n"/>
      <c r="V383" s="93" t="n"/>
      <c r="W383" s="93" t="n"/>
      <c r="X383" s="93" t="n"/>
      <c r="Y383" s="93" t="n"/>
      <c r="Z383" s="93" t="n"/>
    </row>
    <row r="384">
      <c r="A384" s="93" t="n"/>
      <c r="B384" s="93" t="n"/>
      <c r="C384" s="93" t="n"/>
      <c r="D384" s="93" t="n"/>
      <c r="E384" s="93" t="n"/>
      <c r="F384" s="93" t="n"/>
      <c r="G384" s="93" t="n"/>
      <c r="H384" s="93" t="n"/>
      <c r="I384" s="93" t="n"/>
      <c r="J384" s="93" t="n"/>
      <c r="K384" s="93" t="n"/>
      <c r="L384" s="93" t="n"/>
      <c r="M384" s="93" t="n"/>
      <c r="N384" s="93" t="n"/>
      <c r="O384" s="93" t="n"/>
      <c r="P384" s="93" t="n"/>
      <c r="Q384" s="93" t="n"/>
      <c r="R384" s="93" t="n"/>
      <c r="S384" s="93" t="n"/>
      <c r="T384" s="93" t="n"/>
      <c r="U384" s="93" t="n"/>
      <c r="V384" s="93" t="n"/>
      <c r="W384" s="93" t="n"/>
      <c r="X384" s="93" t="n"/>
      <c r="Y384" s="93" t="n"/>
      <c r="Z384" s="93" t="n"/>
    </row>
    <row r="385">
      <c r="A385" s="93" t="n"/>
      <c r="B385" s="93" t="n"/>
      <c r="C385" s="93" t="n"/>
      <c r="D385" s="93" t="n"/>
      <c r="E385" s="93" t="n"/>
      <c r="F385" s="93" t="n"/>
      <c r="G385" s="93" t="n"/>
      <c r="H385" s="93" t="n"/>
      <c r="I385" s="93" t="n"/>
      <c r="J385" s="93" t="n"/>
      <c r="K385" s="93" t="n"/>
      <c r="L385" s="93" t="n"/>
      <c r="M385" s="93" t="n"/>
      <c r="N385" s="93" t="n"/>
      <c r="O385" s="93" t="n"/>
      <c r="P385" s="93" t="n"/>
      <c r="Q385" s="93" t="n"/>
      <c r="R385" s="93" t="n"/>
      <c r="S385" s="93" t="n"/>
      <c r="T385" s="93" t="n"/>
      <c r="U385" s="93" t="n"/>
      <c r="V385" s="93" t="n"/>
      <c r="W385" s="93" t="n"/>
      <c r="X385" s="93" t="n"/>
      <c r="Y385" s="93" t="n"/>
      <c r="Z385" s="93" t="n"/>
    </row>
    <row r="386">
      <c r="A386" s="93" t="n"/>
      <c r="B386" s="93" t="n"/>
      <c r="C386" s="93" t="n"/>
      <c r="D386" s="93" t="n"/>
      <c r="E386" s="93" t="n"/>
      <c r="F386" s="93" t="n"/>
      <c r="G386" s="93" t="n"/>
      <c r="H386" s="93" t="n"/>
      <c r="I386" s="93" t="n"/>
      <c r="J386" s="93" t="n"/>
      <c r="K386" s="93" t="n"/>
      <c r="L386" s="93" t="n"/>
      <c r="M386" s="93" t="n"/>
      <c r="N386" s="93" t="n"/>
      <c r="O386" s="93" t="n"/>
      <c r="P386" s="93" t="n"/>
      <c r="Q386" s="93" t="n"/>
      <c r="R386" s="93" t="n"/>
      <c r="S386" s="93" t="n"/>
      <c r="T386" s="93" t="n"/>
      <c r="U386" s="93" t="n"/>
      <c r="V386" s="93" t="n"/>
      <c r="W386" s="93" t="n"/>
      <c r="X386" s="93" t="n"/>
      <c r="Y386" s="93" t="n"/>
      <c r="Z386" s="93" t="n"/>
    </row>
    <row r="387">
      <c r="A387" s="93" t="n"/>
      <c r="B387" s="93" t="n"/>
      <c r="C387" s="93" t="n"/>
      <c r="D387" s="93" t="n"/>
      <c r="E387" s="93" t="n"/>
      <c r="F387" s="93" t="n"/>
      <c r="G387" s="93" t="n"/>
      <c r="H387" s="93" t="n"/>
      <c r="I387" s="93" t="n"/>
      <c r="J387" s="93" t="n"/>
      <c r="K387" s="93" t="n"/>
      <c r="L387" s="93" t="n"/>
      <c r="M387" s="93" t="n"/>
      <c r="N387" s="93" t="n"/>
      <c r="O387" s="93" t="n"/>
      <c r="P387" s="93" t="n"/>
      <c r="Q387" s="93" t="n"/>
      <c r="R387" s="93" t="n"/>
      <c r="S387" s="93" t="n"/>
      <c r="T387" s="93" t="n"/>
      <c r="U387" s="93" t="n"/>
      <c r="V387" s="93" t="n"/>
      <c r="W387" s="93" t="n"/>
      <c r="X387" s="93" t="n"/>
      <c r="Y387" s="93" t="n"/>
      <c r="Z387" s="93" t="n"/>
    </row>
    <row r="388">
      <c r="A388" s="93" t="n"/>
      <c r="B388" s="93" t="n"/>
      <c r="C388" s="93" t="n"/>
      <c r="D388" s="93" t="n"/>
      <c r="E388" s="93" t="n"/>
      <c r="F388" s="93" t="n"/>
      <c r="G388" s="93" t="n"/>
      <c r="H388" s="93" t="n"/>
      <c r="I388" s="93" t="n"/>
      <c r="J388" s="93" t="n"/>
      <c r="K388" s="93" t="n"/>
      <c r="L388" s="93" t="n"/>
      <c r="M388" s="93" t="n"/>
      <c r="N388" s="93" t="n"/>
      <c r="O388" s="93" t="n"/>
      <c r="P388" s="93" t="n"/>
      <c r="Q388" s="93" t="n"/>
      <c r="R388" s="93" t="n"/>
      <c r="S388" s="93" t="n"/>
      <c r="T388" s="93" t="n"/>
      <c r="U388" s="93" t="n"/>
      <c r="V388" s="93" t="n"/>
      <c r="W388" s="93" t="n"/>
      <c r="X388" s="93" t="n"/>
      <c r="Y388" s="93" t="n"/>
      <c r="Z388" s="93" t="n"/>
    </row>
    <row r="389">
      <c r="A389" s="93" t="n"/>
      <c r="B389" s="93" t="n"/>
      <c r="C389" s="93" t="n"/>
      <c r="D389" s="93" t="n"/>
      <c r="E389" s="93" t="n"/>
      <c r="F389" s="93" t="n"/>
      <c r="G389" s="93" t="n"/>
      <c r="H389" s="93" t="n"/>
      <c r="I389" s="93" t="n"/>
      <c r="J389" s="93" t="n"/>
      <c r="K389" s="93" t="n"/>
      <c r="L389" s="93" t="n"/>
      <c r="M389" s="93" t="n"/>
      <c r="N389" s="93" t="n"/>
      <c r="O389" s="93" t="n"/>
      <c r="P389" s="93" t="n"/>
      <c r="Q389" s="93" t="n"/>
      <c r="R389" s="93" t="n"/>
      <c r="S389" s="93" t="n"/>
      <c r="T389" s="93" t="n"/>
      <c r="U389" s="93" t="n"/>
      <c r="V389" s="93" t="n"/>
      <c r="W389" s="93" t="n"/>
      <c r="X389" s="93" t="n"/>
      <c r="Y389" s="93" t="n"/>
      <c r="Z389" s="93" t="n"/>
    </row>
    <row r="390">
      <c r="A390" s="93" t="n"/>
      <c r="B390" s="93" t="n"/>
      <c r="C390" s="93" t="n"/>
      <c r="D390" s="93" t="n"/>
      <c r="E390" s="93" t="n"/>
      <c r="F390" s="93" t="n"/>
      <c r="G390" s="93" t="n"/>
      <c r="H390" s="93" t="n"/>
      <c r="I390" s="93" t="n"/>
      <c r="J390" s="93" t="n"/>
      <c r="K390" s="93" t="n"/>
      <c r="L390" s="93" t="n"/>
      <c r="M390" s="93" t="n"/>
      <c r="N390" s="93" t="n"/>
      <c r="O390" s="93" t="n"/>
      <c r="P390" s="93" t="n"/>
      <c r="Q390" s="93" t="n"/>
      <c r="R390" s="93" t="n"/>
      <c r="S390" s="93" t="n"/>
      <c r="T390" s="93" t="n"/>
      <c r="U390" s="93" t="n"/>
      <c r="V390" s="93" t="n"/>
      <c r="W390" s="93" t="n"/>
      <c r="X390" s="93" t="n"/>
      <c r="Y390" s="93" t="n"/>
      <c r="Z390" s="93" t="n"/>
    </row>
    <row r="391">
      <c r="A391" s="93" t="n"/>
      <c r="B391" s="93" t="n"/>
      <c r="C391" s="93" t="n"/>
      <c r="D391" s="93" t="n"/>
      <c r="E391" s="93" t="n"/>
      <c r="F391" s="93" t="n"/>
      <c r="G391" s="93" t="n"/>
      <c r="H391" s="93" t="n"/>
      <c r="I391" s="93" t="n"/>
      <c r="J391" s="93" t="n"/>
      <c r="K391" s="93" t="n"/>
      <c r="L391" s="93" t="n"/>
      <c r="M391" s="93" t="n"/>
      <c r="N391" s="93" t="n"/>
      <c r="O391" s="93" t="n"/>
      <c r="P391" s="93" t="n"/>
      <c r="Q391" s="93" t="n"/>
      <c r="R391" s="93" t="n"/>
      <c r="S391" s="93" t="n"/>
      <c r="T391" s="93" t="n"/>
      <c r="U391" s="93" t="n"/>
      <c r="V391" s="93" t="n"/>
      <c r="W391" s="93" t="n"/>
      <c r="X391" s="93" t="n"/>
      <c r="Y391" s="93" t="n"/>
      <c r="Z391" s="93" t="n"/>
    </row>
    <row r="392">
      <c r="A392" s="93" t="n"/>
      <c r="B392" s="93" t="n"/>
      <c r="C392" s="93" t="n"/>
      <c r="D392" s="93" t="n"/>
      <c r="E392" s="93" t="n"/>
      <c r="F392" s="93" t="n"/>
      <c r="G392" s="93" t="n"/>
      <c r="H392" s="93" t="n"/>
      <c r="I392" s="93" t="n"/>
      <c r="J392" s="93" t="n"/>
      <c r="K392" s="93" t="n"/>
      <c r="L392" s="93" t="n"/>
      <c r="M392" s="93" t="n"/>
      <c r="N392" s="93" t="n"/>
      <c r="O392" s="93" t="n"/>
      <c r="P392" s="93" t="n"/>
      <c r="Q392" s="93" t="n"/>
      <c r="R392" s="93" t="n"/>
      <c r="S392" s="93" t="n"/>
      <c r="T392" s="93" t="n"/>
      <c r="U392" s="93" t="n"/>
      <c r="V392" s="93" t="n"/>
      <c r="W392" s="93" t="n"/>
      <c r="X392" s="93" t="n"/>
      <c r="Y392" s="93" t="n"/>
      <c r="Z392" s="93" t="n"/>
    </row>
    <row r="393">
      <c r="A393" s="93" t="n"/>
      <c r="B393" s="93" t="n"/>
      <c r="C393" s="93" t="n"/>
      <c r="D393" s="93" t="n"/>
      <c r="E393" s="93" t="n"/>
      <c r="F393" s="93" t="n"/>
      <c r="G393" s="93" t="n"/>
      <c r="H393" s="93" t="n"/>
      <c r="I393" s="93" t="n"/>
      <c r="J393" s="93" t="n"/>
      <c r="K393" s="93" t="n"/>
      <c r="L393" s="93" t="n"/>
      <c r="M393" s="93" t="n"/>
      <c r="N393" s="93" t="n"/>
      <c r="O393" s="93" t="n"/>
      <c r="P393" s="93" t="n"/>
      <c r="Q393" s="93" t="n"/>
      <c r="R393" s="93" t="n"/>
      <c r="S393" s="93" t="n"/>
      <c r="T393" s="93" t="n"/>
      <c r="U393" s="93" t="n"/>
      <c r="V393" s="93" t="n"/>
      <c r="W393" s="93" t="n"/>
      <c r="X393" s="93" t="n"/>
      <c r="Y393" s="93" t="n"/>
      <c r="Z393" s="93" t="n"/>
    </row>
    <row r="394">
      <c r="A394" s="93" t="n"/>
      <c r="B394" s="93" t="n"/>
      <c r="C394" s="93" t="n"/>
      <c r="D394" s="93" t="n"/>
      <c r="E394" s="93" t="n"/>
      <c r="F394" s="93" t="n"/>
      <c r="G394" s="93" t="n"/>
      <c r="H394" s="93" t="n"/>
      <c r="I394" s="93" t="n"/>
      <c r="J394" s="93" t="n"/>
      <c r="K394" s="93" t="n"/>
      <c r="L394" s="93" t="n"/>
      <c r="M394" s="93" t="n"/>
      <c r="N394" s="93" t="n"/>
      <c r="O394" s="93" t="n"/>
      <c r="P394" s="93" t="n"/>
      <c r="Q394" s="93" t="n"/>
      <c r="R394" s="93" t="n"/>
      <c r="S394" s="93" t="n"/>
      <c r="T394" s="93" t="n"/>
      <c r="U394" s="93" t="n"/>
      <c r="V394" s="93" t="n"/>
      <c r="W394" s="93" t="n"/>
      <c r="X394" s="93" t="n"/>
      <c r="Y394" s="93" t="n"/>
      <c r="Z394" s="93" t="n"/>
    </row>
    <row r="395">
      <c r="A395" s="93" t="n"/>
      <c r="B395" s="93" t="n"/>
      <c r="C395" s="93" t="n"/>
      <c r="D395" s="93" t="n"/>
      <c r="E395" s="93" t="n"/>
      <c r="F395" s="93" t="n"/>
      <c r="G395" s="93" t="n"/>
      <c r="H395" s="93" t="n"/>
      <c r="I395" s="93" t="n"/>
      <c r="J395" s="93" t="n"/>
      <c r="K395" s="93" t="n"/>
      <c r="L395" s="93" t="n"/>
      <c r="M395" s="93" t="n"/>
      <c r="N395" s="93" t="n"/>
      <c r="O395" s="93" t="n"/>
      <c r="P395" s="93" t="n"/>
      <c r="Q395" s="93" t="n"/>
      <c r="R395" s="93" t="n"/>
      <c r="S395" s="93" t="n"/>
      <c r="T395" s="93" t="n"/>
      <c r="U395" s="93" t="n"/>
      <c r="V395" s="93" t="n"/>
      <c r="W395" s="93" t="n"/>
      <c r="X395" s="93" t="n"/>
      <c r="Y395" s="93" t="n"/>
      <c r="Z395" s="93" t="n"/>
    </row>
    <row r="396">
      <c r="A396" s="93" t="n"/>
      <c r="B396" s="93" t="n"/>
      <c r="C396" s="93" t="n"/>
      <c r="D396" s="93" t="n"/>
      <c r="E396" s="93" t="n"/>
      <c r="F396" s="93" t="n"/>
      <c r="G396" s="93" t="n"/>
      <c r="H396" s="93" t="n"/>
      <c r="I396" s="93" t="n"/>
      <c r="J396" s="93" t="n"/>
      <c r="K396" s="93" t="n"/>
      <c r="L396" s="93" t="n"/>
      <c r="M396" s="93" t="n"/>
      <c r="N396" s="93" t="n"/>
      <c r="O396" s="93" t="n"/>
      <c r="P396" s="93" t="n"/>
      <c r="Q396" s="93" t="n"/>
      <c r="R396" s="93" t="n"/>
      <c r="S396" s="93" t="n"/>
      <c r="T396" s="93" t="n"/>
      <c r="U396" s="93" t="n"/>
      <c r="V396" s="93" t="n"/>
      <c r="W396" s="93" t="n"/>
      <c r="X396" s="93" t="n"/>
      <c r="Y396" s="93" t="n"/>
      <c r="Z396" s="93" t="n"/>
    </row>
    <row r="397">
      <c r="A397" s="93" t="n"/>
      <c r="B397" s="93" t="n"/>
      <c r="C397" s="93" t="n"/>
      <c r="D397" s="93" t="n"/>
      <c r="E397" s="93" t="n"/>
      <c r="F397" s="93" t="n"/>
      <c r="G397" s="93" t="n"/>
      <c r="H397" s="93" t="n"/>
      <c r="I397" s="93" t="n"/>
      <c r="J397" s="93" t="n"/>
      <c r="K397" s="93" t="n"/>
      <c r="L397" s="93" t="n"/>
      <c r="M397" s="93" t="n"/>
      <c r="N397" s="93" t="n"/>
      <c r="O397" s="93" t="n"/>
      <c r="P397" s="93" t="n"/>
      <c r="Q397" s="93" t="n"/>
      <c r="R397" s="93" t="n"/>
      <c r="S397" s="93" t="n"/>
      <c r="T397" s="93" t="n"/>
      <c r="U397" s="93" t="n"/>
      <c r="V397" s="93" t="n"/>
      <c r="W397" s="93" t="n"/>
      <c r="X397" s="93" t="n"/>
      <c r="Y397" s="93" t="n"/>
      <c r="Z397" s="93" t="n"/>
    </row>
    <row r="398">
      <c r="A398" s="93" t="n"/>
      <c r="B398" s="93" t="n"/>
      <c r="C398" s="93" t="n"/>
      <c r="D398" s="93" t="n"/>
      <c r="E398" s="93" t="n"/>
      <c r="F398" s="93" t="n"/>
      <c r="G398" s="93" t="n"/>
      <c r="H398" s="93" t="n"/>
      <c r="I398" s="93" t="n"/>
      <c r="J398" s="93" t="n"/>
      <c r="K398" s="93" t="n"/>
      <c r="L398" s="93" t="n"/>
      <c r="M398" s="93" t="n"/>
      <c r="N398" s="93" t="n"/>
      <c r="O398" s="93" t="n"/>
      <c r="P398" s="93" t="n"/>
      <c r="Q398" s="93" t="n"/>
      <c r="R398" s="93" t="n"/>
      <c r="S398" s="93" t="n"/>
      <c r="T398" s="93" t="n"/>
      <c r="U398" s="93" t="n"/>
      <c r="V398" s="93" t="n"/>
      <c r="W398" s="93" t="n"/>
      <c r="X398" s="93" t="n"/>
      <c r="Y398" s="93" t="n"/>
      <c r="Z398" s="93" t="n"/>
    </row>
    <row r="399">
      <c r="A399" s="93" t="n"/>
      <c r="B399" s="93" t="n"/>
      <c r="C399" s="93" t="n"/>
      <c r="D399" s="93" t="n"/>
      <c r="E399" s="93" t="n"/>
      <c r="F399" s="93" t="n"/>
      <c r="G399" s="93" t="n"/>
      <c r="H399" s="93" t="n"/>
      <c r="I399" s="93" t="n"/>
      <c r="J399" s="93" t="n"/>
      <c r="K399" s="93" t="n"/>
      <c r="L399" s="93" t="n"/>
      <c r="M399" s="93" t="n"/>
      <c r="N399" s="93" t="n"/>
      <c r="O399" s="93" t="n"/>
      <c r="P399" s="93" t="n"/>
      <c r="Q399" s="93" t="n"/>
      <c r="R399" s="93" t="n"/>
      <c r="S399" s="93" t="n"/>
      <c r="T399" s="93" t="n"/>
      <c r="U399" s="93" t="n"/>
      <c r="V399" s="93" t="n"/>
      <c r="W399" s="93" t="n"/>
      <c r="X399" s="93" t="n"/>
      <c r="Y399" s="93" t="n"/>
      <c r="Z399" s="93" t="n"/>
    </row>
    <row r="400">
      <c r="A400" s="93" t="n"/>
      <c r="B400" s="93" t="n"/>
      <c r="C400" s="93" t="n"/>
      <c r="D400" s="93" t="n"/>
      <c r="E400" s="93" t="n"/>
      <c r="F400" s="93" t="n"/>
      <c r="G400" s="93" t="n"/>
      <c r="H400" s="93" t="n"/>
      <c r="I400" s="93" t="n"/>
      <c r="J400" s="93" t="n"/>
      <c r="K400" s="93" t="n"/>
      <c r="L400" s="93" t="n"/>
      <c r="M400" s="93" t="n"/>
      <c r="N400" s="93" t="n"/>
      <c r="O400" s="93" t="n"/>
      <c r="P400" s="93" t="n"/>
      <c r="Q400" s="93" t="n"/>
      <c r="R400" s="93" t="n"/>
      <c r="S400" s="93" t="n"/>
      <c r="T400" s="93" t="n"/>
      <c r="U400" s="93" t="n"/>
      <c r="V400" s="93" t="n"/>
      <c r="W400" s="93" t="n"/>
      <c r="X400" s="93" t="n"/>
      <c r="Y400" s="93" t="n"/>
      <c r="Z400" s="93" t="n"/>
    </row>
    <row r="401">
      <c r="A401" s="93" t="n"/>
      <c r="B401" s="93" t="n"/>
      <c r="C401" s="93" t="n"/>
      <c r="D401" s="93" t="n"/>
      <c r="E401" s="93" t="n"/>
      <c r="F401" s="93" t="n"/>
      <c r="G401" s="93" t="n"/>
      <c r="H401" s="93" t="n"/>
      <c r="I401" s="93" t="n"/>
      <c r="J401" s="93" t="n"/>
      <c r="K401" s="93" t="n"/>
      <c r="L401" s="93" t="n"/>
      <c r="M401" s="93" t="n"/>
      <c r="N401" s="93" t="n"/>
      <c r="O401" s="93" t="n"/>
      <c r="P401" s="93" t="n"/>
      <c r="Q401" s="93" t="n"/>
      <c r="R401" s="93" t="n"/>
      <c r="S401" s="93" t="n"/>
      <c r="T401" s="93" t="n"/>
      <c r="U401" s="93" t="n"/>
      <c r="V401" s="93" t="n"/>
      <c r="W401" s="93" t="n"/>
      <c r="X401" s="93" t="n"/>
      <c r="Y401" s="93" t="n"/>
      <c r="Z401" s="93" t="n"/>
    </row>
    <row r="402">
      <c r="A402" s="93" t="n"/>
      <c r="B402" s="93" t="n"/>
      <c r="C402" s="93" t="n"/>
      <c r="D402" s="93" t="n"/>
      <c r="E402" s="93" t="n"/>
      <c r="F402" s="93" t="n"/>
      <c r="G402" s="93" t="n"/>
      <c r="H402" s="93" t="n"/>
      <c r="I402" s="93" t="n"/>
      <c r="J402" s="93" t="n"/>
      <c r="K402" s="93" t="n"/>
      <c r="L402" s="93" t="n"/>
      <c r="M402" s="93" t="n"/>
      <c r="N402" s="93" t="n"/>
      <c r="O402" s="93" t="n"/>
      <c r="P402" s="93" t="n"/>
      <c r="Q402" s="93" t="n"/>
      <c r="R402" s="93" t="n"/>
      <c r="S402" s="93" t="n"/>
      <c r="T402" s="93" t="n"/>
      <c r="U402" s="93" t="n"/>
      <c r="V402" s="93" t="n"/>
      <c r="W402" s="93" t="n"/>
      <c r="X402" s="93" t="n"/>
      <c r="Y402" s="93" t="n"/>
      <c r="Z402" s="93" t="n"/>
    </row>
    <row r="403">
      <c r="A403" s="93" t="n"/>
      <c r="B403" s="93" t="n"/>
      <c r="C403" s="93" t="n"/>
      <c r="D403" s="93" t="n"/>
      <c r="E403" s="93" t="n"/>
      <c r="F403" s="93" t="n"/>
      <c r="G403" s="93" t="n"/>
      <c r="H403" s="93" t="n"/>
      <c r="I403" s="93" t="n"/>
      <c r="J403" s="93" t="n"/>
      <c r="K403" s="93" t="n"/>
      <c r="L403" s="93" t="n"/>
      <c r="M403" s="93" t="n"/>
      <c r="N403" s="93" t="n"/>
      <c r="O403" s="93" t="n"/>
      <c r="P403" s="93" t="n"/>
      <c r="Q403" s="93" t="n"/>
      <c r="R403" s="93" t="n"/>
      <c r="S403" s="93" t="n"/>
      <c r="T403" s="93" t="n"/>
      <c r="U403" s="93" t="n"/>
      <c r="V403" s="93" t="n"/>
      <c r="W403" s="93" t="n"/>
      <c r="X403" s="93" t="n"/>
      <c r="Y403" s="93" t="n"/>
      <c r="Z403" s="93" t="n"/>
    </row>
    <row r="404">
      <c r="A404" s="93" t="n"/>
      <c r="B404" s="93" t="n"/>
      <c r="C404" s="93" t="n"/>
      <c r="D404" s="93" t="n"/>
      <c r="E404" s="93" t="n"/>
      <c r="F404" s="93" t="n"/>
      <c r="G404" s="93" t="n"/>
      <c r="H404" s="93" t="n"/>
      <c r="I404" s="93" t="n"/>
      <c r="J404" s="93" t="n"/>
      <c r="K404" s="93" t="n"/>
      <c r="L404" s="93" t="n"/>
      <c r="M404" s="93" t="n"/>
      <c r="N404" s="93" t="n"/>
      <c r="O404" s="93" t="n"/>
      <c r="P404" s="93" t="n"/>
      <c r="Q404" s="93" t="n"/>
      <c r="R404" s="93" t="n"/>
      <c r="S404" s="93" t="n"/>
      <c r="T404" s="93" t="n"/>
      <c r="U404" s="93" t="n"/>
      <c r="V404" s="93" t="n"/>
      <c r="W404" s="93" t="n"/>
      <c r="X404" s="93" t="n"/>
      <c r="Y404" s="93" t="n"/>
      <c r="Z404" s="93" t="n"/>
    </row>
    <row r="405">
      <c r="A405" s="93" t="n"/>
      <c r="B405" s="93" t="n"/>
      <c r="C405" s="93" t="n"/>
      <c r="D405" s="93" t="n"/>
      <c r="E405" s="93" t="n"/>
      <c r="F405" s="93" t="n"/>
      <c r="G405" s="93" t="n"/>
      <c r="H405" s="93" t="n"/>
      <c r="I405" s="93" t="n"/>
      <c r="J405" s="93" t="n"/>
      <c r="K405" s="93" t="n"/>
      <c r="L405" s="93" t="n"/>
      <c r="M405" s="93" t="n"/>
      <c r="N405" s="93" t="n"/>
      <c r="O405" s="93" t="n"/>
      <c r="P405" s="93" t="n"/>
      <c r="Q405" s="93" t="n"/>
      <c r="R405" s="93" t="n"/>
      <c r="S405" s="93" t="n"/>
      <c r="T405" s="93" t="n"/>
      <c r="U405" s="93" t="n"/>
      <c r="V405" s="93" t="n"/>
      <c r="W405" s="93" t="n"/>
      <c r="X405" s="93" t="n"/>
      <c r="Y405" s="93" t="n"/>
      <c r="Z405" s="93" t="n"/>
    </row>
    <row r="406">
      <c r="A406" s="93" t="n"/>
      <c r="B406" s="93" t="n"/>
      <c r="C406" s="93" t="n"/>
      <c r="D406" s="93" t="n"/>
      <c r="E406" s="93" t="n"/>
      <c r="F406" s="93" t="n"/>
      <c r="G406" s="93" t="n"/>
      <c r="H406" s="93" t="n"/>
      <c r="I406" s="93" t="n"/>
      <c r="J406" s="93" t="n"/>
      <c r="K406" s="93" t="n"/>
      <c r="L406" s="93" t="n"/>
      <c r="M406" s="93" t="n"/>
      <c r="N406" s="93" t="n"/>
      <c r="O406" s="93" t="n"/>
      <c r="P406" s="93" t="n"/>
      <c r="Q406" s="93" t="n"/>
      <c r="R406" s="93" t="n"/>
      <c r="S406" s="93" t="n"/>
      <c r="T406" s="93" t="n"/>
      <c r="U406" s="93" t="n"/>
      <c r="V406" s="93" t="n"/>
      <c r="W406" s="93" t="n"/>
      <c r="X406" s="93" t="n"/>
      <c r="Y406" s="93" t="n"/>
      <c r="Z406" s="93" t="n"/>
    </row>
    <row r="407">
      <c r="A407" s="93" t="n"/>
      <c r="B407" s="93" t="n"/>
      <c r="C407" s="93" t="n"/>
      <c r="D407" s="93" t="n"/>
      <c r="E407" s="93" t="n"/>
      <c r="F407" s="93" t="n"/>
      <c r="G407" s="93" t="n"/>
      <c r="H407" s="93" t="n"/>
      <c r="I407" s="93" t="n"/>
      <c r="J407" s="93" t="n"/>
      <c r="K407" s="93" t="n"/>
      <c r="L407" s="93" t="n"/>
      <c r="M407" s="93" t="n"/>
      <c r="N407" s="93" t="n"/>
      <c r="O407" s="93" t="n"/>
      <c r="P407" s="93" t="n"/>
      <c r="Q407" s="93" t="n"/>
      <c r="R407" s="93" t="n"/>
      <c r="S407" s="93" t="n"/>
      <c r="T407" s="93" t="n"/>
      <c r="U407" s="93" t="n"/>
      <c r="V407" s="93" t="n"/>
      <c r="W407" s="93" t="n"/>
      <c r="X407" s="93" t="n"/>
      <c r="Y407" s="93" t="n"/>
      <c r="Z407" s="93" t="n"/>
    </row>
    <row r="408">
      <c r="A408" s="93" t="n"/>
      <c r="B408" s="93" t="n"/>
      <c r="C408" s="93" t="n"/>
      <c r="D408" s="93" t="n"/>
      <c r="E408" s="93" t="n"/>
      <c r="F408" s="93" t="n"/>
      <c r="G408" s="93" t="n"/>
      <c r="H408" s="93" t="n"/>
      <c r="I408" s="93" t="n"/>
      <c r="J408" s="93" t="n"/>
      <c r="K408" s="93" t="n"/>
      <c r="L408" s="93" t="n"/>
      <c r="M408" s="93" t="n"/>
      <c r="N408" s="93" t="n"/>
      <c r="O408" s="93" t="n"/>
      <c r="P408" s="93" t="n"/>
      <c r="Q408" s="93" t="n"/>
      <c r="R408" s="93" t="n"/>
      <c r="S408" s="93" t="n"/>
      <c r="T408" s="93" t="n"/>
      <c r="U408" s="93" t="n"/>
      <c r="V408" s="93" t="n"/>
      <c r="W408" s="93" t="n"/>
      <c r="X408" s="93" t="n"/>
      <c r="Y408" s="93" t="n"/>
      <c r="Z408" s="93" t="n"/>
    </row>
    <row r="409">
      <c r="A409" s="93" t="n"/>
      <c r="B409" s="93" t="n"/>
      <c r="C409" s="93" t="n"/>
      <c r="D409" s="93" t="n"/>
      <c r="E409" s="93" t="n"/>
      <c r="F409" s="93" t="n"/>
      <c r="G409" s="93" t="n"/>
      <c r="H409" s="93" t="n"/>
      <c r="I409" s="93" t="n"/>
      <c r="J409" s="93" t="n"/>
      <c r="K409" s="93" t="n"/>
      <c r="L409" s="93" t="n"/>
      <c r="M409" s="93" t="n"/>
      <c r="N409" s="93" t="n"/>
      <c r="O409" s="93" t="n"/>
      <c r="P409" s="93" t="n"/>
      <c r="Q409" s="93" t="n"/>
      <c r="R409" s="93" t="n"/>
      <c r="S409" s="93" t="n"/>
      <c r="T409" s="93" t="n"/>
      <c r="U409" s="93" t="n"/>
      <c r="V409" s="93" t="n"/>
      <c r="W409" s="93" t="n"/>
      <c r="X409" s="93" t="n"/>
      <c r="Y409" s="93" t="n"/>
      <c r="Z409" s="93" t="n"/>
    </row>
    <row r="410">
      <c r="A410" s="93" t="n"/>
      <c r="B410" s="93" t="n"/>
      <c r="C410" s="93" t="n"/>
      <c r="D410" s="93" t="n"/>
      <c r="E410" s="93" t="n"/>
      <c r="F410" s="93" t="n"/>
      <c r="G410" s="93" t="n"/>
      <c r="H410" s="93" t="n"/>
      <c r="I410" s="93" t="n"/>
      <c r="J410" s="93" t="n"/>
      <c r="K410" s="93" t="n"/>
      <c r="L410" s="93" t="n"/>
      <c r="M410" s="93" t="n"/>
      <c r="N410" s="93" t="n"/>
      <c r="O410" s="93" t="n"/>
      <c r="P410" s="93" t="n"/>
      <c r="Q410" s="93" t="n"/>
      <c r="R410" s="93" t="n"/>
      <c r="S410" s="93" t="n"/>
      <c r="T410" s="93" t="n"/>
      <c r="U410" s="93" t="n"/>
      <c r="V410" s="93" t="n"/>
      <c r="W410" s="93" t="n"/>
      <c r="X410" s="93" t="n"/>
      <c r="Y410" s="93" t="n"/>
      <c r="Z410" s="93" t="n"/>
    </row>
    <row r="411">
      <c r="A411" s="93" t="n"/>
      <c r="B411" s="93" t="n"/>
      <c r="C411" s="93" t="n"/>
      <c r="D411" s="93" t="n"/>
      <c r="E411" s="93" t="n"/>
      <c r="F411" s="93" t="n"/>
      <c r="G411" s="93" t="n"/>
      <c r="H411" s="93" t="n"/>
      <c r="I411" s="93" t="n"/>
      <c r="J411" s="93" t="n"/>
      <c r="K411" s="93" t="n"/>
      <c r="L411" s="93" t="n"/>
      <c r="M411" s="93" t="n"/>
      <c r="N411" s="93" t="n"/>
      <c r="O411" s="93" t="n"/>
      <c r="P411" s="93" t="n"/>
      <c r="Q411" s="93" t="n"/>
      <c r="R411" s="93" t="n"/>
      <c r="S411" s="93" t="n"/>
      <c r="T411" s="93" t="n"/>
      <c r="U411" s="93" t="n"/>
      <c r="V411" s="93" t="n"/>
      <c r="W411" s="93" t="n"/>
      <c r="X411" s="93" t="n"/>
      <c r="Y411" s="93" t="n"/>
      <c r="Z411" s="93" t="n"/>
    </row>
    <row r="412">
      <c r="A412" s="93" t="n"/>
      <c r="B412" s="93" t="n"/>
      <c r="C412" s="93" t="n"/>
      <c r="D412" s="93" t="n"/>
      <c r="E412" s="93" t="n"/>
      <c r="F412" s="93" t="n"/>
      <c r="G412" s="93" t="n"/>
      <c r="H412" s="93" t="n"/>
      <c r="I412" s="93" t="n"/>
      <c r="J412" s="93" t="n"/>
      <c r="K412" s="93" t="n"/>
      <c r="L412" s="93" t="n"/>
      <c r="M412" s="93" t="n"/>
      <c r="N412" s="93" t="n"/>
      <c r="O412" s="93" t="n"/>
      <c r="P412" s="93" t="n"/>
      <c r="Q412" s="93" t="n"/>
      <c r="R412" s="93" t="n"/>
      <c r="S412" s="93" t="n"/>
      <c r="T412" s="93" t="n"/>
      <c r="U412" s="93" t="n"/>
      <c r="V412" s="93" t="n"/>
      <c r="W412" s="93" t="n"/>
      <c r="X412" s="93" t="n"/>
      <c r="Y412" s="93" t="n"/>
      <c r="Z412" s="93" t="n"/>
    </row>
    <row r="413">
      <c r="A413" s="93" t="n"/>
      <c r="B413" s="93" t="n"/>
      <c r="C413" s="93" t="n"/>
      <c r="D413" s="93" t="n"/>
      <c r="E413" s="93" t="n"/>
      <c r="F413" s="93" t="n"/>
      <c r="G413" s="93" t="n"/>
      <c r="H413" s="93" t="n"/>
      <c r="I413" s="93" t="n"/>
      <c r="J413" s="93" t="n"/>
      <c r="K413" s="93" t="n"/>
      <c r="L413" s="93" t="n"/>
      <c r="M413" s="93" t="n"/>
      <c r="N413" s="93" t="n"/>
      <c r="O413" s="93" t="n"/>
      <c r="P413" s="93" t="n"/>
      <c r="Q413" s="93" t="n"/>
      <c r="R413" s="93" t="n"/>
      <c r="S413" s="93" t="n"/>
      <c r="T413" s="93" t="n"/>
      <c r="U413" s="93" t="n"/>
      <c r="V413" s="93" t="n"/>
      <c r="W413" s="93" t="n"/>
      <c r="X413" s="93" t="n"/>
      <c r="Y413" s="93" t="n"/>
      <c r="Z413" s="93" t="n"/>
    </row>
    <row r="414">
      <c r="A414" s="93" t="n"/>
      <c r="B414" s="93" t="n"/>
      <c r="C414" s="93" t="n"/>
      <c r="D414" s="93" t="n"/>
      <c r="E414" s="93" t="n"/>
      <c r="F414" s="93" t="n"/>
      <c r="G414" s="93" t="n"/>
      <c r="H414" s="93" t="n"/>
      <c r="I414" s="93" t="n"/>
      <c r="J414" s="93" t="n"/>
      <c r="K414" s="93" t="n"/>
      <c r="L414" s="93" t="n"/>
      <c r="M414" s="93" t="n"/>
      <c r="N414" s="93" t="n"/>
      <c r="O414" s="93" t="n"/>
      <c r="P414" s="93" t="n"/>
      <c r="Q414" s="93" t="n"/>
      <c r="R414" s="93" t="n"/>
      <c r="S414" s="93" t="n"/>
      <c r="T414" s="93" t="n"/>
      <c r="U414" s="93" t="n"/>
      <c r="V414" s="93" t="n"/>
      <c r="W414" s="93" t="n"/>
      <c r="X414" s="93" t="n"/>
      <c r="Y414" s="93" t="n"/>
      <c r="Z414" s="93" t="n"/>
    </row>
    <row r="415">
      <c r="A415" s="93" t="n"/>
      <c r="B415" s="93" t="n"/>
      <c r="C415" s="93" t="n"/>
      <c r="D415" s="93" t="n"/>
      <c r="E415" s="93" t="n"/>
      <c r="F415" s="93" t="n"/>
      <c r="G415" s="93" t="n"/>
      <c r="H415" s="93" t="n"/>
      <c r="I415" s="93" t="n"/>
      <c r="J415" s="93" t="n"/>
      <c r="K415" s="93" t="n"/>
      <c r="L415" s="93" t="n"/>
      <c r="M415" s="93" t="n"/>
      <c r="N415" s="93" t="n"/>
      <c r="O415" s="93" t="n"/>
      <c r="P415" s="93" t="n"/>
      <c r="Q415" s="93" t="n"/>
      <c r="R415" s="93" t="n"/>
      <c r="S415" s="93" t="n"/>
      <c r="T415" s="93" t="n"/>
      <c r="U415" s="93" t="n"/>
      <c r="V415" s="93" t="n"/>
      <c r="W415" s="93" t="n"/>
      <c r="X415" s="93" t="n"/>
      <c r="Y415" s="93" t="n"/>
      <c r="Z415" s="93" t="n"/>
    </row>
    <row r="416">
      <c r="A416" s="93" t="n"/>
      <c r="B416" s="93" t="n"/>
      <c r="C416" s="93" t="n"/>
      <c r="D416" s="93" t="n"/>
      <c r="E416" s="93" t="n"/>
      <c r="F416" s="93" t="n"/>
      <c r="G416" s="93" t="n"/>
      <c r="H416" s="93" t="n"/>
      <c r="I416" s="93" t="n"/>
      <c r="J416" s="93" t="n"/>
      <c r="K416" s="93" t="n"/>
      <c r="L416" s="93" t="n"/>
      <c r="M416" s="93" t="n"/>
      <c r="N416" s="93" t="n"/>
      <c r="O416" s="93" t="n"/>
      <c r="P416" s="93" t="n"/>
      <c r="Q416" s="93" t="n"/>
      <c r="R416" s="93" t="n"/>
      <c r="S416" s="93" t="n"/>
      <c r="T416" s="93" t="n"/>
      <c r="U416" s="93" t="n"/>
      <c r="V416" s="93" t="n"/>
      <c r="W416" s="93" t="n"/>
      <c r="X416" s="93" t="n"/>
      <c r="Y416" s="93" t="n"/>
      <c r="Z416" s="93" t="n"/>
    </row>
    <row r="417">
      <c r="A417" s="93" t="n"/>
      <c r="B417" s="93" t="n"/>
      <c r="C417" s="93" t="n"/>
      <c r="D417" s="93" t="n"/>
      <c r="E417" s="93" t="n"/>
      <c r="F417" s="93" t="n"/>
      <c r="G417" s="93" t="n"/>
      <c r="H417" s="93" t="n"/>
      <c r="I417" s="93" t="n"/>
      <c r="J417" s="93" t="n"/>
      <c r="K417" s="93" t="n"/>
      <c r="L417" s="93" t="n"/>
      <c r="M417" s="93" t="n"/>
      <c r="N417" s="93" t="n"/>
      <c r="O417" s="93" t="n"/>
      <c r="P417" s="93" t="n"/>
      <c r="Q417" s="93" t="n"/>
      <c r="R417" s="93" t="n"/>
      <c r="S417" s="93" t="n"/>
      <c r="T417" s="93" t="n"/>
      <c r="U417" s="93" t="n"/>
      <c r="V417" s="93" t="n"/>
      <c r="W417" s="93" t="n"/>
      <c r="X417" s="93" t="n"/>
      <c r="Y417" s="93" t="n"/>
      <c r="Z417" s="93" t="n"/>
    </row>
    <row r="418">
      <c r="A418" s="93" t="n"/>
      <c r="B418" s="93" t="n"/>
      <c r="C418" s="93" t="n"/>
      <c r="D418" s="93" t="n"/>
      <c r="E418" s="93" t="n"/>
      <c r="F418" s="93" t="n"/>
      <c r="G418" s="93" t="n"/>
      <c r="H418" s="93" t="n"/>
      <c r="I418" s="93" t="n"/>
      <c r="J418" s="93" t="n"/>
      <c r="K418" s="93" t="n"/>
      <c r="L418" s="93" t="n"/>
      <c r="M418" s="93" t="n"/>
      <c r="N418" s="93" t="n"/>
      <c r="O418" s="93" t="n"/>
      <c r="P418" s="93" t="n"/>
      <c r="Q418" s="93" t="n"/>
      <c r="R418" s="93" t="n"/>
      <c r="S418" s="93" t="n"/>
      <c r="T418" s="93" t="n"/>
      <c r="U418" s="93" t="n"/>
      <c r="V418" s="93" t="n"/>
      <c r="W418" s="93" t="n"/>
      <c r="X418" s="93" t="n"/>
      <c r="Y418" s="93" t="n"/>
      <c r="Z418" s="93" t="n"/>
    </row>
    <row r="419">
      <c r="A419" s="93" t="n"/>
      <c r="B419" s="93" t="n"/>
      <c r="C419" s="93" t="n"/>
      <c r="D419" s="93" t="n"/>
      <c r="E419" s="93" t="n"/>
      <c r="F419" s="93" t="n"/>
      <c r="G419" s="93" t="n"/>
      <c r="H419" s="93" t="n"/>
      <c r="I419" s="93" t="n"/>
      <c r="J419" s="93" t="n"/>
      <c r="K419" s="93" t="n"/>
      <c r="L419" s="93" t="n"/>
      <c r="M419" s="93" t="n"/>
      <c r="N419" s="93" t="n"/>
      <c r="O419" s="93" t="n"/>
      <c r="P419" s="93" t="n"/>
      <c r="Q419" s="93" t="n"/>
      <c r="R419" s="93" t="n"/>
      <c r="S419" s="93" t="n"/>
      <c r="T419" s="93" t="n"/>
      <c r="U419" s="93" t="n"/>
      <c r="V419" s="93" t="n"/>
      <c r="W419" s="93" t="n"/>
      <c r="X419" s="93" t="n"/>
      <c r="Y419" s="93" t="n"/>
      <c r="Z419" s="93" t="n"/>
    </row>
    <row r="420">
      <c r="A420" s="93" t="n"/>
      <c r="B420" s="93" t="n"/>
      <c r="C420" s="93" t="n"/>
      <c r="D420" s="93" t="n"/>
      <c r="E420" s="93" t="n"/>
      <c r="F420" s="93" t="n"/>
      <c r="G420" s="93" t="n"/>
      <c r="H420" s="93" t="n"/>
      <c r="I420" s="93" t="n"/>
      <c r="J420" s="93" t="n"/>
      <c r="K420" s="93" t="n"/>
      <c r="L420" s="93" t="n"/>
      <c r="M420" s="93" t="n"/>
      <c r="N420" s="93" t="n"/>
      <c r="O420" s="93" t="n"/>
      <c r="P420" s="93" t="n"/>
      <c r="Q420" s="93" t="n"/>
      <c r="R420" s="93" t="n"/>
      <c r="S420" s="93" t="n"/>
      <c r="T420" s="93" t="n"/>
      <c r="U420" s="93" t="n"/>
      <c r="V420" s="93" t="n"/>
      <c r="W420" s="93" t="n"/>
      <c r="X420" s="93" t="n"/>
      <c r="Y420" s="93" t="n"/>
      <c r="Z420" s="93" t="n"/>
    </row>
    <row r="421">
      <c r="A421" s="93" t="n"/>
      <c r="B421" s="93" t="n"/>
      <c r="C421" s="93" t="n"/>
      <c r="D421" s="93" t="n"/>
      <c r="E421" s="93" t="n"/>
      <c r="F421" s="93" t="n"/>
      <c r="G421" s="93" t="n"/>
      <c r="H421" s="93" t="n"/>
      <c r="I421" s="93" t="n"/>
      <c r="J421" s="93" t="n"/>
      <c r="K421" s="93" t="n"/>
      <c r="L421" s="93" t="n"/>
      <c r="M421" s="93" t="n"/>
      <c r="N421" s="93" t="n"/>
      <c r="O421" s="93" t="n"/>
      <c r="P421" s="93" t="n"/>
      <c r="Q421" s="93" t="n"/>
      <c r="R421" s="93" t="n"/>
      <c r="S421" s="93" t="n"/>
      <c r="T421" s="93" t="n"/>
      <c r="U421" s="93" t="n"/>
      <c r="V421" s="93" t="n"/>
      <c r="W421" s="93" t="n"/>
      <c r="X421" s="93" t="n"/>
      <c r="Y421" s="93" t="n"/>
      <c r="Z421" s="93" t="n"/>
    </row>
    <row r="422">
      <c r="A422" s="93" t="n"/>
      <c r="B422" s="93" t="n"/>
      <c r="C422" s="93" t="n"/>
      <c r="D422" s="93" t="n"/>
      <c r="E422" s="93" t="n"/>
      <c r="F422" s="93" t="n"/>
      <c r="G422" s="93" t="n"/>
      <c r="H422" s="93" t="n"/>
      <c r="I422" s="93" t="n"/>
      <c r="J422" s="93" t="n"/>
      <c r="K422" s="93" t="n"/>
      <c r="L422" s="93" t="n"/>
      <c r="M422" s="93" t="n"/>
      <c r="N422" s="93" t="n"/>
      <c r="O422" s="93" t="n"/>
      <c r="P422" s="93" t="n"/>
      <c r="Q422" s="93" t="n"/>
      <c r="R422" s="93" t="n"/>
      <c r="S422" s="93" t="n"/>
      <c r="T422" s="93" t="n"/>
      <c r="U422" s="93" t="n"/>
      <c r="V422" s="93" t="n"/>
      <c r="W422" s="93" t="n"/>
      <c r="X422" s="93" t="n"/>
      <c r="Y422" s="93" t="n"/>
      <c r="Z422" s="93" t="n"/>
    </row>
    <row r="423">
      <c r="A423" s="93" t="n"/>
      <c r="B423" s="93" t="n"/>
      <c r="C423" s="93" t="n"/>
      <c r="D423" s="93" t="n"/>
      <c r="E423" s="93" t="n"/>
      <c r="F423" s="93" t="n"/>
      <c r="G423" s="93" t="n"/>
      <c r="H423" s="93" t="n"/>
      <c r="I423" s="93" t="n"/>
      <c r="J423" s="93" t="n"/>
      <c r="K423" s="93" t="n"/>
      <c r="L423" s="93" t="n"/>
      <c r="M423" s="93" t="n"/>
      <c r="N423" s="93" t="n"/>
      <c r="O423" s="93" t="n"/>
      <c r="P423" s="93" t="n"/>
      <c r="Q423" s="93" t="n"/>
      <c r="R423" s="93" t="n"/>
      <c r="S423" s="93" t="n"/>
      <c r="T423" s="93" t="n"/>
      <c r="U423" s="93" t="n"/>
      <c r="V423" s="93" t="n"/>
      <c r="W423" s="93" t="n"/>
      <c r="X423" s="93" t="n"/>
      <c r="Y423" s="93" t="n"/>
      <c r="Z423" s="93" t="n"/>
    </row>
    <row r="424">
      <c r="A424" s="93" t="n"/>
      <c r="B424" s="93" t="n"/>
      <c r="C424" s="93" t="n"/>
      <c r="D424" s="93" t="n"/>
      <c r="E424" s="93" t="n"/>
      <c r="F424" s="93" t="n"/>
      <c r="G424" s="93" t="n"/>
      <c r="H424" s="93" t="n"/>
      <c r="I424" s="93" t="n"/>
      <c r="J424" s="93" t="n"/>
      <c r="K424" s="93" t="n"/>
      <c r="L424" s="93" t="n"/>
      <c r="M424" s="93" t="n"/>
      <c r="N424" s="93" t="n"/>
      <c r="O424" s="93" t="n"/>
      <c r="P424" s="93" t="n"/>
      <c r="Q424" s="93" t="n"/>
      <c r="R424" s="93" t="n"/>
      <c r="S424" s="93" t="n"/>
      <c r="T424" s="93" t="n"/>
      <c r="U424" s="93" t="n"/>
      <c r="V424" s="93" t="n"/>
      <c r="W424" s="93" t="n"/>
      <c r="X424" s="93" t="n"/>
      <c r="Y424" s="93" t="n"/>
      <c r="Z424" s="93" t="n"/>
    </row>
    <row r="425">
      <c r="A425" s="93" t="n"/>
      <c r="B425" s="93" t="n"/>
      <c r="C425" s="93" t="n"/>
      <c r="D425" s="93" t="n"/>
      <c r="E425" s="93" t="n"/>
      <c r="F425" s="93" t="n"/>
      <c r="G425" s="93" t="n"/>
      <c r="H425" s="93" t="n"/>
      <c r="I425" s="93" t="n"/>
      <c r="J425" s="93" t="n"/>
      <c r="K425" s="93" t="n"/>
      <c r="L425" s="93" t="n"/>
      <c r="M425" s="93" t="n"/>
      <c r="N425" s="93" t="n"/>
      <c r="O425" s="93" t="n"/>
      <c r="P425" s="93" t="n"/>
      <c r="Q425" s="93" t="n"/>
      <c r="R425" s="93" t="n"/>
      <c r="S425" s="93" t="n"/>
      <c r="T425" s="93" t="n"/>
      <c r="U425" s="93" t="n"/>
      <c r="V425" s="93" t="n"/>
      <c r="W425" s="93" t="n"/>
      <c r="X425" s="93" t="n"/>
      <c r="Y425" s="93" t="n"/>
      <c r="Z425" s="93" t="n"/>
    </row>
    <row r="426">
      <c r="A426" s="93" t="n"/>
      <c r="B426" s="93" t="n"/>
      <c r="C426" s="93" t="n"/>
      <c r="D426" s="93" t="n"/>
      <c r="E426" s="93" t="n"/>
      <c r="F426" s="93" t="n"/>
      <c r="G426" s="93" t="n"/>
      <c r="H426" s="93" t="n"/>
      <c r="I426" s="93" t="n"/>
      <c r="J426" s="93" t="n"/>
      <c r="K426" s="93" t="n"/>
      <c r="L426" s="93" t="n"/>
      <c r="M426" s="93" t="n"/>
      <c r="N426" s="93" t="n"/>
      <c r="O426" s="93" t="n"/>
      <c r="P426" s="93" t="n"/>
      <c r="Q426" s="93" t="n"/>
      <c r="R426" s="93" t="n"/>
      <c r="S426" s="93" t="n"/>
      <c r="T426" s="93" t="n"/>
      <c r="U426" s="93" t="n"/>
      <c r="V426" s="93" t="n"/>
      <c r="W426" s="93" t="n"/>
      <c r="X426" s="93" t="n"/>
      <c r="Y426" s="93" t="n"/>
      <c r="Z426" s="93" t="n"/>
    </row>
    <row r="427">
      <c r="A427" s="93" t="n"/>
      <c r="B427" s="93" t="n"/>
      <c r="C427" s="93" t="n"/>
      <c r="D427" s="93" t="n"/>
      <c r="E427" s="93" t="n"/>
      <c r="F427" s="93" t="n"/>
      <c r="G427" s="93" t="n"/>
      <c r="H427" s="93" t="n"/>
      <c r="I427" s="93" t="n"/>
      <c r="J427" s="93" t="n"/>
      <c r="K427" s="93" t="n"/>
      <c r="L427" s="93" t="n"/>
      <c r="M427" s="93" t="n"/>
      <c r="N427" s="93" t="n"/>
      <c r="O427" s="93" t="n"/>
      <c r="P427" s="93" t="n"/>
      <c r="Q427" s="93" t="n"/>
      <c r="R427" s="93" t="n"/>
      <c r="S427" s="93" t="n"/>
      <c r="T427" s="93" t="n"/>
      <c r="U427" s="93" t="n"/>
      <c r="V427" s="93" t="n"/>
      <c r="W427" s="93" t="n"/>
      <c r="X427" s="93" t="n"/>
      <c r="Y427" s="93" t="n"/>
      <c r="Z427" s="93" t="n"/>
    </row>
    <row r="428">
      <c r="A428" s="93" t="n"/>
      <c r="B428" s="93" t="n"/>
      <c r="C428" s="93" t="n"/>
      <c r="D428" s="93" t="n"/>
      <c r="E428" s="93" t="n"/>
      <c r="F428" s="93" t="n"/>
      <c r="G428" s="93" t="n"/>
      <c r="H428" s="93" t="n"/>
      <c r="I428" s="93" t="n"/>
      <c r="J428" s="93" t="n"/>
      <c r="K428" s="93" t="n"/>
      <c r="L428" s="93" t="n"/>
      <c r="M428" s="93" t="n"/>
      <c r="N428" s="93" t="n"/>
      <c r="O428" s="93" t="n"/>
      <c r="P428" s="93" t="n"/>
      <c r="Q428" s="93" t="n"/>
      <c r="R428" s="93" t="n"/>
      <c r="S428" s="93" t="n"/>
      <c r="T428" s="93" t="n"/>
      <c r="U428" s="93" t="n"/>
      <c r="V428" s="93" t="n"/>
      <c r="W428" s="93" t="n"/>
      <c r="X428" s="93" t="n"/>
      <c r="Y428" s="93" t="n"/>
      <c r="Z428" s="93" t="n"/>
    </row>
    <row r="429">
      <c r="A429" s="93" t="n"/>
      <c r="B429" s="93" t="n"/>
      <c r="C429" s="93" t="n"/>
      <c r="D429" s="93" t="n"/>
      <c r="E429" s="93" t="n"/>
      <c r="F429" s="93" t="n"/>
      <c r="G429" s="93" t="n"/>
      <c r="H429" s="93" t="n"/>
      <c r="I429" s="93" t="n"/>
      <c r="J429" s="93" t="n"/>
      <c r="K429" s="93" t="n"/>
      <c r="L429" s="93" t="n"/>
      <c r="M429" s="93" t="n"/>
      <c r="N429" s="93" t="n"/>
      <c r="O429" s="93" t="n"/>
      <c r="P429" s="93" t="n"/>
      <c r="Q429" s="93" t="n"/>
      <c r="R429" s="93" t="n"/>
      <c r="S429" s="93" t="n"/>
      <c r="T429" s="93" t="n"/>
      <c r="U429" s="93" t="n"/>
      <c r="V429" s="93" t="n"/>
      <c r="W429" s="93" t="n"/>
      <c r="X429" s="93" t="n"/>
      <c r="Y429" s="93" t="n"/>
      <c r="Z429" s="93" t="n"/>
    </row>
    <row r="430">
      <c r="A430" s="93" t="n"/>
      <c r="B430" s="93" t="n"/>
      <c r="C430" s="93" t="n"/>
      <c r="D430" s="93" t="n"/>
      <c r="E430" s="93" t="n"/>
      <c r="F430" s="93" t="n"/>
      <c r="G430" s="93" t="n"/>
      <c r="H430" s="93" t="n"/>
      <c r="I430" s="93" t="n"/>
      <c r="J430" s="93" t="n"/>
      <c r="K430" s="93" t="n"/>
      <c r="L430" s="93" t="n"/>
      <c r="M430" s="93" t="n"/>
      <c r="N430" s="93" t="n"/>
      <c r="O430" s="93" t="n"/>
      <c r="P430" s="93" t="n"/>
      <c r="Q430" s="93" t="n"/>
      <c r="R430" s="93" t="n"/>
      <c r="S430" s="93" t="n"/>
      <c r="T430" s="93" t="n"/>
      <c r="U430" s="93" t="n"/>
      <c r="V430" s="93" t="n"/>
      <c r="W430" s="93" t="n"/>
      <c r="X430" s="93" t="n"/>
      <c r="Y430" s="93" t="n"/>
      <c r="Z430" s="93" t="n"/>
    </row>
    <row r="431">
      <c r="A431" s="93" t="n"/>
      <c r="B431" s="93" t="n"/>
      <c r="C431" s="93" t="n"/>
      <c r="D431" s="93" t="n"/>
      <c r="E431" s="93" t="n"/>
      <c r="F431" s="93" t="n"/>
      <c r="G431" s="93" t="n"/>
      <c r="H431" s="93" t="n"/>
      <c r="I431" s="93" t="n"/>
      <c r="J431" s="93" t="n"/>
      <c r="K431" s="93" t="n"/>
      <c r="L431" s="93" t="n"/>
      <c r="M431" s="93" t="n"/>
      <c r="N431" s="93" t="n"/>
      <c r="O431" s="93" t="n"/>
      <c r="P431" s="93" t="n"/>
      <c r="Q431" s="93" t="n"/>
      <c r="R431" s="93" t="n"/>
      <c r="S431" s="93" t="n"/>
      <c r="T431" s="93" t="n"/>
      <c r="U431" s="93" t="n"/>
      <c r="V431" s="93" t="n"/>
      <c r="W431" s="93" t="n"/>
      <c r="X431" s="93" t="n"/>
      <c r="Y431" s="93" t="n"/>
      <c r="Z431" s="93" t="n"/>
    </row>
    <row r="432">
      <c r="A432" s="93" t="n"/>
      <c r="B432" s="93" t="n"/>
      <c r="C432" s="93" t="n"/>
      <c r="D432" s="93" t="n"/>
      <c r="E432" s="93" t="n"/>
      <c r="F432" s="93" t="n"/>
      <c r="G432" s="93" t="n"/>
      <c r="H432" s="93" t="n"/>
      <c r="I432" s="93" t="n"/>
      <c r="J432" s="93" t="n"/>
      <c r="K432" s="93" t="n"/>
      <c r="L432" s="93" t="n"/>
      <c r="M432" s="93" t="n"/>
      <c r="N432" s="93" t="n"/>
      <c r="O432" s="93" t="n"/>
      <c r="P432" s="93" t="n"/>
      <c r="Q432" s="93" t="n"/>
      <c r="R432" s="93" t="n"/>
      <c r="S432" s="93" t="n"/>
      <c r="T432" s="93" t="n"/>
      <c r="U432" s="93" t="n"/>
      <c r="V432" s="93" t="n"/>
      <c r="W432" s="93" t="n"/>
      <c r="X432" s="93" t="n"/>
      <c r="Y432" s="93" t="n"/>
      <c r="Z432" s="93" t="n"/>
    </row>
    <row r="433">
      <c r="A433" s="93" t="n"/>
      <c r="B433" s="93" t="n"/>
      <c r="C433" s="93" t="n"/>
      <c r="D433" s="93" t="n"/>
      <c r="E433" s="93" t="n"/>
      <c r="F433" s="93" t="n"/>
      <c r="G433" s="93" t="n"/>
      <c r="H433" s="93" t="n"/>
      <c r="I433" s="93" t="n"/>
      <c r="J433" s="93" t="n"/>
      <c r="K433" s="93" t="n"/>
      <c r="L433" s="93" t="n"/>
      <c r="M433" s="93" t="n"/>
      <c r="N433" s="93" t="n"/>
      <c r="O433" s="93" t="n"/>
      <c r="P433" s="93" t="n"/>
      <c r="Q433" s="93" t="n"/>
      <c r="R433" s="93" t="n"/>
      <c r="S433" s="93" t="n"/>
      <c r="T433" s="93" t="n"/>
      <c r="U433" s="93" t="n"/>
      <c r="V433" s="93" t="n"/>
      <c r="W433" s="93" t="n"/>
      <c r="X433" s="93" t="n"/>
      <c r="Y433" s="93" t="n"/>
      <c r="Z433" s="93" t="n"/>
    </row>
    <row r="434">
      <c r="A434" s="93" t="n"/>
      <c r="B434" s="93" t="n"/>
      <c r="C434" s="93" t="n"/>
      <c r="D434" s="93" t="n"/>
      <c r="E434" s="93" t="n"/>
      <c r="F434" s="93" t="n"/>
      <c r="G434" s="93" t="n"/>
      <c r="H434" s="93" t="n"/>
      <c r="I434" s="93" t="n"/>
      <c r="J434" s="93" t="n"/>
      <c r="K434" s="93" t="n"/>
      <c r="L434" s="93" t="n"/>
      <c r="M434" s="93" t="n"/>
      <c r="N434" s="93" t="n"/>
      <c r="O434" s="93" t="n"/>
      <c r="P434" s="93" t="n"/>
      <c r="Q434" s="93" t="n"/>
      <c r="R434" s="93" t="n"/>
      <c r="S434" s="93" t="n"/>
      <c r="T434" s="93" t="n"/>
      <c r="U434" s="93" t="n"/>
      <c r="V434" s="93" t="n"/>
      <c r="W434" s="93" t="n"/>
      <c r="X434" s="93" t="n"/>
      <c r="Y434" s="93" t="n"/>
      <c r="Z434" s="93" t="n"/>
    </row>
    <row r="435">
      <c r="A435" s="93" t="n"/>
      <c r="B435" s="93" t="n"/>
      <c r="C435" s="93" t="n"/>
      <c r="D435" s="93" t="n"/>
      <c r="E435" s="93" t="n"/>
      <c r="F435" s="93" t="n"/>
      <c r="G435" s="93" t="n"/>
      <c r="H435" s="93" t="n"/>
      <c r="I435" s="93" t="n"/>
      <c r="J435" s="93" t="n"/>
      <c r="K435" s="93" t="n"/>
      <c r="L435" s="93" t="n"/>
      <c r="M435" s="93" t="n"/>
      <c r="N435" s="93" t="n"/>
      <c r="O435" s="93" t="n"/>
      <c r="P435" s="93" t="n"/>
      <c r="Q435" s="93" t="n"/>
      <c r="R435" s="93" t="n"/>
      <c r="S435" s="93" t="n"/>
      <c r="T435" s="93" t="n"/>
      <c r="U435" s="93" t="n"/>
      <c r="V435" s="93" t="n"/>
      <c r="W435" s="93" t="n"/>
      <c r="X435" s="93" t="n"/>
      <c r="Y435" s="93" t="n"/>
      <c r="Z435" s="93" t="n"/>
    </row>
    <row r="436">
      <c r="A436" s="93" t="n"/>
      <c r="B436" s="93" t="n"/>
      <c r="C436" s="93" t="n"/>
      <c r="D436" s="93" t="n"/>
      <c r="E436" s="93" t="n"/>
      <c r="F436" s="93" t="n"/>
      <c r="G436" s="93" t="n"/>
      <c r="H436" s="93" t="n"/>
      <c r="I436" s="93" t="n"/>
      <c r="J436" s="93" t="n"/>
      <c r="K436" s="93" t="n"/>
      <c r="L436" s="93" t="n"/>
      <c r="M436" s="93" t="n"/>
      <c r="N436" s="93" t="n"/>
      <c r="O436" s="93" t="n"/>
      <c r="P436" s="93" t="n"/>
      <c r="Q436" s="93" t="n"/>
      <c r="R436" s="93" t="n"/>
      <c r="S436" s="93" t="n"/>
      <c r="T436" s="93" t="n"/>
      <c r="U436" s="93" t="n"/>
      <c r="V436" s="93" t="n"/>
      <c r="W436" s="93" t="n"/>
      <c r="X436" s="93" t="n"/>
      <c r="Y436" s="93" t="n"/>
      <c r="Z436" s="93" t="n"/>
    </row>
    <row r="437">
      <c r="A437" s="93" t="n"/>
      <c r="B437" s="93" t="n"/>
      <c r="C437" s="93" t="n"/>
      <c r="D437" s="93" t="n"/>
      <c r="E437" s="93" t="n"/>
      <c r="F437" s="93" t="n"/>
      <c r="G437" s="93" t="n"/>
      <c r="H437" s="93" t="n"/>
      <c r="I437" s="93" t="n"/>
      <c r="J437" s="93" t="n"/>
      <c r="K437" s="93" t="n"/>
      <c r="L437" s="93" t="n"/>
      <c r="M437" s="93" t="n"/>
      <c r="N437" s="93" t="n"/>
      <c r="O437" s="93" t="n"/>
      <c r="P437" s="93" t="n"/>
      <c r="Q437" s="93" t="n"/>
      <c r="R437" s="93" t="n"/>
      <c r="S437" s="93" t="n"/>
      <c r="T437" s="93" t="n"/>
      <c r="U437" s="93" t="n"/>
      <c r="V437" s="93" t="n"/>
      <c r="W437" s="93" t="n"/>
      <c r="X437" s="93" t="n"/>
      <c r="Y437" s="93" t="n"/>
      <c r="Z437" s="93" t="n"/>
    </row>
    <row r="438">
      <c r="A438" s="93" t="n"/>
      <c r="B438" s="93" t="n"/>
      <c r="C438" s="93" t="n"/>
      <c r="D438" s="93" t="n"/>
      <c r="E438" s="93" t="n"/>
      <c r="F438" s="93" t="n"/>
      <c r="G438" s="93" t="n"/>
      <c r="H438" s="93" t="n"/>
      <c r="I438" s="93" t="n"/>
      <c r="J438" s="93" t="n"/>
      <c r="K438" s="93" t="n"/>
      <c r="L438" s="93" t="n"/>
      <c r="M438" s="93" t="n"/>
      <c r="N438" s="93" t="n"/>
      <c r="O438" s="93" t="n"/>
      <c r="P438" s="93" t="n"/>
      <c r="Q438" s="93" t="n"/>
      <c r="R438" s="93" t="n"/>
      <c r="S438" s="93" t="n"/>
      <c r="T438" s="93" t="n"/>
      <c r="U438" s="93" t="n"/>
      <c r="V438" s="93" t="n"/>
      <c r="W438" s="93" t="n"/>
      <c r="X438" s="93" t="n"/>
      <c r="Y438" s="93" t="n"/>
      <c r="Z438" s="93" t="n"/>
    </row>
    <row r="439">
      <c r="A439" s="93" t="n"/>
      <c r="B439" s="93" t="n"/>
      <c r="C439" s="93" t="n"/>
      <c r="D439" s="93" t="n"/>
      <c r="E439" s="93" t="n"/>
      <c r="F439" s="93" t="n"/>
      <c r="G439" s="93" t="n"/>
      <c r="H439" s="93" t="n"/>
      <c r="I439" s="93" t="n"/>
      <c r="J439" s="93" t="n"/>
      <c r="K439" s="93" t="n"/>
      <c r="L439" s="93" t="n"/>
      <c r="M439" s="93" t="n"/>
      <c r="N439" s="93" t="n"/>
      <c r="O439" s="93" t="n"/>
      <c r="P439" s="93" t="n"/>
      <c r="Q439" s="93" t="n"/>
      <c r="R439" s="93" t="n"/>
      <c r="S439" s="93" t="n"/>
      <c r="T439" s="93" t="n"/>
      <c r="U439" s="93" t="n"/>
      <c r="V439" s="93" t="n"/>
      <c r="W439" s="93" t="n"/>
      <c r="X439" s="93" t="n"/>
      <c r="Y439" s="93" t="n"/>
      <c r="Z439" s="93" t="n"/>
    </row>
    <row r="440">
      <c r="A440" s="93" t="n"/>
      <c r="B440" s="93" t="n"/>
      <c r="C440" s="93" t="n"/>
      <c r="D440" s="93" t="n"/>
      <c r="E440" s="93" t="n"/>
      <c r="F440" s="93" t="n"/>
      <c r="G440" s="93" t="n"/>
      <c r="H440" s="93" t="n"/>
      <c r="I440" s="93" t="n"/>
      <c r="J440" s="93" t="n"/>
      <c r="K440" s="93" t="n"/>
      <c r="L440" s="93" t="n"/>
      <c r="M440" s="93" t="n"/>
      <c r="N440" s="93" t="n"/>
      <c r="O440" s="93" t="n"/>
      <c r="P440" s="93" t="n"/>
      <c r="Q440" s="93" t="n"/>
      <c r="R440" s="93" t="n"/>
      <c r="S440" s="93" t="n"/>
      <c r="T440" s="93" t="n"/>
      <c r="U440" s="93" t="n"/>
      <c r="V440" s="93" t="n"/>
      <c r="W440" s="93" t="n"/>
      <c r="X440" s="93" t="n"/>
      <c r="Y440" s="93" t="n"/>
      <c r="Z440" s="93" t="n"/>
    </row>
    <row r="441">
      <c r="A441" s="93" t="n"/>
      <c r="B441" s="93" t="n"/>
      <c r="C441" s="93" t="n"/>
      <c r="D441" s="93" t="n"/>
      <c r="E441" s="93" t="n"/>
      <c r="F441" s="93" t="n"/>
      <c r="G441" s="93" t="n"/>
      <c r="H441" s="93" t="n"/>
      <c r="I441" s="93" t="n"/>
      <c r="J441" s="93" t="n"/>
      <c r="K441" s="93" t="n"/>
      <c r="L441" s="93" t="n"/>
      <c r="M441" s="93" t="n"/>
      <c r="N441" s="93" t="n"/>
      <c r="O441" s="93" t="n"/>
      <c r="P441" s="93" t="n"/>
      <c r="Q441" s="93" t="n"/>
      <c r="R441" s="93" t="n"/>
      <c r="S441" s="93" t="n"/>
      <c r="T441" s="93" t="n"/>
      <c r="U441" s="93" t="n"/>
      <c r="V441" s="93" t="n"/>
      <c r="W441" s="93" t="n"/>
      <c r="X441" s="93" t="n"/>
      <c r="Y441" s="93" t="n"/>
      <c r="Z441" s="93" t="n"/>
    </row>
    <row r="442">
      <c r="A442" s="93" t="n"/>
      <c r="B442" s="93" t="n"/>
      <c r="C442" s="93" t="n"/>
      <c r="D442" s="93" t="n"/>
      <c r="E442" s="93" t="n"/>
      <c r="F442" s="93" t="n"/>
      <c r="G442" s="93" t="n"/>
      <c r="H442" s="93" t="n"/>
      <c r="I442" s="93" t="n"/>
      <c r="J442" s="93" t="n"/>
      <c r="K442" s="93" t="n"/>
      <c r="L442" s="93" t="n"/>
      <c r="M442" s="93" t="n"/>
      <c r="N442" s="93" t="n"/>
      <c r="O442" s="93" t="n"/>
      <c r="P442" s="93" t="n"/>
      <c r="Q442" s="93" t="n"/>
      <c r="R442" s="93" t="n"/>
      <c r="S442" s="93" t="n"/>
      <c r="T442" s="93" t="n"/>
      <c r="U442" s="93" t="n"/>
      <c r="V442" s="93" t="n"/>
      <c r="W442" s="93" t="n"/>
      <c r="X442" s="93" t="n"/>
      <c r="Y442" s="93" t="n"/>
      <c r="Z442" s="93" t="n"/>
    </row>
    <row r="443">
      <c r="A443" s="93" t="n"/>
      <c r="B443" s="93" t="n"/>
      <c r="C443" s="93" t="n"/>
      <c r="D443" s="93" t="n"/>
      <c r="E443" s="93" t="n"/>
      <c r="F443" s="93" t="n"/>
      <c r="G443" s="93" t="n"/>
      <c r="H443" s="93" t="n"/>
      <c r="I443" s="93" t="n"/>
      <c r="J443" s="93" t="n"/>
      <c r="K443" s="93" t="n"/>
      <c r="L443" s="93" t="n"/>
      <c r="M443" s="93" t="n"/>
      <c r="N443" s="93" t="n"/>
      <c r="O443" s="93" t="n"/>
      <c r="P443" s="93" t="n"/>
      <c r="Q443" s="93" t="n"/>
      <c r="R443" s="93" t="n"/>
      <c r="S443" s="93" t="n"/>
      <c r="T443" s="93" t="n"/>
      <c r="U443" s="93" t="n"/>
      <c r="V443" s="93" t="n"/>
      <c r="W443" s="93" t="n"/>
      <c r="X443" s="93" t="n"/>
      <c r="Y443" s="93" t="n"/>
      <c r="Z443" s="93" t="n"/>
    </row>
    <row r="444">
      <c r="A444" s="93" t="n"/>
      <c r="B444" s="93" t="n"/>
      <c r="C444" s="93" t="n"/>
      <c r="D444" s="93" t="n"/>
      <c r="E444" s="93" t="n"/>
      <c r="F444" s="93" t="n"/>
      <c r="G444" s="93" t="n"/>
      <c r="H444" s="93" t="n"/>
      <c r="I444" s="93" t="n"/>
      <c r="J444" s="93" t="n"/>
      <c r="K444" s="93" t="n"/>
      <c r="L444" s="93" t="n"/>
      <c r="M444" s="93" t="n"/>
      <c r="N444" s="93" t="n"/>
      <c r="O444" s="93" t="n"/>
      <c r="P444" s="93" t="n"/>
      <c r="Q444" s="93" t="n"/>
      <c r="R444" s="93" t="n"/>
      <c r="S444" s="93" t="n"/>
      <c r="T444" s="93" t="n"/>
      <c r="U444" s="93" t="n"/>
      <c r="V444" s="93" t="n"/>
      <c r="W444" s="93" t="n"/>
      <c r="X444" s="93" t="n"/>
      <c r="Y444" s="93" t="n"/>
      <c r="Z444" s="93" t="n"/>
    </row>
    <row r="445">
      <c r="A445" s="93" t="n"/>
      <c r="B445" s="93" t="n"/>
      <c r="C445" s="93" t="n"/>
      <c r="D445" s="93" t="n"/>
      <c r="E445" s="93" t="n"/>
      <c r="F445" s="93" t="n"/>
      <c r="G445" s="93" t="n"/>
      <c r="H445" s="93" t="n"/>
      <c r="I445" s="93" t="n"/>
      <c r="J445" s="93" t="n"/>
      <c r="K445" s="93" t="n"/>
      <c r="L445" s="93" t="n"/>
      <c r="M445" s="93" t="n"/>
      <c r="N445" s="93" t="n"/>
      <c r="O445" s="93" t="n"/>
      <c r="P445" s="93" t="n"/>
      <c r="Q445" s="93" t="n"/>
      <c r="R445" s="93" t="n"/>
      <c r="S445" s="93" t="n"/>
      <c r="T445" s="93" t="n"/>
      <c r="U445" s="93" t="n"/>
      <c r="V445" s="93" t="n"/>
      <c r="W445" s="93" t="n"/>
      <c r="X445" s="93" t="n"/>
      <c r="Y445" s="93" t="n"/>
      <c r="Z445" s="93" t="n"/>
    </row>
    <row r="446">
      <c r="A446" s="93" t="n"/>
      <c r="B446" s="93" t="n"/>
      <c r="C446" s="93" t="n"/>
      <c r="D446" s="93" t="n"/>
      <c r="E446" s="93" t="n"/>
      <c r="F446" s="93" t="n"/>
      <c r="G446" s="93" t="n"/>
      <c r="H446" s="93" t="n"/>
      <c r="I446" s="93" t="n"/>
      <c r="J446" s="93" t="n"/>
      <c r="K446" s="93" t="n"/>
      <c r="L446" s="93" t="n"/>
      <c r="M446" s="93" t="n"/>
      <c r="N446" s="93" t="n"/>
      <c r="O446" s="93" t="n"/>
      <c r="P446" s="93" t="n"/>
      <c r="Q446" s="93" t="n"/>
      <c r="R446" s="93" t="n"/>
      <c r="S446" s="93" t="n"/>
      <c r="T446" s="93" t="n"/>
      <c r="U446" s="93" t="n"/>
      <c r="V446" s="93" t="n"/>
      <c r="W446" s="93" t="n"/>
      <c r="X446" s="93" t="n"/>
      <c r="Y446" s="93" t="n"/>
      <c r="Z446" s="93" t="n"/>
    </row>
    <row r="447">
      <c r="A447" s="93" t="n"/>
      <c r="B447" s="93" t="n"/>
      <c r="C447" s="93" t="n"/>
      <c r="D447" s="93" t="n"/>
      <c r="E447" s="93" t="n"/>
      <c r="F447" s="93" t="n"/>
      <c r="G447" s="93" t="n"/>
      <c r="H447" s="93" t="n"/>
      <c r="I447" s="93" t="n"/>
      <c r="J447" s="93" t="n"/>
      <c r="K447" s="93" t="n"/>
      <c r="L447" s="93" t="n"/>
      <c r="M447" s="93" t="n"/>
      <c r="N447" s="93" t="n"/>
      <c r="O447" s="93" t="n"/>
      <c r="P447" s="93" t="n"/>
      <c r="Q447" s="93" t="n"/>
      <c r="R447" s="93" t="n"/>
      <c r="S447" s="93" t="n"/>
      <c r="T447" s="93" t="n"/>
      <c r="U447" s="93" t="n"/>
      <c r="V447" s="93" t="n"/>
      <c r="W447" s="93" t="n"/>
      <c r="X447" s="93" t="n"/>
      <c r="Y447" s="93" t="n"/>
      <c r="Z447" s="93" t="n"/>
    </row>
    <row r="448">
      <c r="A448" s="93" t="n"/>
      <c r="B448" s="93" t="n"/>
      <c r="C448" s="93" t="n"/>
      <c r="D448" s="93" t="n"/>
      <c r="E448" s="93" t="n"/>
      <c r="F448" s="93" t="n"/>
      <c r="G448" s="93" t="n"/>
      <c r="H448" s="93" t="n"/>
      <c r="I448" s="93" t="n"/>
      <c r="J448" s="93" t="n"/>
      <c r="K448" s="93" t="n"/>
      <c r="L448" s="93" t="n"/>
      <c r="M448" s="93" t="n"/>
      <c r="N448" s="93" t="n"/>
      <c r="O448" s="93" t="n"/>
      <c r="P448" s="93" t="n"/>
      <c r="Q448" s="93" t="n"/>
      <c r="R448" s="93" t="n"/>
      <c r="S448" s="93" t="n"/>
      <c r="T448" s="93" t="n"/>
      <c r="U448" s="93" t="n"/>
      <c r="V448" s="93" t="n"/>
      <c r="W448" s="93" t="n"/>
      <c r="X448" s="93" t="n"/>
      <c r="Y448" s="93" t="n"/>
      <c r="Z448" s="93" t="n"/>
    </row>
    <row r="449">
      <c r="A449" s="93" t="n"/>
      <c r="B449" s="93" t="n"/>
      <c r="C449" s="93" t="n"/>
      <c r="D449" s="93" t="n"/>
      <c r="E449" s="93" t="n"/>
      <c r="F449" s="93" t="n"/>
      <c r="G449" s="93" t="n"/>
      <c r="H449" s="93" t="n"/>
      <c r="I449" s="93" t="n"/>
      <c r="J449" s="93" t="n"/>
      <c r="K449" s="93" t="n"/>
      <c r="L449" s="93" t="n"/>
      <c r="M449" s="93" t="n"/>
      <c r="N449" s="93" t="n"/>
      <c r="O449" s="93" t="n"/>
      <c r="P449" s="93" t="n"/>
      <c r="Q449" s="93" t="n"/>
      <c r="R449" s="93" t="n"/>
      <c r="S449" s="93" t="n"/>
      <c r="T449" s="93" t="n"/>
      <c r="U449" s="93" t="n"/>
      <c r="V449" s="93" t="n"/>
      <c r="W449" s="93" t="n"/>
      <c r="X449" s="93" t="n"/>
      <c r="Y449" s="93" t="n"/>
      <c r="Z449" s="93" t="n"/>
    </row>
    <row r="450">
      <c r="A450" s="93" t="n"/>
      <c r="B450" s="93" t="n"/>
      <c r="C450" s="93" t="n"/>
      <c r="D450" s="93" t="n"/>
      <c r="E450" s="93" t="n"/>
      <c r="F450" s="93" t="n"/>
      <c r="G450" s="93" t="n"/>
      <c r="H450" s="93" t="n"/>
      <c r="I450" s="93" t="n"/>
      <c r="J450" s="93" t="n"/>
      <c r="K450" s="93" t="n"/>
      <c r="L450" s="93" t="n"/>
      <c r="M450" s="93" t="n"/>
      <c r="N450" s="93" t="n"/>
      <c r="O450" s="93" t="n"/>
      <c r="P450" s="93" t="n"/>
      <c r="Q450" s="93" t="n"/>
      <c r="R450" s="93" t="n"/>
      <c r="S450" s="93" t="n"/>
      <c r="T450" s="93" t="n"/>
      <c r="U450" s="93" t="n"/>
      <c r="V450" s="93" t="n"/>
      <c r="W450" s="93" t="n"/>
      <c r="X450" s="93" t="n"/>
      <c r="Y450" s="93" t="n"/>
      <c r="Z450" s="93" t="n"/>
    </row>
    <row r="451">
      <c r="A451" s="93" t="n"/>
      <c r="B451" s="93" t="n"/>
      <c r="C451" s="93" t="n"/>
      <c r="D451" s="93" t="n"/>
      <c r="E451" s="93" t="n"/>
      <c r="F451" s="93" t="n"/>
      <c r="G451" s="93" t="n"/>
      <c r="H451" s="93" t="n"/>
      <c r="I451" s="93" t="n"/>
      <c r="J451" s="93" t="n"/>
      <c r="K451" s="93" t="n"/>
      <c r="L451" s="93" t="n"/>
      <c r="M451" s="93" t="n"/>
      <c r="N451" s="93" t="n"/>
      <c r="O451" s="93" t="n"/>
      <c r="P451" s="93" t="n"/>
      <c r="Q451" s="93" t="n"/>
      <c r="R451" s="93" t="n"/>
      <c r="S451" s="93" t="n"/>
      <c r="T451" s="93" t="n"/>
      <c r="U451" s="93" t="n"/>
      <c r="V451" s="93" t="n"/>
      <c r="W451" s="93" t="n"/>
      <c r="X451" s="93" t="n"/>
      <c r="Y451" s="93" t="n"/>
      <c r="Z451" s="93" t="n"/>
    </row>
    <row r="452">
      <c r="A452" s="93" t="n"/>
      <c r="B452" s="93" t="n"/>
      <c r="C452" s="93" t="n"/>
      <c r="D452" s="93" t="n"/>
      <c r="E452" s="93" t="n"/>
      <c r="F452" s="93" t="n"/>
      <c r="G452" s="93" t="n"/>
      <c r="H452" s="93" t="n"/>
      <c r="I452" s="93" t="n"/>
      <c r="J452" s="93" t="n"/>
      <c r="K452" s="93" t="n"/>
      <c r="L452" s="93" t="n"/>
      <c r="M452" s="93" t="n"/>
      <c r="N452" s="93" t="n"/>
      <c r="O452" s="93" t="n"/>
      <c r="P452" s="93" t="n"/>
      <c r="Q452" s="93" t="n"/>
      <c r="R452" s="93" t="n"/>
      <c r="S452" s="93" t="n"/>
      <c r="T452" s="93" t="n"/>
      <c r="U452" s="93" t="n"/>
      <c r="V452" s="93" t="n"/>
      <c r="W452" s="93" t="n"/>
      <c r="X452" s="93" t="n"/>
      <c r="Y452" s="93" t="n"/>
      <c r="Z452" s="93" t="n"/>
    </row>
    <row r="453">
      <c r="A453" s="93" t="n"/>
      <c r="B453" s="93" t="n"/>
      <c r="C453" s="93" t="n"/>
      <c r="D453" s="93" t="n"/>
      <c r="E453" s="93" t="n"/>
      <c r="F453" s="93" t="n"/>
      <c r="G453" s="93" t="n"/>
      <c r="H453" s="93" t="n"/>
      <c r="I453" s="93" t="n"/>
      <c r="J453" s="93" t="n"/>
      <c r="K453" s="93" t="n"/>
      <c r="L453" s="93" t="n"/>
      <c r="M453" s="93" t="n"/>
      <c r="N453" s="93" t="n"/>
      <c r="O453" s="93" t="n"/>
      <c r="P453" s="93" t="n"/>
      <c r="Q453" s="93" t="n"/>
      <c r="R453" s="93" t="n"/>
      <c r="S453" s="93" t="n"/>
      <c r="T453" s="93" t="n"/>
      <c r="U453" s="93" t="n"/>
      <c r="V453" s="93" t="n"/>
      <c r="W453" s="93" t="n"/>
      <c r="X453" s="93" t="n"/>
      <c r="Y453" s="93" t="n"/>
      <c r="Z453" s="93" t="n"/>
    </row>
    <row r="454">
      <c r="A454" s="93" t="n"/>
      <c r="B454" s="93" t="n"/>
      <c r="C454" s="93" t="n"/>
      <c r="D454" s="93" t="n"/>
      <c r="E454" s="93" t="n"/>
      <c r="F454" s="93" t="n"/>
      <c r="G454" s="93" t="n"/>
      <c r="H454" s="93" t="n"/>
      <c r="I454" s="93" t="n"/>
      <c r="J454" s="93" t="n"/>
      <c r="K454" s="93" t="n"/>
      <c r="L454" s="93" t="n"/>
      <c r="M454" s="93" t="n"/>
      <c r="N454" s="93" t="n"/>
      <c r="O454" s="93" t="n"/>
      <c r="P454" s="93" t="n"/>
      <c r="Q454" s="93" t="n"/>
      <c r="R454" s="93" t="n"/>
      <c r="S454" s="93" t="n"/>
      <c r="T454" s="93" t="n"/>
      <c r="U454" s="93" t="n"/>
      <c r="V454" s="93" t="n"/>
      <c r="W454" s="93" t="n"/>
      <c r="X454" s="93" t="n"/>
      <c r="Y454" s="93" t="n"/>
      <c r="Z454" s="93" t="n"/>
    </row>
    <row r="455">
      <c r="A455" s="93" t="n"/>
      <c r="B455" s="93" t="n"/>
      <c r="C455" s="93" t="n"/>
      <c r="D455" s="93" t="n"/>
      <c r="E455" s="93" t="n"/>
      <c r="F455" s="93" t="n"/>
      <c r="G455" s="93" t="n"/>
      <c r="H455" s="93" t="n"/>
      <c r="I455" s="93" t="n"/>
      <c r="J455" s="93" t="n"/>
      <c r="K455" s="93" t="n"/>
      <c r="L455" s="93" t="n"/>
      <c r="M455" s="93" t="n"/>
      <c r="N455" s="93" t="n"/>
      <c r="O455" s="93" t="n"/>
      <c r="P455" s="93" t="n"/>
      <c r="Q455" s="93" t="n"/>
      <c r="R455" s="93" t="n"/>
      <c r="S455" s="93" t="n"/>
      <c r="T455" s="93" t="n"/>
      <c r="U455" s="93" t="n"/>
      <c r="V455" s="93" t="n"/>
      <c r="W455" s="93" t="n"/>
      <c r="X455" s="93" t="n"/>
      <c r="Y455" s="93" t="n"/>
      <c r="Z455" s="93" t="n"/>
    </row>
    <row r="456">
      <c r="A456" s="93" t="n"/>
      <c r="B456" s="93" t="n"/>
      <c r="C456" s="93" t="n"/>
      <c r="D456" s="93" t="n"/>
      <c r="E456" s="93" t="n"/>
      <c r="F456" s="93" t="n"/>
      <c r="G456" s="93" t="n"/>
      <c r="H456" s="93" t="n"/>
      <c r="I456" s="93" t="n"/>
      <c r="J456" s="93" t="n"/>
      <c r="K456" s="93" t="n"/>
      <c r="L456" s="93" t="n"/>
      <c r="M456" s="93" t="n"/>
      <c r="N456" s="93" t="n"/>
      <c r="O456" s="93" t="n"/>
      <c r="P456" s="93" t="n"/>
      <c r="Q456" s="93" t="n"/>
      <c r="R456" s="93" t="n"/>
      <c r="S456" s="93" t="n"/>
      <c r="T456" s="93" t="n"/>
      <c r="U456" s="93" t="n"/>
      <c r="V456" s="93" t="n"/>
      <c r="W456" s="93" t="n"/>
      <c r="X456" s="93" t="n"/>
      <c r="Y456" s="93" t="n"/>
      <c r="Z456" s="93" t="n"/>
    </row>
    <row r="457">
      <c r="A457" s="93" t="n"/>
      <c r="B457" s="93" t="n"/>
      <c r="C457" s="93" t="n"/>
      <c r="D457" s="93" t="n"/>
      <c r="E457" s="93" t="n"/>
      <c r="F457" s="93" t="n"/>
      <c r="G457" s="93" t="n"/>
      <c r="H457" s="93" t="n"/>
      <c r="I457" s="93" t="n"/>
      <c r="J457" s="93" t="n"/>
      <c r="K457" s="93" t="n"/>
      <c r="L457" s="93" t="n"/>
      <c r="M457" s="93" t="n"/>
      <c r="N457" s="93" t="n"/>
      <c r="O457" s="93" t="n"/>
      <c r="P457" s="93" t="n"/>
      <c r="Q457" s="93" t="n"/>
      <c r="R457" s="93" t="n"/>
      <c r="S457" s="93" t="n"/>
      <c r="T457" s="93" t="n"/>
      <c r="U457" s="93" t="n"/>
      <c r="V457" s="93" t="n"/>
      <c r="W457" s="93" t="n"/>
      <c r="X457" s="93" t="n"/>
      <c r="Y457" s="93" t="n"/>
      <c r="Z457" s="93" t="n"/>
    </row>
    <row r="458">
      <c r="A458" s="93" t="n"/>
      <c r="B458" s="93" t="n"/>
      <c r="C458" s="93" t="n"/>
      <c r="D458" s="93" t="n"/>
      <c r="E458" s="93" t="n"/>
      <c r="F458" s="93" t="n"/>
      <c r="G458" s="93" t="n"/>
      <c r="H458" s="93" t="n"/>
      <c r="I458" s="93" t="n"/>
      <c r="J458" s="93" t="n"/>
      <c r="K458" s="93" t="n"/>
      <c r="L458" s="93" t="n"/>
      <c r="M458" s="93" t="n"/>
      <c r="N458" s="93" t="n"/>
      <c r="O458" s="93" t="n"/>
      <c r="P458" s="93" t="n"/>
      <c r="Q458" s="93" t="n"/>
      <c r="R458" s="93" t="n"/>
      <c r="S458" s="93" t="n"/>
      <c r="T458" s="93" t="n"/>
      <c r="U458" s="93" t="n"/>
      <c r="V458" s="93" t="n"/>
      <c r="W458" s="93" t="n"/>
      <c r="X458" s="93" t="n"/>
      <c r="Y458" s="93" t="n"/>
      <c r="Z458" s="93" t="n"/>
    </row>
    <row r="459">
      <c r="A459" s="93" t="n"/>
      <c r="B459" s="93" t="n"/>
      <c r="C459" s="93" t="n"/>
      <c r="D459" s="93" t="n"/>
      <c r="E459" s="93" t="n"/>
      <c r="F459" s="93" t="n"/>
      <c r="G459" s="93" t="n"/>
      <c r="H459" s="93" t="n"/>
      <c r="I459" s="93" t="n"/>
      <c r="J459" s="93" t="n"/>
      <c r="K459" s="93" t="n"/>
      <c r="L459" s="93" t="n"/>
      <c r="M459" s="93" t="n"/>
      <c r="N459" s="93" t="n"/>
      <c r="O459" s="93" t="n"/>
      <c r="P459" s="93" t="n"/>
      <c r="Q459" s="93" t="n"/>
      <c r="R459" s="93" t="n"/>
      <c r="S459" s="93" t="n"/>
      <c r="T459" s="93" t="n"/>
      <c r="U459" s="93" t="n"/>
      <c r="V459" s="93" t="n"/>
      <c r="W459" s="93" t="n"/>
      <c r="X459" s="93" t="n"/>
      <c r="Y459" s="93" t="n"/>
      <c r="Z459" s="93" t="n"/>
    </row>
    <row r="460">
      <c r="A460" s="93" t="n"/>
      <c r="B460" s="93" t="n"/>
      <c r="C460" s="93" t="n"/>
      <c r="D460" s="93" t="n"/>
      <c r="E460" s="93" t="n"/>
      <c r="F460" s="93" t="n"/>
      <c r="G460" s="93" t="n"/>
      <c r="H460" s="93" t="n"/>
      <c r="I460" s="93" t="n"/>
      <c r="J460" s="93" t="n"/>
      <c r="K460" s="93" t="n"/>
      <c r="L460" s="93" t="n"/>
      <c r="M460" s="93" t="n"/>
      <c r="N460" s="93" t="n"/>
      <c r="O460" s="93" t="n"/>
      <c r="P460" s="93" t="n"/>
      <c r="Q460" s="93" t="n"/>
      <c r="R460" s="93" t="n"/>
      <c r="S460" s="93" t="n"/>
      <c r="T460" s="93" t="n"/>
      <c r="U460" s="93" t="n"/>
      <c r="V460" s="93" t="n"/>
      <c r="W460" s="93" t="n"/>
      <c r="X460" s="93" t="n"/>
      <c r="Y460" s="93" t="n"/>
      <c r="Z460" s="93" t="n"/>
    </row>
    <row r="461">
      <c r="A461" s="93" t="n"/>
      <c r="B461" s="93" t="n"/>
      <c r="C461" s="93" t="n"/>
      <c r="D461" s="93" t="n"/>
      <c r="E461" s="93" t="n"/>
      <c r="F461" s="93" t="n"/>
      <c r="G461" s="93" t="n"/>
      <c r="H461" s="93" t="n"/>
      <c r="I461" s="93" t="n"/>
      <c r="J461" s="93" t="n"/>
      <c r="K461" s="93" t="n"/>
      <c r="L461" s="93" t="n"/>
      <c r="M461" s="93" t="n"/>
      <c r="N461" s="93" t="n"/>
      <c r="O461" s="93" t="n"/>
      <c r="P461" s="93" t="n"/>
      <c r="Q461" s="93" t="n"/>
      <c r="R461" s="93" t="n"/>
      <c r="S461" s="93" t="n"/>
      <c r="T461" s="93" t="n"/>
      <c r="U461" s="93" t="n"/>
      <c r="V461" s="93" t="n"/>
      <c r="W461" s="93" t="n"/>
      <c r="X461" s="93" t="n"/>
      <c r="Y461" s="93" t="n"/>
      <c r="Z461" s="93" t="n"/>
    </row>
    <row r="462">
      <c r="A462" s="93" t="n"/>
      <c r="B462" s="93" t="n"/>
      <c r="C462" s="93" t="n"/>
      <c r="D462" s="93" t="n"/>
      <c r="E462" s="93" t="n"/>
      <c r="F462" s="93" t="n"/>
      <c r="G462" s="93" t="n"/>
      <c r="H462" s="93" t="n"/>
      <c r="I462" s="93" t="n"/>
      <c r="J462" s="93" t="n"/>
      <c r="K462" s="93" t="n"/>
      <c r="L462" s="93" t="n"/>
      <c r="M462" s="93" t="n"/>
      <c r="N462" s="93" t="n"/>
      <c r="O462" s="93" t="n"/>
      <c r="P462" s="93" t="n"/>
      <c r="Q462" s="93" t="n"/>
      <c r="R462" s="93" t="n"/>
      <c r="S462" s="93" t="n"/>
      <c r="T462" s="93" t="n"/>
      <c r="U462" s="93" t="n"/>
      <c r="V462" s="93" t="n"/>
      <c r="W462" s="93" t="n"/>
      <c r="X462" s="93" t="n"/>
      <c r="Y462" s="93" t="n"/>
      <c r="Z462" s="93" t="n"/>
    </row>
    <row r="463">
      <c r="A463" s="93" t="n"/>
      <c r="B463" s="93" t="n"/>
      <c r="C463" s="93" t="n"/>
      <c r="D463" s="93" t="n"/>
      <c r="E463" s="93" t="n"/>
      <c r="F463" s="93" t="n"/>
      <c r="G463" s="93" t="n"/>
      <c r="H463" s="93" t="n"/>
      <c r="I463" s="93" t="n"/>
      <c r="J463" s="93" t="n"/>
      <c r="K463" s="93" t="n"/>
      <c r="L463" s="93" t="n"/>
      <c r="M463" s="93" t="n"/>
      <c r="N463" s="93" t="n"/>
      <c r="O463" s="93" t="n"/>
      <c r="P463" s="93" t="n"/>
      <c r="Q463" s="93" t="n"/>
      <c r="R463" s="93" t="n"/>
      <c r="S463" s="93" t="n"/>
      <c r="T463" s="93" t="n"/>
      <c r="U463" s="93" t="n"/>
      <c r="V463" s="93" t="n"/>
      <c r="W463" s="93" t="n"/>
      <c r="X463" s="93" t="n"/>
      <c r="Y463" s="93" t="n"/>
      <c r="Z463" s="93" t="n"/>
    </row>
    <row r="464">
      <c r="A464" s="93" t="n"/>
      <c r="B464" s="93" t="n"/>
      <c r="C464" s="93" t="n"/>
      <c r="D464" s="93" t="n"/>
      <c r="E464" s="93" t="n"/>
      <c r="F464" s="93" t="n"/>
      <c r="G464" s="93" t="n"/>
      <c r="H464" s="93" t="n"/>
      <c r="I464" s="93" t="n"/>
      <c r="J464" s="93" t="n"/>
      <c r="K464" s="93" t="n"/>
      <c r="L464" s="93" t="n"/>
      <c r="M464" s="93" t="n"/>
      <c r="N464" s="93" t="n"/>
      <c r="O464" s="93" t="n"/>
      <c r="P464" s="93" t="n"/>
      <c r="Q464" s="93" t="n"/>
      <c r="R464" s="93" t="n"/>
      <c r="S464" s="93" t="n"/>
      <c r="T464" s="93" t="n"/>
      <c r="U464" s="93" t="n"/>
      <c r="V464" s="93" t="n"/>
      <c r="W464" s="93" t="n"/>
      <c r="X464" s="93" t="n"/>
      <c r="Y464" s="93" t="n"/>
      <c r="Z464" s="93" t="n"/>
    </row>
    <row r="465">
      <c r="A465" s="93" t="n"/>
      <c r="B465" s="93" t="n"/>
      <c r="C465" s="93" t="n"/>
      <c r="D465" s="93" t="n"/>
      <c r="E465" s="93" t="n"/>
      <c r="F465" s="93" t="n"/>
      <c r="G465" s="93" t="n"/>
      <c r="H465" s="93" t="n"/>
      <c r="I465" s="93" t="n"/>
      <c r="J465" s="93" t="n"/>
      <c r="K465" s="93" t="n"/>
      <c r="L465" s="93" t="n"/>
      <c r="M465" s="93" t="n"/>
      <c r="N465" s="93" t="n"/>
      <c r="O465" s="93" t="n"/>
      <c r="P465" s="93" t="n"/>
      <c r="Q465" s="93" t="n"/>
      <c r="R465" s="93" t="n"/>
      <c r="S465" s="93" t="n"/>
      <c r="T465" s="93" t="n"/>
      <c r="U465" s="93" t="n"/>
      <c r="V465" s="93" t="n"/>
      <c r="W465" s="93" t="n"/>
      <c r="X465" s="93" t="n"/>
      <c r="Y465" s="93" t="n"/>
      <c r="Z465" s="93" t="n"/>
    </row>
    <row r="466">
      <c r="A466" s="93" t="n"/>
      <c r="B466" s="93" t="n"/>
      <c r="C466" s="93" t="n"/>
      <c r="D466" s="93" t="n"/>
      <c r="E466" s="93" t="n"/>
      <c r="F466" s="93" t="n"/>
      <c r="G466" s="93" t="n"/>
      <c r="H466" s="93" t="n"/>
      <c r="I466" s="93" t="n"/>
      <c r="J466" s="93" t="n"/>
      <c r="K466" s="93" t="n"/>
      <c r="L466" s="93" t="n"/>
      <c r="M466" s="93" t="n"/>
      <c r="N466" s="93" t="n"/>
      <c r="O466" s="93" t="n"/>
      <c r="P466" s="93" t="n"/>
      <c r="Q466" s="93" t="n"/>
      <c r="R466" s="93" t="n"/>
      <c r="S466" s="93" t="n"/>
      <c r="T466" s="93" t="n"/>
      <c r="U466" s="93" t="n"/>
      <c r="V466" s="93" t="n"/>
      <c r="W466" s="93" t="n"/>
      <c r="X466" s="93" t="n"/>
      <c r="Y466" s="93" t="n"/>
      <c r="Z466" s="93" t="n"/>
    </row>
    <row r="467">
      <c r="A467" s="93" t="n"/>
      <c r="B467" s="93" t="n"/>
      <c r="C467" s="93" t="n"/>
      <c r="D467" s="93" t="n"/>
      <c r="E467" s="93" t="n"/>
      <c r="F467" s="93" t="n"/>
      <c r="G467" s="93" t="n"/>
      <c r="H467" s="93" t="n"/>
      <c r="I467" s="93" t="n"/>
      <c r="J467" s="93" t="n"/>
      <c r="K467" s="93" t="n"/>
      <c r="L467" s="93" t="n"/>
      <c r="M467" s="93" t="n"/>
      <c r="N467" s="93" t="n"/>
      <c r="O467" s="93" t="n"/>
      <c r="P467" s="93" t="n"/>
      <c r="Q467" s="93" t="n"/>
      <c r="R467" s="93" t="n"/>
      <c r="S467" s="93" t="n"/>
      <c r="T467" s="93" t="n"/>
      <c r="U467" s="93" t="n"/>
      <c r="V467" s="93" t="n"/>
      <c r="W467" s="93" t="n"/>
      <c r="X467" s="93" t="n"/>
      <c r="Y467" s="93" t="n"/>
      <c r="Z467" s="93" t="n"/>
    </row>
    <row r="468">
      <c r="A468" s="93" t="n"/>
      <c r="B468" s="93" t="n"/>
      <c r="C468" s="93" t="n"/>
      <c r="D468" s="93" t="n"/>
      <c r="E468" s="93" t="n"/>
      <c r="F468" s="93" t="n"/>
      <c r="G468" s="93" t="n"/>
      <c r="H468" s="93" t="n"/>
      <c r="I468" s="93" t="n"/>
      <c r="J468" s="93" t="n"/>
      <c r="K468" s="93" t="n"/>
      <c r="L468" s="93" t="n"/>
      <c r="M468" s="93" t="n"/>
      <c r="N468" s="93" t="n"/>
      <c r="O468" s="93" t="n"/>
      <c r="P468" s="93" t="n"/>
      <c r="Q468" s="93" t="n"/>
      <c r="R468" s="93" t="n"/>
      <c r="S468" s="93" t="n"/>
      <c r="T468" s="93" t="n"/>
      <c r="U468" s="93" t="n"/>
      <c r="V468" s="93" t="n"/>
      <c r="W468" s="93" t="n"/>
      <c r="X468" s="93" t="n"/>
      <c r="Y468" s="93" t="n"/>
      <c r="Z468" s="93" t="n"/>
    </row>
    <row r="469">
      <c r="A469" s="93" t="n"/>
      <c r="B469" s="93" t="n"/>
      <c r="C469" s="93" t="n"/>
      <c r="D469" s="93" t="n"/>
      <c r="E469" s="93" t="n"/>
      <c r="F469" s="93" t="n"/>
      <c r="G469" s="93" t="n"/>
      <c r="H469" s="93" t="n"/>
      <c r="I469" s="93" t="n"/>
      <c r="J469" s="93" t="n"/>
      <c r="K469" s="93" t="n"/>
      <c r="L469" s="93" t="n"/>
      <c r="M469" s="93" t="n"/>
      <c r="N469" s="93" t="n"/>
      <c r="O469" s="93" t="n"/>
      <c r="P469" s="93" t="n"/>
      <c r="Q469" s="93" t="n"/>
      <c r="R469" s="93" t="n"/>
      <c r="S469" s="93" t="n"/>
      <c r="T469" s="93" t="n"/>
      <c r="U469" s="93" t="n"/>
      <c r="V469" s="93" t="n"/>
      <c r="W469" s="93" t="n"/>
      <c r="X469" s="93" t="n"/>
      <c r="Y469" s="93" t="n"/>
      <c r="Z469" s="93" t="n"/>
    </row>
    <row r="470">
      <c r="A470" s="93" t="n"/>
      <c r="B470" s="93" t="n"/>
      <c r="C470" s="93" t="n"/>
      <c r="D470" s="93" t="n"/>
      <c r="E470" s="93" t="n"/>
      <c r="F470" s="93" t="n"/>
      <c r="G470" s="93" t="n"/>
      <c r="H470" s="93" t="n"/>
      <c r="I470" s="93" t="n"/>
      <c r="J470" s="93" t="n"/>
      <c r="K470" s="93" t="n"/>
      <c r="L470" s="93" t="n"/>
      <c r="M470" s="93" t="n"/>
      <c r="N470" s="93" t="n"/>
      <c r="O470" s="93" t="n"/>
      <c r="P470" s="93" t="n"/>
      <c r="Q470" s="93" t="n"/>
      <c r="R470" s="93" t="n"/>
      <c r="S470" s="93" t="n"/>
      <c r="T470" s="93" t="n"/>
      <c r="U470" s="93" t="n"/>
      <c r="V470" s="93" t="n"/>
      <c r="W470" s="93" t="n"/>
      <c r="X470" s="93" t="n"/>
      <c r="Y470" s="93" t="n"/>
      <c r="Z470" s="93" t="n"/>
    </row>
    <row r="471">
      <c r="A471" s="93" t="n"/>
      <c r="B471" s="93" t="n"/>
      <c r="C471" s="93" t="n"/>
      <c r="D471" s="93" t="n"/>
      <c r="E471" s="93" t="n"/>
      <c r="F471" s="93" t="n"/>
      <c r="G471" s="93" t="n"/>
      <c r="H471" s="93" t="n"/>
      <c r="I471" s="93" t="n"/>
      <c r="J471" s="93" t="n"/>
      <c r="K471" s="93" t="n"/>
      <c r="L471" s="93" t="n"/>
      <c r="M471" s="93" t="n"/>
      <c r="N471" s="93" t="n"/>
      <c r="O471" s="93" t="n"/>
      <c r="P471" s="93" t="n"/>
      <c r="Q471" s="93" t="n"/>
      <c r="R471" s="93" t="n"/>
      <c r="S471" s="93" t="n"/>
      <c r="T471" s="93" t="n"/>
      <c r="U471" s="93" t="n"/>
      <c r="V471" s="93" t="n"/>
      <c r="W471" s="93" t="n"/>
      <c r="X471" s="93" t="n"/>
      <c r="Y471" s="93" t="n"/>
      <c r="Z471" s="93" t="n"/>
    </row>
    <row r="472">
      <c r="A472" s="93" t="n"/>
      <c r="B472" s="93" t="n"/>
      <c r="C472" s="93" t="n"/>
      <c r="D472" s="93" t="n"/>
      <c r="E472" s="93" t="n"/>
      <c r="F472" s="93" t="n"/>
      <c r="G472" s="93" t="n"/>
      <c r="H472" s="93" t="n"/>
      <c r="I472" s="93" t="n"/>
      <c r="J472" s="93" t="n"/>
      <c r="K472" s="93" t="n"/>
      <c r="L472" s="93" t="n"/>
      <c r="M472" s="93" t="n"/>
      <c r="N472" s="93" t="n"/>
      <c r="O472" s="93" t="n"/>
      <c r="P472" s="93" t="n"/>
      <c r="Q472" s="93" t="n"/>
      <c r="R472" s="93" t="n"/>
      <c r="S472" s="93" t="n"/>
      <c r="T472" s="93" t="n"/>
      <c r="U472" s="93" t="n"/>
      <c r="V472" s="93" t="n"/>
      <c r="W472" s="93" t="n"/>
      <c r="X472" s="93" t="n"/>
      <c r="Y472" s="93" t="n"/>
      <c r="Z472" s="93" t="n"/>
    </row>
    <row r="473">
      <c r="A473" s="93" t="n"/>
      <c r="B473" s="93" t="n"/>
      <c r="C473" s="93" t="n"/>
      <c r="D473" s="93" t="n"/>
      <c r="E473" s="93" t="n"/>
      <c r="F473" s="93" t="n"/>
      <c r="G473" s="93" t="n"/>
      <c r="H473" s="93" t="n"/>
      <c r="I473" s="93" t="n"/>
      <c r="J473" s="93" t="n"/>
      <c r="K473" s="93" t="n"/>
      <c r="L473" s="93" t="n"/>
      <c r="M473" s="93" t="n"/>
      <c r="N473" s="93" t="n"/>
      <c r="O473" s="93" t="n"/>
      <c r="P473" s="93" t="n"/>
      <c r="Q473" s="93" t="n"/>
      <c r="R473" s="93" t="n"/>
      <c r="S473" s="93" t="n"/>
      <c r="T473" s="93" t="n"/>
      <c r="U473" s="93" t="n"/>
      <c r="V473" s="93" t="n"/>
      <c r="W473" s="93" t="n"/>
      <c r="X473" s="93" t="n"/>
      <c r="Y473" s="93" t="n"/>
      <c r="Z473" s="93" t="n"/>
    </row>
    <row r="474">
      <c r="A474" s="93" t="n"/>
      <c r="B474" s="93" t="n"/>
      <c r="C474" s="93" t="n"/>
      <c r="D474" s="93" t="n"/>
      <c r="E474" s="93" t="n"/>
      <c r="F474" s="93" t="n"/>
      <c r="G474" s="93" t="n"/>
      <c r="H474" s="93" t="n"/>
      <c r="I474" s="93" t="n"/>
      <c r="J474" s="93" t="n"/>
      <c r="K474" s="93" t="n"/>
      <c r="L474" s="93" t="n"/>
      <c r="M474" s="93" t="n"/>
      <c r="N474" s="93" t="n"/>
      <c r="O474" s="93" t="n"/>
      <c r="P474" s="93" t="n"/>
      <c r="Q474" s="93" t="n"/>
      <c r="R474" s="93" t="n"/>
      <c r="S474" s="93" t="n"/>
      <c r="T474" s="93" t="n"/>
      <c r="U474" s="93" t="n"/>
      <c r="V474" s="93" t="n"/>
      <c r="W474" s="93" t="n"/>
      <c r="X474" s="93" t="n"/>
      <c r="Y474" s="93" t="n"/>
      <c r="Z474" s="93" t="n"/>
    </row>
    <row r="475">
      <c r="A475" s="93" t="n"/>
      <c r="B475" s="93" t="n"/>
      <c r="C475" s="93" t="n"/>
      <c r="D475" s="93" t="n"/>
      <c r="E475" s="93" t="n"/>
      <c r="F475" s="93" t="n"/>
      <c r="G475" s="93" t="n"/>
      <c r="H475" s="93" t="n"/>
      <c r="I475" s="93" t="n"/>
      <c r="J475" s="93" t="n"/>
      <c r="K475" s="93" t="n"/>
      <c r="L475" s="93" t="n"/>
      <c r="M475" s="93" t="n"/>
      <c r="N475" s="93" t="n"/>
      <c r="O475" s="93" t="n"/>
      <c r="P475" s="93" t="n"/>
      <c r="Q475" s="93" t="n"/>
      <c r="R475" s="93" t="n"/>
      <c r="S475" s="93" t="n"/>
      <c r="T475" s="93" t="n"/>
      <c r="U475" s="93" t="n"/>
      <c r="V475" s="93" t="n"/>
      <c r="W475" s="93" t="n"/>
      <c r="X475" s="93" t="n"/>
      <c r="Y475" s="93" t="n"/>
      <c r="Z475" s="93" t="n"/>
    </row>
    <row r="476">
      <c r="A476" s="93" t="n"/>
      <c r="B476" s="93" t="n"/>
      <c r="C476" s="93" t="n"/>
      <c r="D476" s="93" t="n"/>
      <c r="E476" s="93" t="n"/>
      <c r="F476" s="93" t="n"/>
      <c r="G476" s="93" t="n"/>
      <c r="H476" s="93" t="n"/>
      <c r="I476" s="93" t="n"/>
      <c r="J476" s="93" t="n"/>
      <c r="K476" s="93" t="n"/>
      <c r="L476" s="93" t="n"/>
      <c r="M476" s="93" t="n"/>
      <c r="N476" s="93" t="n"/>
      <c r="O476" s="93" t="n"/>
      <c r="P476" s="93" t="n"/>
      <c r="Q476" s="93" t="n"/>
      <c r="R476" s="93" t="n"/>
      <c r="S476" s="93" t="n"/>
      <c r="T476" s="93" t="n"/>
      <c r="U476" s="93" t="n"/>
      <c r="V476" s="93" t="n"/>
      <c r="W476" s="93" t="n"/>
      <c r="X476" s="93" t="n"/>
      <c r="Y476" s="93" t="n"/>
      <c r="Z476" s="93" t="n"/>
    </row>
    <row r="477">
      <c r="A477" s="93" t="n"/>
      <c r="B477" s="93" t="n"/>
      <c r="C477" s="93" t="n"/>
      <c r="D477" s="93" t="n"/>
      <c r="E477" s="93" t="n"/>
      <c r="F477" s="93" t="n"/>
      <c r="G477" s="93" t="n"/>
      <c r="H477" s="93" t="n"/>
      <c r="I477" s="93" t="n"/>
      <c r="J477" s="93" t="n"/>
      <c r="K477" s="93" t="n"/>
      <c r="L477" s="93" t="n"/>
      <c r="M477" s="93" t="n"/>
      <c r="N477" s="93" t="n"/>
      <c r="O477" s="93" t="n"/>
      <c r="P477" s="93" t="n"/>
      <c r="Q477" s="93" t="n"/>
      <c r="R477" s="93" t="n"/>
      <c r="S477" s="93" t="n"/>
      <c r="T477" s="93" t="n"/>
      <c r="U477" s="93" t="n"/>
      <c r="V477" s="93" t="n"/>
      <c r="W477" s="93" t="n"/>
      <c r="X477" s="93" t="n"/>
      <c r="Y477" s="93" t="n"/>
      <c r="Z477" s="93" t="n"/>
    </row>
    <row r="478">
      <c r="A478" s="93" t="n"/>
      <c r="B478" s="93" t="n"/>
      <c r="C478" s="93" t="n"/>
      <c r="D478" s="93" t="n"/>
      <c r="E478" s="93" t="n"/>
      <c r="F478" s="93" t="n"/>
      <c r="G478" s="93" t="n"/>
      <c r="H478" s="93" t="n"/>
      <c r="I478" s="93" t="n"/>
      <c r="J478" s="93" t="n"/>
      <c r="K478" s="93" t="n"/>
      <c r="L478" s="93" t="n"/>
      <c r="M478" s="93" t="n"/>
      <c r="N478" s="93" t="n"/>
      <c r="O478" s="93" t="n"/>
      <c r="P478" s="93" t="n"/>
      <c r="Q478" s="93" t="n"/>
      <c r="R478" s="93" t="n"/>
      <c r="S478" s="93" t="n"/>
      <c r="T478" s="93" t="n"/>
      <c r="U478" s="93" t="n"/>
      <c r="V478" s="93" t="n"/>
      <c r="W478" s="93" t="n"/>
      <c r="X478" s="93" t="n"/>
      <c r="Y478" s="93" t="n"/>
      <c r="Z478" s="93" t="n"/>
    </row>
    <row r="479">
      <c r="A479" s="93" t="n"/>
      <c r="B479" s="93" t="n"/>
      <c r="C479" s="93" t="n"/>
      <c r="D479" s="93" t="n"/>
      <c r="E479" s="93" t="n"/>
      <c r="F479" s="93" t="n"/>
      <c r="G479" s="93" t="n"/>
      <c r="H479" s="93" t="n"/>
      <c r="I479" s="93" t="n"/>
      <c r="J479" s="93" t="n"/>
      <c r="K479" s="93" t="n"/>
      <c r="L479" s="93" t="n"/>
      <c r="M479" s="93" t="n"/>
      <c r="N479" s="93" t="n"/>
      <c r="O479" s="93" t="n"/>
      <c r="P479" s="93" t="n"/>
      <c r="Q479" s="93" t="n"/>
      <c r="R479" s="93" t="n"/>
      <c r="S479" s="93" t="n"/>
      <c r="T479" s="93" t="n"/>
      <c r="U479" s="93" t="n"/>
      <c r="V479" s="93" t="n"/>
      <c r="W479" s="93" t="n"/>
      <c r="X479" s="93" t="n"/>
      <c r="Y479" s="93" t="n"/>
      <c r="Z479" s="93" t="n"/>
    </row>
    <row r="480">
      <c r="A480" s="93" t="n"/>
      <c r="B480" s="93" t="n"/>
      <c r="C480" s="93" t="n"/>
      <c r="D480" s="93" t="n"/>
      <c r="E480" s="93" t="n"/>
      <c r="F480" s="93" t="n"/>
      <c r="G480" s="93" t="n"/>
      <c r="H480" s="93" t="n"/>
      <c r="I480" s="93" t="n"/>
      <c r="J480" s="93" t="n"/>
      <c r="K480" s="93" t="n"/>
      <c r="L480" s="93" t="n"/>
      <c r="M480" s="93" t="n"/>
      <c r="N480" s="93" t="n"/>
      <c r="O480" s="93" t="n"/>
      <c r="P480" s="93" t="n"/>
      <c r="Q480" s="93" t="n"/>
      <c r="R480" s="93" t="n"/>
      <c r="S480" s="93" t="n"/>
      <c r="T480" s="93" t="n"/>
      <c r="U480" s="93" t="n"/>
      <c r="V480" s="93" t="n"/>
      <c r="W480" s="93" t="n"/>
      <c r="X480" s="93" t="n"/>
      <c r="Y480" s="93" t="n"/>
      <c r="Z480" s="93" t="n"/>
    </row>
    <row r="481">
      <c r="A481" s="93" t="n"/>
      <c r="B481" s="93" t="n"/>
      <c r="C481" s="93" t="n"/>
      <c r="D481" s="93" t="n"/>
      <c r="E481" s="93" t="n"/>
      <c r="F481" s="93" t="n"/>
      <c r="G481" s="93" t="n"/>
      <c r="H481" s="93" t="n"/>
      <c r="I481" s="93" t="n"/>
      <c r="J481" s="93" t="n"/>
      <c r="K481" s="93" t="n"/>
      <c r="L481" s="93" t="n"/>
      <c r="M481" s="93" t="n"/>
      <c r="N481" s="93" t="n"/>
      <c r="O481" s="93" t="n"/>
      <c r="P481" s="93" t="n"/>
      <c r="Q481" s="93" t="n"/>
      <c r="R481" s="93" t="n"/>
      <c r="S481" s="93" t="n"/>
      <c r="T481" s="93" t="n"/>
      <c r="U481" s="93" t="n"/>
      <c r="V481" s="93" t="n"/>
      <c r="W481" s="93" t="n"/>
      <c r="X481" s="93" t="n"/>
      <c r="Y481" s="93" t="n"/>
      <c r="Z481" s="93" t="n"/>
    </row>
    <row r="482">
      <c r="A482" s="93" t="n"/>
      <c r="B482" s="93" t="n"/>
      <c r="C482" s="93" t="n"/>
      <c r="D482" s="93" t="n"/>
      <c r="E482" s="93" t="n"/>
      <c r="F482" s="93" t="n"/>
      <c r="G482" s="93" t="n"/>
      <c r="H482" s="93" t="n"/>
      <c r="I482" s="93" t="n"/>
      <c r="J482" s="93" t="n"/>
      <c r="K482" s="93" t="n"/>
      <c r="L482" s="93" t="n"/>
      <c r="M482" s="93" t="n"/>
      <c r="N482" s="93" t="n"/>
      <c r="O482" s="93" t="n"/>
      <c r="P482" s="93" t="n"/>
      <c r="Q482" s="93" t="n"/>
      <c r="R482" s="93" t="n"/>
      <c r="S482" s="93" t="n"/>
      <c r="T482" s="93" t="n"/>
      <c r="U482" s="93" t="n"/>
      <c r="V482" s="93" t="n"/>
      <c r="W482" s="93" t="n"/>
      <c r="X482" s="93" t="n"/>
      <c r="Y482" s="93" t="n"/>
      <c r="Z482" s="93" t="n"/>
    </row>
    <row r="483">
      <c r="A483" s="93" t="n"/>
      <c r="B483" s="93" t="n"/>
      <c r="C483" s="93" t="n"/>
      <c r="D483" s="93" t="n"/>
      <c r="E483" s="93" t="n"/>
      <c r="F483" s="93" t="n"/>
      <c r="G483" s="93" t="n"/>
      <c r="H483" s="93" t="n"/>
      <c r="I483" s="93" t="n"/>
      <c r="J483" s="93" t="n"/>
      <c r="K483" s="93" t="n"/>
      <c r="L483" s="93" t="n"/>
      <c r="M483" s="93" t="n"/>
      <c r="N483" s="93" t="n"/>
      <c r="O483" s="93" t="n"/>
      <c r="P483" s="93" t="n"/>
      <c r="Q483" s="93" t="n"/>
      <c r="R483" s="93" t="n"/>
      <c r="S483" s="93" t="n"/>
      <c r="T483" s="93" t="n"/>
      <c r="U483" s="93" t="n"/>
      <c r="V483" s="93" t="n"/>
      <c r="W483" s="93" t="n"/>
      <c r="X483" s="93" t="n"/>
      <c r="Y483" s="93" t="n"/>
      <c r="Z483" s="93" t="n"/>
    </row>
    <row r="484">
      <c r="A484" s="93" t="n"/>
      <c r="B484" s="93" t="n"/>
      <c r="C484" s="93" t="n"/>
      <c r="D484" s="93" t="n"/>
      <c r="E484" s="93" t="n"/>
      <c r="F484" s="93" t="n"/>
      <c r="G484" s="93" t="n"/>
      <c r="H484" s="93" t="n"/>
      <c r="I484" s="93" t="n"/>
      <c r="J484" s="93" t="n"/>
      <c r="K484" s="93" t="n"/>
      <c r="L484" s="93" t="n"/>
      <c r="M484" s="93" t="n"/>
      <c r="N484" s="93" t="n"/>
      <c r="O484" s="93" t="n"/>
      <c r="P484" s="93" t="n"/>
      <c r="Q484" s="93" t="n"/>
      <c r="R484" s="93" t="n"/>
      <c r="S484" s="93" t="n"/>
      <c r="T484" s="93" t="n"/>
      <c r="U484" s="93" t="n"/>
      <c r="V484" s="93" t="n"/>
      <c r="W484" s="93" t="n"/>
      <c r="X484" s="93" t="n"/>
      <c r="Y484" s="93" t="n"/>
      <c r="Z484" s="93" t="n"/>
    </row>
    <row r="485">
      <c r="A485" s="93" t="n"/>
      <c r="B485" s="93" t="n"/>
      <c r="C485" s="93" t="n"/>
      <c r="D485" s="93" t="n"/>
      <c r="E485" s="93" t="n"/>
      <c r="F485" s="93" t="n"/>
      <c r="G485" s="93" t="n"/>
      <c r="H485" s="93" t="n"/>
      <c r="I485" s="93" t="n"/>
      <c r="J485" s="93" t="n"/>
      <c r="K485" s="93" t="n"/>
      <c r="L485" s="93" t="n"/>
      <c r="M485" s="93" t="n"/>
      <c r="N485" s="93" t="n"/>
      <c r="O485" s="93" t="n"/>
      <c r="P485" s="93" t="n"/>
      <c r="Q485" s="93" t="n"/>
      <c r="R485" s="93" t="n"/>
      <c r="S485" s="93" t="n"/>
      <c r="T485" s="93" t="n"/>
      <c r="U485" s="93" t="n"/>
      <c r="V485" s="93" t="n"/>
      <c r="W485" s="93" t="n"/>
      <c r="X485" s="93" t="n"/>
      <c r="Y485" s="93" t="n"/>
      <c r="Z485" s="93" t="n"/>
    </row>
    <row r="486">
      <c r="A486" s="93" t="n"/>
      <c r="B486" s="93" t="n"/>
      <c r="C486" s="93" t="n"/>
      <c r="D486" s="93" t="n"/>
      <c r="E486" s="93" t="n"/>
      <c r="F486" s="93" t="n"/>
      <c r="G486" s="93" t="n"/>
      <c r="H486" s="93" t="n"/>
      <c r="I486" s="93" t="n"/>
      <c r="J486" s="93" t="n"/>
      <c r="K486" s="93" t="n"/>
      <c r="L486" s="93" t="n"/>
      <c r="M486" s="93" t="n"/>
      <c r="N486" s="93" t="n"/>
      <c r="O486" s="93" t="n"/>
      <c r="P486" s="93" t="n"/>
      <c r="Q486" s="93" t="n"/>
      <c r="R486" s="93" t="n"/>
      <c r="S486" s="93" t="n"/>
      <c r="T486" s="93" t="n"/>
      <c r="U486" s="93" t="n"/>
      <c r="V486" s="93" t="n"/>
      <c r="W486" s="93" t="n"/>
      <c r="X486" s="93" t="n"/>
      <c r="Y486" s="93" t="n"/>
      <c r="Z486" s="93" t="n"/>
    </row>
    <row r="487">
      <c r="A487" s="93" t="n"/>
      <c r="B487" s="93" t="n"/>
      <c r="C487" s="93" t="n"/>
      <c r="D487" s="93" t="n"/>
      <c r="E487" s="93" t="n"/>
      <c r="F487" s="93" t="n"/>
      <c r="G487" s="93" t="n"/>
      <c r="H487" s="93" t="n"/>
      <c r="I487" s="93" t="n"/>
      <c r="J487" s="93" t="n"/>
      <c r="K487" s="93" t="n"/>
      <c r="L487" s="93" t="n"/>
      <c r="M487" s="93" t="n"/>
      <c r="N487" s="93" t="n"/>
      <c r="O487" s="93" t="n"/>
      <c r="P487" s="93" t="n"/>
      <c r="Q487" s="93" t="n"/>
      <c r="R487" s="93" t="n"/>
      <c r="S487" s="93" t="n"/>
      <c r="T487" s="93" t="n"/>
      <c r="U487" s="93" t="n"/>
      <c r="V487" s="93" t="n"/>
      <c r="W487" s="93" t="n"/>
      <c r="X487" s="93" t="n"/>
      <c r="Y487" s="93" t="n"/>
      <c r="Z487" s="93" t="n"/>
    </row>
    <row r="488">
      <c r="A488" s="93" t="n"/>
      <c r="B488" s="93" t="n"/>
      <c r="C488" s="93" t="n"/>
      <c r="D488" s="93" t="n"/>
      <c r="E488" s="93" t="n"/>
      <c r="F488" s="93" t="n"/>
      <c r="G488" s="93" t="n"/>
      <c r="H488" s="93" t="n"/>
      <c r="I488" s="93" t="n"/>
      <c r="J488" s="93" t="n"/>
      <c r="K488" s="93" t="n"/>
      <c r="L488" s="93" t="n"/>
      <c r="M488" s="93" t="n"/>
      <c r="N488" s="93" t="n"/>
      <c r="O488" s="93" t="n"/>
      <c r="P488" s="93" t="n"/>
      <c r="Q488" s="93" t="n"/>
      <c r="R488" s="93" t="n"/>
      <c r="S488" s="93" t="n"/>
      <c r="T488" s="93" t="n"/>
      <c r="U488" s="93" t="n"/>
      <c r="V488" s="93" t="n"/>
      <c r="W488" s="93" t="n"/>
      <c r="X488" s="93" t="n"/>
      <c r="Y488" s="93" t="n"/>
      <c r="Z488" s="93" t="n"/>
    </row>
    <row r="489">
      <c r="A489" s="93" t="n"/>
      <c r="B489" s="93" t="n"/>
      <c r="C489" s="93" t="n"/>
      <c r="D489" s="93" t="n"/>
      <c r="E489" s="93" t="n"/>
      <c r="F489" s="93" t="n"/>
      <c r="G489" s="93" t="n"/>
      <c r="H489" s="93" t="n"/>
      <c r="I489" s="93" t="n"/>
      <c r="J489" s="93" t="n"/>
      <c r="K489" s="93" t="n"/>
      <c r="L489" s="93" t="n"/>
      <c r="M489" s="93" t="n"/>
      <c r="N489" s="93" t="n"/>
      <c r="O489" s="93" t="n"/>
      <c r="P489" s="93" t="n"/>
      <c r="Q489" s="93" t="n"/>
      <c r="R489" s="93" t="n"/>
      <c r="S489" s="93" t="n"/>
      <c r="T489" s="93" t="n"/>
      <c r="U489" s="93" t="n"/>
      <c r="V489" s="93" t="n"/>
      <c r="W489" s="93" t="n"/>
      <c r="X489" s="93" t="n"/>
      <c r="Y489" s="93" t="n"/>
      <c r="Z489" s="93" t="n"/>
    </row>
    <row r="490">
      <c r="A490" s="93" t="n"/>
      <c r="B490" s="93" t="n"/>
      <c r="C490" s="93" t="n"/>
      <c r="D490" s="93" t="n"/>
      <c r="E490" s="93" t="n"/>
      <c r="F490" s="93" t="n"/>
      <c r="G490" s="93" t="n"/>
      <c r="H490" s="93" t="n"/>
      <c r="I490" s="93" t="n"/>
      <c r="J490" s="93" t="n"/>
      <c r="K490" s="93" t="n"/>
      <c r="L490" s="93" t="n"/>
      <c r="M490" s="93" t="n"/>
      <c r="N490" s="93" t="n"/>
      <c r="O490" s="93" t="n"/>
      <c r="P490" s="93" t="n"/>
      <c r="Q490" s="93" t="n"/>
      <c r="R490" s="93" t="n"/>
      <c r="S490" s="93" t="n"/>
      <c r="T490" s="93" t="n"/>
      <c r="U490" s="93" t="n"/>
      <c r="V490" s="93" t="n"/>
      <c r="W490" s="93" t="n"/>
      <c r="X490" s="93" t="n"/>
      <c r="Y490" s="93" t="n"/>
      <c r="Z490" s="93" t="n"/>
    </row>
    <row r="491">
      <c r="A491" s="93" t="n"/>
      <c r="B491" s="93" t="n"/>
      <c r="C491" s="93" t="n"/>
      <c r="D491" s="93" t="n"/>
      <c r="E491" s="93" t="n"/>
      <c r="F491" s="93" t="n"/>
      <c r="G491" s="93" t="n"/>
      <c r="H491" s="93" t="n"/>
      <c r="I491" s="93" t="n"/>
      <c r="J491" s="93" t="n"/>
      <c r="K491" s="93" t="n"/>
      <c r="L491" s="93" t="n"/>
      <c r="M491" s="93" t="n"/>
      <c r="N491" s="93" t="n"/>
      <c r="O491" s="93" t="n"/>
      <c r="P491" s="93" t="n"/>
      <c r="Q491" s="93" t="n"/>
      <c r="R491" s="93" t="n"/>
      <c r="S491" s="93" t="n"/>
      <c r="T491" s="93" t="n"/>
      <c r="U491" s="93" t="n"/>
      <c r="V491" s="93" t="n"/>
      <c r="W491" s="93" t="n"/>
      <c r="X491" s="93" t="n"/>
      <c r="Y491" s="93" t="n"/>
      <c r="Z491" s="93" t="n"/>
    </row>
    <row r="492">
      <c r="A492" s="93" t="n"/>
      <c r="B492" s="93" t="n"/>
      <c r="C492" s="93" t="n"/>
      <c r="D492" s="93" t="n"/>
      <c r="E492" s="93" t="n"/>
      <c r="F492" s="93" t="n"/>
      <c r="G492" s="93" t="n"/>
      <c r="H492" s="93" t="n"/>
      <c r="I492" s="93" t="n"/>
      <c r="J492" s="93" t="n"/>
      <c r="K492" s="93" t="n"/>
      <c r="L492" s="93" t="n"/>
      <c r="M492" s="93" t="n"/>
      <c r="N492" s="93" t="n"/>
      <c r="O492" s="93" t="n"/>
      <c r="P492" s="93" t="n"/>
      <c r="Q492" s="93" t="n"/>
      <c r="R492" s="93" t="n"/>
      <c r="S492" s="93" t="n"/>
      <c r="T492" s="93" t="n"/>
      <c r="U492" s="93" t="n"/>
      <c r="V492" s="93" t="n"/>
      <c r="W492" s="93" t="n"/>
      <c r="X492" s="93" t="n"/>
      <c r="Y492" s="93" t="n"/>
      <c r="Z492" s="93" t="n"/>
    </row>
    <row r="493">
      <c r="A493" s="93" t="n"/>
      <c r="B493" s="93" t="n"/>
      <c r="C493" s="93" t="n"/>
      <c r="D493" s="93" t="n"/>
      <c r="E493" s="93" t="n"/>
      <c r="F493" s="93" t="n"/>
      <c r="G493" s="93" t="n"/>
      <c r="H493" s="93" t="n"/>
      <c r="I493" s="93" t="n"/>
      <c r="J493" s="93" t="n"/>
      <c r="K493" s="93" t="n"/>
      <c r="L493" s="93" t="n"/>
      <c r="M493" s="93" t="n"/>
      <c r="N493" s="93" t="n"/>
      <c r="O493" s="93" t="n"/>
      <c r="P493" s="93" t="n"/>
      <c r="Q493" s="93" t="n"/>
      <c r="R493" s="93" t="n"/>
      <c r="S493" s="93" t="n"/>
      <c r="T493" s="93" t="n"/>
      <c r="U493" s="93" t="n"/>
      <c r="V493" s="93" t="n"/>
      <c r="W493" s="93" t="n"/>
      <c r="X493" s="93" t="n"/>
      <c r="Y493" s="93" t="n"/>
      <c r="Z493" s="93" t="n"/>
    </row>
    <row r="494">
      <c r="A494" s="93" t="n"/>
      <c r="B494" s="93" t="n"/>
      <c r="C494" s="93" t="n"/>
      <c r="D494" s="93" t="n"/>
      <c r="E494" s="93" t="n"/>
      <c r="F494" s="93" t="n"/>
      <c r="G494" s="93" t="n"/>
      <c r="H494" s="93" t="n"/>
      <c r="I494" s="93" t="n"/>
      <c r="J494" s="93" t="n"/>
      <c r="K494" s="93" t="n"/>
      <c r="L494" s="93" t="n"/>
      <c r="M494" s="93" t="n"/>
      <c r="N494" s="93" t="n"/>
      <c r="O494" s="93" t="n"/>
      <c r="P494" s="93" t="n"/>
      <c r="Q494" s="93" t="n"/>
      <c r="R494" s="93" t="n"/>
      <c r="S494" s="93" t="n"/>
      <c r="T494" s="93" t="n"/>
      <c r="U494" s="93" t="n"/>
      <c r="V494" s="93" t="n"/>
      <c r="W494" s="93" t="n"/>
      <c r="X494" s="93" t="n"/>
      <c r="Y494" s="93" t="n"/>
      <c r="Z494" s="93" t="n"/>
    </row>
    <row r="495">
      <c r="A495" s="93" t="n"/>
      <c r="B495" s="93" t="n"/>
      <c r="C495" s="93" t="n"/>
      <c r="D495" s="93" t="n"/>
      <c r="E495" s="93" t="n"/>
      <c r="F495" s="93" t="n"/>
      <c r="G495" s="93" t="n"/>
      <c r="H495" s="93" t="n"/>
      <c r="I495" s="93" t="n"/>
      <c r="J495" s="93" t="n"/>
      <c r="K495" s="93" t="n"/>
      <c r="L495" s="93" t="n"/>
      <c r="M495" s="93" t="n"/>
      <c r="N495" s="93" t="n"/>
      <c r="O495" s="93" t="n"/>
      <c r="P495" s="93" t="n"/>
      <c r="Q495" s="93" t="n"/>
      <c r="R495" s="93" t="n"/>
      <c r="S495" s="93" t="n"/>
      <c r="T495" s="93" t="n"/>
      <c r="U495" s="93" t="n"/>
      <c r="V495" s="93" t="n"/>
      <c r="W495" s="93" t="n"/>
      <c r="X495" s="93" t="n"/>
      <c r="Y495" s="93" t="n"/>
      <c r="Z495" s="93" t="n"/>
    </row>
    <row r="496">
      <c r="A496" s="93" t="n"/>
      <c r="B496" s="93" t="n"/>
      <c r="C496" s="93" t="n"/>
      <c r="D496" s="93" t="n"/>
      <c r="E496" s="93" t="n"/>
      <c r="F496" s="93" t="n"/>
      <c r="G496" s="93" t="n"/>
      <c r="H496" s="93" t="n"/>
      <c r="I496" s="93" t="n"/>
      <c r="J496" s="93" t="n"/>
      <c r="K496" s="93" t="n"/>
      <c r="L496" s="93" t="n"/>
      <c r="M496" s="93" t="n"/>
      <c r="N496" s="93" t="n"/>
      <c r="O496" s="93" t="n"/>
      <c r="P496" s="93" t="n"/>
      <c r="Q496" s="93" t="n"/>
      <c r="R496" s="93" t="n"/>
      <c r="S496" s="93" t="n"/>
      <c r="T496" s="93" t="n"/>
      <c r="U496" s="93" t="n"/>
      <c r="V496" s="93" t="n"/>
      <c r="W496" s="93" t="n"/>
      <c r="X496" s="93" t="n"/>
      <c r="Y496" s="93" t="n"/>
      <c r="Z496" s="93" t="n"/>
    </row>
    <row r="497">
      <c r="A497" s="93" t="n"/>
      <c r="B497" s="93" t="n"/>
      <c r="C497" s="93" t="n"/>
      <c r="D497" s="93" t="n"/>
      <c r="E497" s="93" t="n"/>
      <c r="F497" s="93" t="n"/>
      <c r="G497" s="93" t="n"/>
      <c r="H497" s="93" t="n"/>
      <c r="I497" s="93" t="n"/>
      <c r="J497" s="93" t="n"/>
      <c r="K497" s="93" t="n"/>
      <c r="L497" s="93" t="n"/>
      <c r="M497" s="93" t="n"/>
      <c r="N497" s="93" t="n"/>
      <c r="O497" s="93" t="n"/>
      <c r="P497" s="93" t="n"/>
      <c r="Q497" s="93" t="n"/>
      <c r="R497" s="93" t="n"/>
      <c r="S497" s="93" t="n"/>
      <c r="T497" s="93" t="n"/>
      <c r="U497" s="93" t="n"/>
      <c r="V497" s="93" t="n"/>
      <c r="W497" s="93" t="n"/>
      <c r="X497" s="93" t="n"/>
      <c r="Y497" s="93" t="n"/>
      <c r="Z497" s="93" t="n"/>
    </row>
    <row r="498">
      <c r="A498" s="93" t="n"/>
      <c r="B498" s="93" t="n"/>
      <c r="C498" s="93" t="n"/>
      <c r="D498" s="93" t="n"/>
      <c r="E498" s="93" t="n"/>
      <c r="F498" s="93" t="n"/>
      <c r="G498" s="93" t="n"/>
      <c r="H498" s="93" t="n"/>
      <c r="I498" s="93" t="n"/>
      <c r="J498" s="93" t="n"/>
      <c r="K498" s="93" t="n"/>
      <c r="L498" s="93" t="n"/>
      <c r="M498" s="93" t="n"/>
      <c r="N498" s="93" t="n"/>
      <c r="O498" s="93" t="n"/>
      <c r="P498" s="93" t="n"/>
      <c r="Q498" s="93" t="n"/>
      <c r="R498" s="93" t="n"/>
      <c r="S498" s="93" t="n"/>
      <c r="T498" s="93" t="n"/>
      <c r="U498" s="93" t="n"/>
      <c r="V498" s="93" t="n"/>
      <c r="W498" s="93" t="n"/>
      <c r="X498" s="93" t="n"/>
      <c r="Y498" s="93" t="n"/>
      <c r="Z498" s="93" t="n"/>
    </row>
    <row r="499">
      <c r="A499" s="93" t="n"/>
      <c r="B499" s="93" t="n"/>
      <c r="C499" s="93" t="n"/>
      <c r="D499" s="93" t="n"/>
      <c r="E499" s="93" t="n"/>
      <c r="F499" s="93" t="n"/>
      <c r="G499" s="93" t="n"/>
      <c r="H499" s="93" t="n"/>
      <c r="I499" s="93" t="n"/>
      <c r="J499" s="93" t="n"/>
      <c r="K499" s="93" t="n"/>
      <c r="L499" s="93" t="n"/>
      <c r="M499" s="93" t="n"/>
      <c r="N499" s="93" t="n"/>
      <c r="O499" s="93" t="n"/>
      <c r="P499" s="93" t="n"/>
      <c r="Q499" s="93" t="n"/>
      <c r="R499" s="93" t="n"/>
      <c r="S499" s="93" t="n"/>
      <c r="T499" s="93" t="n"/>
      <c r="U499" s="93" t="n"/>
      <c r="V499" s="93" t="n"/>
      <c r="W499" s="93" t="n"/>
      <c r="X499" s="93" t="n"/>
      <c r="Y499" s="93" t="n"/>
      <c r="Z499" s="93" t="n"/>
    </row>
    <row r="500">
      <c r="A500" s="93" t="n"/>
      <c r="B500" s="93" t="n"/>
      <c r="C500" s="93" t="n"/>
      <c r="D500" s="93" t="n"/>
      <c r="E500" s="93" t="n"/>
      <c r="F500" s="93" t="n"/>
      <c r="G500" s="93" t="n"/>
      <c r="H500" s="93" t="n"/>
      <c r="I500" s="93" t="n"/>
      <c r="J500" s="93" t="n"/>
      <c r="K500" s="93" t="n"/>
      <c r="L500" s="93" t="n"/>
      <c r="M500" s="93" t="n"/>
      <c r="N500" s="93" t="n"/>
      <c r="O500" s="93" t="n"/>
      <c r="P500" s="93" t="n"/>
      <c r="Q500" s="93" t="n"/>
      <c r="R500" s="93" t="n"/>
      <c r="S500" s="93" t="n"/>
      <c r="T500" s="93" t="n"/>
      <c r="U500" s="93" t="n"/>
      <c r="V500" s="93" t="n"/>
      <c r="W500" s="93" t="n"/>
      <c r="X500" s="93" t="n"/>
      <c r="Y500" s="93" t="n"/>
      <c r="Z500" s="93" t="n"/>
    </row>
  </sheetData>
  <mergeCells count="1">
    <mergeCell ref="A1:J1"/>
  </mergeCells>
  <dataValidations count="2">
    <dataValidation sqref="C4:C103" showDropDown="0" showInputMessage="0" showErrorMessage="0" allowBlank="0" type="list">
      <formula1>"Plan,Order,BOM,Inventory,Reservation,PO,Job Card,Traveller,Finance,Decision"</formula1>
    </dataValidation>
    <dataValidation sqref="H4:H103" showDropDown="0" showInputMessage="0" showErrorMessage="0" allowBlank="0" type="list">
      <formula1>"Draft,Pending,Approved,Rejected,Posted,Superseded"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3.80000019073486"/>
  <cols>
    <col width="32" customWidth="1" style="88" min="1" max="1"/>
    <col width="26.3984375" customWidth="1" style="88" min="2" max="2"/>
    <col width="72.796875" customWidth="1" style="77" min="3" max="3"/>
    <col width="43.3984375" customWidth="1" style="88" min="4" max="4"/>
    <col width="16" customWidth="1" style="88" min="5" max="26"/>
  </cols>
  <sheetData>
    <row r="1" ht="21" customHeight="1" s="88">
      <c r="A1" s="180" t="inlineStr">
        <is>
          <t>VYNDI 36-Month Integrated Operating Workbook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</row>
    <row r="2">
      <c r="A2" s="98" t="inlineStr">
        <is>
          <t>Approved plan → demand → BOM → ATP/reservation → procurement → Job Card → Traveller → finance → audit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4">
      <c r="A4" s="62" t="inlineStr">
        <is>
          <t>Executive KPI</t>
        </is>
      </c>
      <c r="B4" s="62" t="inlineStr">
        <is>
          <t>Value</t>
        </is>
      </c>
      <c r="C4" s="78" t="inlineStr">
        <is>
          <t>Status / interpretation</t>
        </is>
      </c>
      <c r="F4" s="62" t="inlineStr">
        <is>
          <t>Workflow</t>
        </is>
      </c>
      <c r="G4" s="62" t="n"/>
      <c r="H4" s="62" t="n"/>
      <c r="I4" s="62" t="n"/>
      <c r="J4" s="62" t="n"/>
      <c r="K4" s="62" t="n"/>
      <c r="L4" s="62" t="n"/>
    </row>
    <row r="5">
      <c r="A5" t="inlineStr">
        <is>
          <t>36M units</t>
        </is>
      </c>
      <c r="B5" s="74">
        <f>'Monthly Funding'!C42</f>
        <v/>
      </c>
      <c r="C5" s="77" t="inlineStr">
        <is>
          <t>Approved plan volume</t>
        </is>
      </c>
      <c r="F5" t="inlineStr">
        <is>
          <t>1</t>
        </is>
      </c>
      <c r="G5" t="inlineStr">
        <is>
          <t>Approved Plan</t>
        </is>
      </c>
    </row>
    <row r="6">
      <c r="A6" t="inlineStr">
        <is>
          <t>Core staged funding ₹L</t>
        </is>
      </c>
      <c r="B6" s="74">
        <f>Inputs!B68</f>
        <v/>
      </c>
      <c r="C6" s="77" t="inlineStr">
        <is>
          <t>T1–T5</t>
        </is>
      </c>
      <c r="F6" t="inlineStr">
        <is>
          <t>2</t>
        </is>
      </c>
      <c r="G6" t="inlineStr">
        <is>
          <t>Demand / Orders</t>
        </is>
      </c>
    </row>
    <row r="7">
      <c r="A7" t="inlineStr">
        <is>
          <t>Optional standby ₹L</t>
        </is>
      </c>
      <c r="B7" s="74">
        <f>Inputs!B69</f>
        <v/>
      </c>
      <c r="C7" s="77" t="inlineStr">
        <is>
          <t>Contingent</t>
        </is>
      </c>
      <c r="F7" t="inlineStr">
        <is>
          <t>3</t>
        </is>
      </c>
      <c r="G7" t="inlineStr">
        <is>
          <t>Approved BOM</t>
        </is>
      </c>
    </row>
    <row r="8">
      <c r="A8" t="inlineStr">
        <is>
          <t>Additional funding gap ₹L</t>
        </is>
      </c>
      <c r="B8" s="74">
        <f>Inputs!B70</f>
        <v/>
      </c>
      <c r="C8" s="77" t="inlineStr">
        <is>
          <t>Cash-floor preserving gap</t>
        </is>
      </c>
      <c r="F8" t="inlineStr">
        <is>
          <t>4</t>
        </is>
      </c>
      <c r="G8" t="inlineStr">
        <is>
          <t>ATP / Reservation</t>
        </is>
      </c>
    </row>
    <row r="9">
      <c r="A9" t="inlineStr">
        <is>
          <t>36M material cost ₹L</t>
        </is>
      </c>
      <c r="B9" s="74">
        <f>'Monthly Funding'!F42</f>
        <v/>
      </c>
      <c r="C9" s="77" t="inlineStr">
        <is>
          <t>Existing aggregate materials plan</t>
        </is>
      </c>
      <c r="F9" t="inlineStr">
        <is>
          <t>5</t>
        </is>
      </c>
      <c r="G9" t="inlineStr">
        <is>
          <t>Procurement</t>
        </is>
      </c>
    </row>
    <row r="10">
      <c r="A10" t="inlineStr">
        <is>
          <t>Inventory value ₹</t>
        </is>
      </c>
      <c r="B10" s="74">
        <f>SUM('Master Inventory'!N4:N69)</f>
        <v/>
      </c>
      <c r="C10" s="77" t="inlineStr">
        <is>
          <t>Posted physical stock only</t>
        </is>
      </c>
      <c r="F10" t="inlineStr">
        <is>
          <t>6</t>
        </is>
      </c>
      <c r="G10" t="inlineStr">
        <is>
          <t>Job Card</t>
        </is>
      </c>
    </row>
    <row r="11">
      <c r="A11" t="inlineStr">
        <is>
          <t>SKUs below MSL / out</t>
        </is>
      </c>
      <c r="B11" s="74">
        <f>COUNTIF('Master Inventory'!L4:L69,"&lt;&gt;HEALTHY")</f>
        <v/>
      </c>
      <c r="C11" s="77" t="inlineStr">
        <is>
          <t>Supply risk</t>
        </is>
      </c>
      <c r="F11" t="inlineStr">
        <is>
          <t>7</t>
        </is>
      </c>
      <c r="G11" t="inlineStr">
        <is>
          <t>Traveller / Quality</t>
        </is>
      </c>
    </row>
    <row r="12">
      <c r="A12" t="inlineStr">
        <is>
          <t>Net procurement buy ₹</t>
        </is>
      </c>
      <c r="B12" s="74">
        <f>SUM('Procurement Plan'!K4:K69)</f>
        <v/>
      </c>
      <c r="C12" s="77" t="inlineStr">
        <is>
          <t>Planning + committed demand reconciled</t>
        </is>
      </c>
      <c r="F12" t="inlineStr">
        <is>
          <t>8</t>
        </is>
      </c>
      <c r="G12" t="inlineStr">
        <is>
          <t>Finance / Audit</t>
        </is>
      </c>
    </row>
    <row r="13">
      <c r="A13" t="inlineStr">
        <is>
          <t>Confirmed orders ₹L</t>
        </is>
      </c>
      <c r="B13" s="74">
        <f>SUMIFS('Sales Orders'!I4:I53,'Sales Orders'!J4:J53,"Confirmed")</f>
        <v/>
      </c>
      <c r="C13" s="77" t="inlineStr">
        <is>
          <t>Committed commercial demand</t>
        </is>
      </c>
    </row>
    <row r="14">
      <c r="A14" t="inlineStr">
        <is>
          <t>Released job cards</t>
        </is>
      </c>
      <c r="B14" s="74">
        <f>COUNTIF('Job Cards'!G4:G53,"RELEASED")</f>
        <v/>
      </c>
      <c r="C14" s="77" t="inlineStr">
        <is>
          <t>Controlled production releases</t>
        </is>
      </c>
    </row>
    <row r="15">
      <c r="A15" t="inlineStr">
        <is>
          <t>Failed traveller gates</t>
        </is>
      </c>
      <c r="B15" s="74">
        <f>COUNTIF(Traveller!L4:L403,"Fail")</f>
        <v/>
      </c>
      <c r="C15" s="77" t="inlineStr">
        <is>
          <t>Quality holds</t>
        </is>
      </c>
    </row>
    <row r="18">
      <c r="A18" s="62" t="inlineStr">
        <is>
          <t>Layer</t>
        </is>
      </c>
      <c r="B18" s="62" t="inlineStr">
        <is>
          <t>Workbook authority</t>
        </is>
      </c>
      <c r="C18" s="78" t="inlineStr">
        <is>
          <t>Editable?</t>
        </is>
      </c>
      <c r="D18" s="62" t="inlineStr">
        <is>
          <t>Purpose</t>
        </is>
      </c>
    </row>
    <row r="19">
      <c r="A19" t="inlineStr">
        <is>
          <t>Plan</t>
        </is>
      </c>
      <c r="B19" t="inlineStr">
        <is>
          <t>Inputs / Monthly Funding / Monthly Materials</t>
        </is>
      </c>
      <c r="C19" s="77" t="inlineStr">
        <is>
          <t>Inputs only</t>
        </is>
      </c>
      <c r="D19" t="inlineStr">
        <is>
          <t>Approved 36-month plan and cash/material forecast</t>
        </is>
      </c>
    </row>
    <row r="20">
      <c r="A20" t="inlineStr">
        <is>
          <t>Catalogue</t>
        </is>
      </c>
      <c r="B20" t="inlineStr">
        <is>
          <t>Component Catalogue</t>
        </is>
      </c>
      <c r="C20" s="77" t="inlineStr">
        <is>
          <t>Price/MSL only</t>
        </is>
      </c>
      <c r="D20" t="inlineStr">
        <is>
          <t>Item/category/SKU master; stock never seeded</t>
        </is>
      </c>
    </row>
    <row r="21">
      <c r="A21" t="inlineStr">
        <is>
          <t>Actual stock</t>
        </is>
      </c>
      <c r="B21" t="inlineStr">
        <is>
          <t>Inventory Movements → Master Inventory</t>
        </is>
      </c>
      <c r="C21" s="77" t="inlineStr">
        <is>
          <t>Posted movements</t>
        </is>
      </c>
      <c r="D21" t="inlineStr">
        <is>
          <t>Physical on-hand, FIFO lot evidence and ATP</t>
        </is>
      </c>
    </row>
    <row r="22">
      <c r="A22" t="inlineStr">
        <is>
          <t>Committed demand</t>
        </is>
      </c>
      <c r="B22" t="inlineStr">
        <is>
          <t>Sales Orders + Reservations</t>
        </is>
      </c>
      <c r="C22" s="77" t="inlineStr">
        <is>
          <t>Controlled</t>
        </is>
      </c>
      <c r="D22" t="inlineStr">
        <is>
          <t>Order revision and stock allocation</t>
        </is>
      </c>
    </row>
    <row r="23">
      <c r="A23" t="inlineStr">
        <is>
          <t>Engineering</t>
        </is>
      </c>
      <c r="B23" t="inlineStr">
        <is>
          <t>BOM Mapping</t>
        </is>
      </c>
      <c r="C23" s="77" t="inlineStr">
        <is>
          <t>Controlled approval</t>
        </is>
      </c>
      <c r="D23" t="inlineStr">
        <is>
          <t>Approved BOM-line → SKU authority</t>
        </is>
      </c>
    </row>
    <row r="24">
      <c r="A24" t="inlineStr">
        <is>
          <t>Production</t>
        </is>
      </c>
      <c r="B24" t="inlineStr">
        <is>
          <t>Job Cards + Traveller</t>
        </is>
      </c>
      <c r="C24" s="77" t="inlineStr">
        <is>
          <t>Status/sign-off</t>
        </is>
      </c>
      <c r="D24" t="inlineStr">
        <is>
          <t>Release and execution traceability</t>
        </is>
      </c>
    </row>
    <row r="25">
      <c r="A25" t="inlineStr">
        <is>
          <t>Decision</t>
        </is>
      </c>
      <c r="B25" t="inlineStr">
        <is>
          <t>IBPE Control</t>
        </is>
      </c>
      <c r="C25" s="77" t="inlineStr">
        <is>
          <t>Read-only recommendations</t>
        </is>
      </c>
      <c r="D25" t="inlineStr">
        <is>
          <t>Forecast/findings never directly post transactions</t>
        </is>
      </c>
    </row>
    <row r="26">
      <c r="A26" t="inlineStr">
        <is>
          <t>Governance</t>
        </is>
      </c>
      <c r="B26" t="inlineStr">
        <is>
          <t>Audit Trail</t>
        </is>
      </c>
      <c r="C26" s="77" t="inlineStr">
        <is>
          <t>Append-only in real system</t>
        </is>
      </c>
      <c r="D26" t="inlineStr">
        <is>
          <t>Actor, approval, evidence and rationale</t>
        </is>
      </c>
    </row>
    <row r="29">
      <c r="A29" s="75" t="inlineStr">
        <is>
          <t>Detailed Operating Cost</t>
        </is>
      </c>
      <c r="B29" s="75" t="inlineStr">
        <is>
          <t>Value</t>
        </is>
      </c>
      <c r="C29" s="79" t="inlineStr">
        <is>
          <t>Interpretation</t>
        </is>
      </c>
    </row>
    <row r="30">
      <c r="A30" t="inlineStr">
        <is>
          <t>36M Engine OPEX ₹L</t>
        </is>
      </c>
      <c r="B30" s="239">
        <f>'Monthly Funding'!D42</f>
        <v/>
      </c>
      <c r="C30" s="77" t="inlineStr">
        <is>
          <t>Repository finance-engine control total</t>
        </is>
      </c>
    </row>
    <row r="31">
      <c r="A31" t="inlineStr">
        <is>
          <t>36M Detailed OPEX ₹L</t>
        </is>
      </c>
      <c r="B31" s="239">
        <f>'Monthly Operating Costs'!M41</f>
        <v/>
      </c>
      <c r="C31" s="77" t="inlineStr">
        <is>
          <t>Rent + manpower + GST/CA + utilities + admin + travel + outsourcing + consumables</t>
        </is>
      </c>
    </row>
    <row r="32">
      <c r="A32" t="inlineStr">
        <is>
          <t>Office equipment purchases ₹L</t>
        </is>
      </c>
      <c r="B32" s="239">
        <f>'Monthly Operating Costs'!P41</f>
        <v/>
      </c>
      <c r="C32" s="77" t="inlineStr">
        <is>
          <t>Setup assets; separate accounting treatment</t>
        </is>
      </c>
    </row>
    <row r="33">
      <c r="A33" t="inlineStr">
        <is>
          <t>36M Operating + Setup ₹L</t>
        </is>
      </c>
      <c r="B33" s="239">
        <f>'Monthly Operating Costs'!Q41</f>
        <v/>
      </c>
      <c r="C33" s="77" t="inlineStr">
        <is>
          <t>OPEX plus office-equipment cash outflow</t>
        </is>
      </c>
    </row>
    <row r="34">
      <c r="A34" t="inlineStr">
        <is>
          <t>Outsourcing within OPEX ₹L</t>
        </is>
      </c>
      <c r="B34" s="239">
        <f>'Monthly Operating Costs'!J41</f>
        <v/>
      </c>
      <c r="C34" s="77" t="inlineStr">
        <is>
          <t>Stage-wise professional/engineering external services</t>
        </is>
      </c>
    </row>
    <row r="37">
      <c r="A37" s="76" t="inlineStr">
        <is>
          <t>Repository Ledger Census</t>
        </is>
      </c>
      <c r="B37" s="76" t="inlineStr">
        <is>
          <t>Count</t>
        </is>
      </c>
      <c r="C37" s="80" t="inlineStr">
        <is>
          <t>Meaning</t>
        </is>
      </c>
    </row>
    <row r="38">
      <c r="A38" t="inlineStr">
        <is>
          <t>Census objects</t>
        </is>
      </c>
      <c r="B38">
        <f>COUNTA('Repo Ledger Census'!B5:B25)</f>
        <v/>
      </c>
      <c r="C38" s="77" t="inlineStr">
        <is>
          <t>Reviewed repository ledger/control objects</t>
        </is>
      </c>
    </row>
    <row r="39">
      <c r="A39" t="inlineStr">
        <is>
          <t>Canonical objects</t>
        </is>
      </c>
      <c r="B39">
        <f>COUNTIF('Repo Ledger Census'!F5:F25,"YES*")</f>
        <v/>
      </c>
      <c r="C39" s="77" t="inlineStr">
        <is>
          <t>Use as source of truth within stated truth class</t>
        </is>
      </c>
    </row>
    <row r="40">
      <c r="A40" t="inlineStr">
        <is>
          <t>Not fully imported</t>
        </is>
      </c>
      <c r="B40">
        <f>COUNTIF('Repo Ledger Census'!H5:H25,"&lt;&gt;YES")</f>
        <v/>
      </c>
      <c r="C40" s="77" t="inlineStr">
        <is>
          <t>Need live rows, historical numeric data or deeper accounting import</t>
        </is>
      </c>
    </row>
    <row r="41">
      <c r="A41" t="inlineStr">
        <is>
          <t>Legacy / noncanonical objects</t>
        </is>
      </c>
      <c r="B41">
        <f>COUNTIF('Repo Ledger Census'!F5:F25,"NO*")</f>
        <v/>
      </c>
      <c r="C41" s="77" t="inlineStr">
        <is>
          <t>Do not promote to parallel truth</t>
        </is>
      </c>
    </row>
    <row r="44">
      <c r="A44" s="241" t="inlineStr">
        <is>
          <t>v5 Operational Execution &amp; Governance</t>
        </is>
      </c>
      <c r="B44" s="98" t="n"/>
      <c r="C44" s="98" t="n"/>
      <c r="D44" s="98" t="n"/>
      <c r="E44" s="98" t="n"/>
      <c r="F44" s="98" t="n"/>
      <c r="G44" s="98" t="n"/>
    </row>
    <row r="45">
      <c r="A45" s="231" t="inlineStr">
        <is>
          <t>Control</t>
        </is>
      </c>
      <c r="B45" s="231" t="inlineStr">
        <is>
          <t>Value</t>
        </is>
      </c>
      <c r="C45" s="231" t="inlineStr">
        <is>
          <t>Interpretation</t>
        </is>
      </c>
    </row>
    <row r="46">
      <c r="A46" t="inlineStr">
        <is>
          <t>Approved suppliers</t>
        </is>
      </c>
      <c r="B46">
        <f>COUNTIF('Supplier Master'!$K$4:$K$53,"Yes")</f>
        <v/>
      </c>
      <c r="C46" t="inlineStr">
        <is>
          <t>Approved vendor master records</t>
        </is>
      </c>
    </row>
    <row r="47">
      <c r="A47" t="inlineStr">
        <is>
          <t>Open purchase requisitions</t>
        </is>
      </c>
      <c r="B47">
        <f>COUNTIFS('Purchase Requisitions'!$M$4:$M$53,"Approved")+COUNTIFS('Purchase Requisitions'!$M$4:$M$53,"RFQ")</f>
        <v/>
      </c>
      <c r="C47" t="inlineStr">
        <is>
          <t>Approved/RFQ requisitions awaiting PO conversion</t>
        </is>
      </c>
    </row>
    <row r="48">
      <c r="A48" t="inlineStr">
        <is>
          <t>Committed PO open qty</t>
        </is>
      </c>
      <c r="B48">
        <f>SUM('Purchase Orders'!$V$4:$V$53)</f>
        <v/>
      </c>
      <c r="C48" t="inlineStr">
        <is>
          <t>External supply commitment still outstanding</t>
        </is>
      </c>
    </row>
    <row r="49">
      <c r="A49" t="inlineStr">
        <is>
          <t>Quarantine / rejected GRNs</t>
        </is>
      </c>
      <c r="B49">
        <f>COUNTIF('Goods Receipts'!$K$4:$K$53,"Quarantine")+COUNTIF('Goods Receipts'!$K$4:$K$53,"Rejected")</f>
        <v/>
      </c>
      <c r="C49" t="inlineStr">
        <is>
          <t>Receipt quality exceptions requiring action</t>
        </is>
      </c>
    </row>
    <row r="50">
      <c r="A50" t="inlineStr">
        <is>
          <t>FIFO layers available</t>
        </is>
      </c>
      <c r="B50">
        <f>COUNTIF('FIFO Layers'!$O$4:$O$53,"AVAILABLE")</f>
        <v/>
      </c>
      <c r="C50" t="inlineStr">
        <is>
          <t>Released FIFO layers with remaining quantity</t>
        </is>
      </c>
    </row>
    <row r="51">
      <c r="A51" t="inlineStr">
        <is>
          <t>Capacity shortfall months</t>
        </is>
      </c>
      <c r="B51">
        <f>COUNTIF('Capacity Planning'!$N$4:$N$291,"CAPACITY SHORTFALL")</f>
        <v/>
      </c>
      <c r="C51" t="inlineStr">
        <is>
          <t>Work-centre/month combinations over effective capacity</t>
        </is>
      </c>
    </row>
    <row r="52">
      <c r="A52" t="inlineStr">
        <is>
          <t>Open IBPE decisions</t>
        </is>
      </c>
      <c r="B52">
        <f>COUNTIFS('Decision Register'!$M$4:$M$53,"&lt;&gt;Closed",'Decision Register'!$A$4:$A$53,"&lt;&gt;")</f>
        <v/>
      </c>
      <c r="C52" t="inlineStr">
        <is>
          <t>Management decisions not yet closed</t>
        </is>
      </c>
    </row>
  </sheetData>
  <mergeCells count="3">
    <mergeCell ref="A2:L2"/>
    <mergeCell ref="A44:G44"/>
    <mergeCell ref="A1:L1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3.80000019073486"/>
  <cols>
    <col width="23" customWidth="1" style="88" min="1" max="1"/>
    <col width="12" customWidth="1" style="88" min="2" max="2"/>
    <col width="16" customWidth="1" style="88" min="3" max="16"/>
  </cols>
  <sheetData>
    <row r="1" ht="19.20000076293945" customHeight="1" s="88">
      <c r="A1" s="242" t="inlineStr">
        <is>
          <t>VYNDI Detailed Operating Cost Plan · stage-wise OPEX + setup cash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>
      <c r="A2" s="98" t="inlineStr">
        <is>
          <t>Blue values are editable proposed allocations. Formula total is constrained to the repository finance-engine OPEX envelope; office equipment is shown separately as setup CAPEX.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</row>
    <row r="4" ht="41.40000152587891" customHeight="1" s="88">
      <c r="A4" s="59" t="inlineStr">
        <is>
          <t>Stage</t>
        </is>
      </c>
      <c r="B4" s="59" t="inlineStr">
        <is>
          <t>Months</t>
        </is>
      </c>
      <c r="C4" s="59" t="inlineStr">
        <is>
          <t>Base OPEX ₹L/mo</t>
        </is>
      </c>
      <c r="D4" s="59" t="inlineStr">
        <is>
          <t>Rent ₹L/mo</t>
        </is>
      </c>
      <c r="E4" s="59" t="inlineStr">
        <is>
          <t>Payroll &amp; Manpower ₹L/mo</t>
        </is>
      </c>
      <c r="F4" s="59" t="inlineStr">
        <is>
          <t>GST/CA Filing ₹L/mo</t>
        </is>
      </c>
      <c r="G4" s="59" t="inlineStr">
        <is>
          <t>Utilities/Internet ₹L/mo</t>
        </is>
      </c>
      <c r="H4" s="59" t="inlineStr">
        <is>
          <t>Admin/Insurance ₹L/mo</t>
        </is>
      </c>
      <c r="I4" s="59" t="inlineStr">
        <is>
          <t>Travel/Marketing ₹L/mo</t>
        </is>
      </c>
      <c r="J4" s="59" t="inlineStr">
        <is>
          <t>Outsourcing ₹L/mo</t>
        </is>
      </c>
      <c r="K4" s="59" t="inlineStr">
        <is>
          <t>Office Consumables ₹L/mo</t>
        </is>
      </c>
      <c r="L4" s="59" t="inlineStr">
        <is>
          <t>Other/Contingency ₹L/mo</t>
        </is>
      </c>
      <c r="M4" s="59" t="inlineStr">
        <is>
          <t>Detailed OPEX ₹L/mo</t>
        </is>
      </c>
      <c r="N4" s="59" t="inlineStr">
        <is>
          <t>Variance vs Engine</t>
        </is>
      </c>
      <c r="O4" s="59" t="inlineStr">
        <is>
          <t>Office Equip Purchase ₹L</t>
        </is>
      </c>
      <c r="P4" s="59" t="inlineStr">
        <is>
          <t>Operating + Setup Cash ₹L/mo</t>
        </is>
      </c>
    </row>
    <row r="5">
      <c r="A5" t="inlineStr">
        <is>
          <t>S1 Foundation</t>
        </is>
      </c>
      <c r="B5" t="inlineStr">
        <is>
          <t>M1–M3</t>
        </is>
      </c>
      <c r="C5" s="238" t="n">
        <v>2.8</v>
      </c>
      <c r="D5" s="238" t="n">
        <v>0.3</v>
      </c>
      <c r="E5" s="238" t="n">
        <v>0.8</v>
      </c>
      <c r="F5" s="238" t="n">
        <v>0.08</v>
      </c>
      <c r="G5" s="238" t="n">
        <v>0.12</v>
      </c>
      <c r="H5" s="238" t="n">
        <v>0.15</v>
      </c>
      <c r="I5" s="238" t="n">
        <v>0.15</v>
      </c>
      <c r="J5" s="238" t="n">
        <v>0.9</v>
      </c>
      <c r="K5" s="238" t="n">
        <v>0.1</v>
      </c>
      <c r="L5" s="238" t="n">
        <v>0.2</v>
      </c>
      <c r="M5" s="243">
        <f>SUM(D5:L5)</f>
        <v/>
      </c>
      <c r="N5" s="243">
        <f>M5-C5</f>
        <v/>
      </c>
      <c r="O5" s="238" t="n">
        <v>0.8</v>
      </c>
      <c r="P5" s="243">
        <f>M5+O5</f>
        <v/>
      </c>
    </row>
    <row r="6">
      <c r="A6" t="inlineStr">
        <is>
          <t>S2 Engineering</t>
        </is>
      </c>
      <c r="B6" t="inlineStr">
        <is>
          <t>M4–M8</t>
        </is>
      </c>
      <c r="C6" s="238" t="n">
        <v>4.2</v>
      </c>
      <c r="D6" s="238" t="n">
        <v>0.45</v>
      </c>
      <c r="E6" s="238" t="n">
        <v>1.25</v>
      </c>
      <c r="F6" s="238" t="n">
        <v>0.1</v>
      </c>
      <c r="G6" s="238" t="n">
        <v>0.18</v>
      </c>
      <c r="H6" s="238" t="n">
        <v>0.2</v>
      </c>
      <c r="I6" s="238" t="n">
        <v>0.25</v>
      </c>
      <c r="J6" s="238" t="n">
        <v>1.35</v>
      </c>
      <c r="K6" s="238" t="n">
        <v>0.12</v>
      </c>
      <c r="L6" s="238" t="n">
        <v>0.3</v>
      </c>
      <c r="M6" s="243">
        <f>SUM(D6:L6)</f>
        <v/>
      </c>
      <c r="N6" s="243">
        <f>M6-C6</f>
        <v/>
      </c>
      <c r="O6" s="238" t="n">
        <v>1.2</v>
      </c>
      <c r="P6" s="243">
        <f>M6+O6</f>
        <v/>
      </c>
    </row>
    <row r="7">
      <c r="A7" t="inlineStr">
        <is>
          <t>S3 Validation</t>
        </is>
      </c>
      <c r="B7" t="inlineStr">
        <is>
          <t>M9–M11</t>
        </is>
      </c>
      <c r="C7" s="238" t="n">
        <v>6</v>
      </c>
      <c r="D7" s="238" t="n">
        <v>0.6</v>
      </c>
      <c r="E7" s="238" t="n">
        <v>1.85</v>
      </c>
      <c r="F7" s="238" t="n">
        <v>0.12</v>
      </c>
      <c r="G7" s="238" t="n">
        <v>0.23</v>
      </c>
      <c r="H7" s="238" t="n">
        <v>0.25</v>
      </c>
      <c r="I7" s="238" t="n">
        <v>0.35</v>
      </c>
      <c r="J7" s="238" t="n">
        <v>2</v>
      </c>
      <c r="K7" s="238" t="n">
        <v>0.15</v>
      </c>
      <c r="L7" s="238" t="n">
        <v>0.45</v>
      </c>
      <c r="M7" s="243">
        <f>SUM(D7:L7)</f>
        <v/>
      </c>
      <c r="N7" s="243">
        <f>M7-C7</f>
        <v/>
      </c>
      <c r="O7" s="238" t="n">
        <v>0.9</v>
      </c>
      <c r="P7" s="243">
        <f>M7+O7</f>
        <v/>
      </c>
    </row>
    <row r="8">
      <c r="A8" t="inlineStr">
        <is>
          <t>S4 Launch Readiness</t>
        </is>
      </c>
      <c r="B8" t="inlineStr">
        <is>
          <t>M12–M14</t>
        </is>
      </c>
      <c r="C8" s="238" t="n">
        <v>7.8</v>
      </c>
      <c r="D8" s="238" t="n">
        <v>0.8</v>
      </c>
      <c r="E8" s="238" t="n">
        <v>2.8</v>
      </c>
      <c r="F8" s="238" t="n">
        <v>0.15</v>
      </c>
      <c r="G8" s="238" t="n">
        <v>0.3</v>
      </c>
      <c r="H8" s="238" t="n">
        <v>0.35</v>
      </c>
      <c r="I8" s="238" t="n">
        <v>0.5</v>
      </c>
      <c r="J8" s="238" t="n">
        <v>2.2</v>
      </c>
      <c r="K8" s="238" t="n">
        <v>0.2</v>
      </c>
      <c r="L8" s="238" t="n">
        <v>0.5</v>
      </c>
      <c r="M8" s="243">
        <f>SUM(D8:L8)</f>
        <v/>
      </c>
      <c r="N8" s="243">
        <f>M8-C8</f>
        <v/>
      </c>
      <c r="O8" s="238" t="n">
        <v>1.1</v>
      </c>
      <c r="P8" s="243">
        <f>M8+O8</f>
        <v/>
      </c>
    </row>
    <row r="9">
      <c r="A9" t="inlineStr">
        <is>
          <t>S5 Commercial Scale</t>
        </is>
      </c>
      <c r="B9" t="inlineStr">
        <is>
          <t>M15–M36</t>
        </is>
      </c>
      <c r="C9" s="238" t="n">
        <v>9.199999999999999</v>
      </c>
      <c r="D9" s="238" t="n">
        <v>1</v>
      </c>
      <c r="E9" s="238" t="n">
        <v>4.2</v>
      </c>
      <c r="F9" s="238" t="n">
        <v>0.18</v>
      </c>
      <c r="G9" s="238" t="n">
        <v>0.38</v>
      </c>
      <c r="H9" s="238" t="n">
        <v>0.44</v>
      </c>
      <c r="I9" s="238" t="n">
        <v>0.7</v>
      </c>
      <c r="J9" s="238" t="n">
        <v>1.45</v>
      </c>
      <c r="K9" s="238" t="n">
        <v>0.25</v>
      </c>
      <c r="L9" s="238" t="n">
        <v>0.6</v>
      </c>
      <c r="M9" s="243">
        <f>SUM(D9:L9)</f>
        <v/>
      </c>
      <c r="N9" s="243">
        <f>M9-C9</f>
        <v/>
      </c>
      <c r="O9" s="238" t="n">
        <v>0.25</v>
      </c>
      <c r="P9" s="243">
        <f>M9+O9</f>
        <v/>
      </c>
    </row>
    <row r="12" ht="27.60000038146973" customHeight="1" s="88">
      <c r="A12" s="59" t="inlineStr">
        <is>
          <t>Source / control</t>
        </is>
      </c>
      <c r="B12" s="59" t="inlineStr">
        <is>
          <t>Repository path</t>
        </is>
      </c>
      <c r="C12" s="59" t="inlineStr">
        <is>
          <t>Status</t>
        </is>
      </c>
      <c r="D12" s="59" t="inlineStr">
        <is>
          <t>Note</t>
        </is>
      </c>
    </row>
    <row r="13">
      <c r="A13" t="inlineStr">
        <is>
          <t>Base staged OPEX</t>
        </is>
      </c>
      <c r="B13" t="inlineStr">
        <is>
          <t>https://github.com/shyamsundhar1982/tiger-field-flora-finch/blob/main/src/lib/finance/model.ts</t>
        </is>
      </c>
      <c r="C13" t="inlineStr">
        <is>
          <t>Source baseline</t>
        </is>
      </c>
      <c r="D13" t="inlineStr">
        <is>
          <t>opexFor(): 2.8 / 4.2 / 6.0 / 7.8 / 9.2 ₹L per month relative to launch</t>
        </is>
      </c>
    </row>
    <row r="14">
      <c r="A14" t="inlineStr">
        <is>
          <t>Equipment-ledger structure</t>
        </is>
      </c>
      <c r="B14" t="inlineStr">
        <is>
          <t>https://github.com/shyamsundhar1982/tiger-field-flora-finch/blob/main/src/lib/finance/equipment-ledger.ts</t>
        </is>
      </c>
      <c r="C14" t="inlineStr">
        <is>
          <t>Source baseline</t>
        </is>
      </c>
      <c r="D14" t="inlineStr">
        <is>
          <t>Office/Admin, manufacturing, quality-support and consumables ledgers retained</t>
        </is>
      </c>
    </row>
    <row r="15">
      <c r="A15" t="inlineStr">
        <is>
          <t>GST/CA governance</t>
        </is>
      </c>
      <c r="B15" t="inlineStr">
        <is>
          <t>https://github.com/shyamsundhar1982/tiger-field-flora-finch/blob/main/src/lib/finance/accounting.ts</t>
        </is>
      </c>
      <c r="C15" t="inlineStr">
        <is>
          <t>Source baseline</t>
        </is>
      </c>
      <c r="D15" t="inlineStr">
        <is>
          <t>GST/tax controls retained; filing fee allocation is planning input</t>
        </is>
      </c>
    </row>
  </sheetData>
  <mergeCells count="2">
    <mergeCell ref="A1:P1"/>
    <mergeCell ref="A2:P2"/>
  </mergeCells>
  <conditionalFormatting sqref="N5:N9">
    <cfRule type="expression" priority="1" dxfId="1">
      <formula>ABS(N5)&gt;0.001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3.80000019073486"/>
  <cols>
    <col width="26.69921875" customWidth="1" style="93" min="1" max="1"/>
    <col width="8.796875" customWidth="1" style="93" min="2" max="6"/>
    <col width="11.59765625" customWidth="1" style="93" min="7" max="7"/>
    <col width="8.796875" customWidth="1" style="93" min="8" max="10"/>
    <col width="13.8984375" customWidth="1" style="93" min="11" max="11"/>
    <col width="37.69921875" customWidth="1" style="93" min="12" max="12"/>
    <col width="8.796875" customWidth="1" style="93" min="13" max="16384"/>
  </cols>
  <sheetData>
    <row r="1" ht="19.20000076293945" customHeight="1" s="88">
      <c r="A1" s="244" t="inlineStr">
        <is>
          <t>Manpower &amp; Salary Plan · stage-wise proposed monthly payroll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</row>
    <row r="3" ht="38.40000152587891" customFormat="1" customHeight="1" s="72">
      <c r="A3" s="82" t="inlineStr">
        <is>
          <t>Role / Cost Pool</t>
        </is>
      </c>
      <c r="B3" s="82" t="inlineStr">
        <is>
          <t>S1 HC</t>
        </is>
      </c>
      <c r="C3" s="82" t="inlineStr">
        <is>
          <t>S1 ₹L/mo</t>
        </is>
      </c>
      <c r="D3" s="82" t="inlineStr">
        <is>
          <t>S2 HC</t>
        </is>
      </c>
      <c r="E3" s="82" t="inlineStr">
        <is>
          <t>S2 ₹L/mo</t>
        </is>
      </c>
      <c r="F3" s="82" t="inlineStr">
        <is>
          <t>S3 HC</t>
        </is>
      </c>
      <c r="G3" s="82" t="inlineStr">
        <is>
          <t>S3 ₹L/mo</t>
        </is>
      </c>
      <c r="H3" s="82" t="inlineStr">
        <is>
          <t>S4 HC</t>
        </is>
      </c>
      <c r="I3" s="82" t="inlineStr">
        <is>
          <t>S4 ₹L/mo</t>
        </is>
      </c>
      <c r="J3" s="82" t="inlineStr">
        <is>
          <t>S5 HC</t>
        </is>
      </c>
      <c r="K3" s="82" t="inlineStr">
        <is>
          <t>S5 ₹L/mo</t>
        </is>
      </c>
      <c r="L3" s="82" t="inlineStr">
        <is>
          <t>Basis</t>
        </is>
      </c>
    </row>
    <row r="4">
      <c r="A4" s="93" t="inlineStr">
        <is>
          <t>Founder / MD</t>
        </is>
      </c>
      <c r="B4" s="188" t="n">
        <v>1</v>
      </c>
      <c r="C4" s="245" t="n">
        <v>0.2</v>
      </c>
      <c r="D4" s="188" t="n">
        <v>1</v>
      </c>
      <c r="E4" s="245" t="n">
        <v>0.3</v>
      </c>
      <c r="F4" s="188" t="n">
        <v>1</v>
      </c>
      <c r="G4" s="245" t="n">
        <v>0.4</v>
      </c>
      <c r="H4" s="188" t="n">
        <v>1</v>
      </c>
      <c r="I4" s="245" t="n">
        <v>0.5</v>
      </c>
      <c r="J4" s="188" t="n">
        <v>1</v>
      </c>
      <c r="K4" s="245" t="n">
        <v>0.6</v>
      </c>
      <c r="L4" s="93" t="inlineStr">
        <is>
          <t>Lean founder draw; editable</t>
        </is>
      </c>
    </row>
    <row r="5">
      <c r="A5" s="93" t="inlineStr">
        <is>
          <t>Engineering / Product</t>
        </is>
      </c>
      <c r="B5" s="188" t="n">
        <v>1</v>
      </c>
      <c r="C5" s="245" t="n">
        <v>0.3</v>
      </c>
      <c r="D5" s="188" t="n">
        <v>2</v>
      </c>
      <c r="E5" s="245" t="n">
        <v>0.55</v>
      </c>
      <c r="F5" s="188" t="n">
        <v>2</v>
      </c>
      <c r="G5" s="245" t="n">
        <v>0.75</v>
      </c>
      <c r="H5" s="188" t="n">
        <v>3</v>
      </c>
      <c r="I5" s="245" t="n">
        <v>1.05</v>
      </c>
      <c r="J5" s="188" t="n">
        <v>4</v>
      </c>
      <c r="K5" s="245" t="n">
        <v>1.35</v>
      </c>
      <c r="L5" s="93" t="inlineStr">
        <is>
          <t>Core engineering team</t>
        </is>
      </c>
    </row>
    <row r="6">
      <c r="A6" s="93" t="inlineStr">
        <is>
          <t>Operations / Supply Chain</t>
        </is>
      </c>
      <c r="B6" s="188" t="n">
        <v>0</v>
      </c>
      <c r="C6" s="245" t="n">
        <v>0</v>
      </c>
      <c r="D6" s="188" t="n">
        <v>1</v>
      </c>
      <c r="E6" s="245" t="n">
        <v>0.2</v>
      </c>
      <c r="F6" s="188" t="n">
        <v>1</v>
      </c>
      <c r="G6" s="245" t="n">
        <v>0.3</v>
      </c>
      <c r="H6" s="188" t="n">
        <v>2</v>
      </c>
      <c r="I6" s="245" t="n">
        <v>0.5</v>
      </c>
      <c r="J6" s="188" t="n">
        <v>3</v>
      </c>
      <c r="K6" s="245" t="n">
        <v>0.75</v>
      </c>
      <c r="L6" s="93" t="inlineStr">
        <is>
          <t>Ramp with procurement/production</t>
        </is>
      </c>
    </row>
    <row r="7">
      <c r="A7" s="93" t="inlineStr">
        <is>
          <t>Quality / Compliance</t>
        </is>
      </c>
      <c r="B7" s="188" t="n">
        <v>0</v>
      </c>
      <c r="C7" s="245" t="n">
        <v>0</v>
      </c>
      <c r="D7" s="188" t="n">
        <v>0</v>
      </c>
      <c r="E7" s="245" t="n">
        <v>0</v>
      </c>
      <c r="F7" s="188" t="n">
        <v>1</v>
      </c>
      <c r="G7" s="245" t="n">
        <v>0.25</v>
      </c>
      <c r="H7" s="188" t="n">
        <v>1</v>
      </c>
      <c r="I7" s="245" t="n">
        <v>0.35</v>
      </c>
      <c r="J7" s="188" t="n">
        <v>2</v>
      </c>
      <c r="K7" s="245" t="n">
        <v>0.55</v>
      </c>
      <c r="L7" s="93" t="inlineStr">
        <is>
          <t>Validation onward</t>
        </is>
      </c>
    </row>
    <row r="8">
      <c r="A8" s="93" t="inlineStr">
        <is>
          <t>Finance / Admin</t>
        </is>
      </c>
      <c r="B8" s="188" t="n">
        <v>1</v>
      </c>
      <c r="C8" s="245" t="n">
        <v>0.15</v>
      </c>
      <c r="D8" s="188" t="n">
        <v>1</v>
      </c>
      <c r="E8" s="245" t="n">
        <v>0.2</v>
      </c>
      <c r="F8" s="188" t="n">
        <v>1</v>
      </c>
      <c r="G8" s="245" t="n">
        <v>0.25</v>
      </c>
      <c r="H8" s="188" t="n">
        <v>1</v>
      </c>
      <c r="I8" s="245" t="n">
        <v>0.3</v>
      </c>
      <c r="J8" s="188" t="n">
        <v>2</v>
      </c>
      <c r="K8" s="245" t="n">
        <v>0.45</v>
      </c>
      <c r="L8" s="93" t="inlineStr">
        <is>
          <t>Admin/accounts support</t>
        </is>
      </c>
    </row>
    <row r="9">
      <c r="A9" s="93" t="inlineStr">
        <is>
          <t>Sales / Customer</t>
        </is>
      </c>
      <c r="B9" s="188" t="n">
        <v>0</v>
      </c>
      <c r="C9" s="245" t="n">
        <v>0</v>
      </c>
      <c r="D9" s="188" t="n">
        <v>0</v>
      </c>
      <c r="E9" s="245" t="n">
        <v>0</v>
      </c>
      <c r="F9" s="188" t="n">
        <v>1</v>
      </c>
      <c r="G9" s="245" t="n">
        <v>0.15</v>
      </c>
      <c r="H9" s="188" t="n">
        <v>2</v>
      </c>
      <c r="I9" s="245" t="n">
        <v>0.3</v>
      </c>
      <c r="J9" s="188" t="n">
        <v>3</v>
      </c>
      <c r="K9" s="245" t="n">
        <v>0.5</v>
      </c>
      <c r="L9" s="93" t="inlineStr">
        <is>
          <t>Commercial ramp</t>
        </is>
      </c>
    </row>
    <row r="10" ht="27.60000038146973" customHeight="1" s="88">
      <c r="A10" s="93" t="inlineStr">
        <is>
          <t>Benefits / statutory / temp manpower</t>
        </is>
      </c>
      <c r="B10" s="188" t="n">
        <v>0</v>
      </c>
      <c r="C10" s="245" t="n">
        <v>0.15</v>
      </c>
      <c r="D10" s="188" t="n">
        <v>0</v>
      </c>
      <c r="E10" s="245" t="n">
        <v>0</v>
      </c>
      <c r="F10" s="188" t="n">
        <v>0</v>
      </c>
      <c r="G10" s="245" t="n">
        <v>0</v>
      </c>
      <c r="H10" s="188" t="n">
        <v>0</v>
      </c>
      <c r="I10" s="245" t="n">
        <v>0.8</v>
      </c>
      <c r="J10" s="188" t="n">
        <v>0</v>
      </c>
      <c r="K10" s="245" t="n">
        <v>0</v>
      </c>
      <c r="L10" s="93" t="inlineStr">
        <is>
          <t>Balancing pool to stage payroll control; editable</t>
        </is>
      </c>
    </row>
    <row r="12">
      <c r="A12" s="81" t="inlineStr">
        <is>
          <t>TOTAL</t>
        </is>
      </c>
      <c r="B12" s="81">
        <f>SUM(B4:B10)</f>
        <v/>
      </c>
      <c r="C12" s="81">
        <f>SUM(C4:C10)</f>
        <v/>
      </c>
      <c r="D12" s="81">
        <f>SUM(D4:D10)</f>
        <v/>
      </c>
      <c r="E12" s="81">
        <f>SUM(E4:E10)</f>
        <v/>
      </c>
      <c r="F12" s="81">
        <f>SUM(F4:F10)</f>
        <v/>
      </c>
      <c r="G12" s="81">
        <f>SUM(G4:G10)</f>
        <v/>
      </c>
      <c r="H12" s="81">
        <f>SUM(H4:H10)</f>
        <v/>
      </c>
      <c r="I12" s="81">
        <f>SUM(I4:I10)</f>
        <v/>
      </c>
      <c r="J12" s="81">
        <f>SUM(J4:J10)</f>
        <v/>
      </c>
      <c r="K12" s="81">
        <f>SUM(K4:K10)</f>
        <v/>
      </c>
    </row>
  </sheetData>
  <mergeCells count="1">
    <mergeCell ref="A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3.80000019073486"/>
  <cols>
    <col width="36.59765625" customWidth="1" style="88" min="1" max="1"/>
    <col width="19.69921875" customWidth="1" style="88" min="7" max="7"/>
    <col width="15.59765625" customWidth="1" style="88" min="8" max="8"/>
    <col width="17.796875" customWidth="1" style="88" min="9" max="9"/>
  </cols>
  <sheetData>
    <row r="1" ht="19.20000076293945" customHeight="1" s="88">
      <c r="A1" s="242" t="inlineStr">
        <is>
          <t>Outsourcing Cost Ledger · stage-wise professional / engineering services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</row>
    <row r="3">
      <c r="A3" s="75" t="inlineStr">
        <is>
          <t>Service</t>
        </is>
      </c>
      <c r="B3" s="75" t="inlineStr">
        <is>
          <t>S1 ₹L/mo</t>
        </is>
      </c>
      <c r="C3" s="75" t="inlineStr">
        <is>
          <t>S2 ₹L/mo</t>
        </is>
      </c>
      <c r="D3" s="75" t="inlineStr">
        <is>
          <t>S3 ₹L/mo</t>
        </is>
      </c>
      <c r="E3" s="75" t="inlineStr">
        <is>
          <t>S4 ₹L/mo</t>
        </is>
      </c>
      <c r="F3" s="75" t="inlineStr">
        <is>
          <t>S5 ₹L/mo</t>
        </is>
      </c>
      <c r="G3" s="75" t="inlineStr">
        <is>
          <t>Cost Type</t>
        </is>
      </c>
      <c r="H3" s="75" t="inlineStr">
        <is>
          <t>Owner</t>
        </is>
      </c>
      <c r="I3" s="75" t="inlineStr">
        <is>
          <t>Evidence / PO Ref</t>
        </is>
      </c>
      <c r="J3" s="75" t="inlineStr">
        <is>
          <t>Notes</t>
        </is>
      </c>
    </row>
    <row r="4">
      <c r="A4" t="inlineStr">
        <is>
          <t>CAD / CAE / Industrial Design</t>
        </is>
      </c>
      <c r="B4" s="238" t="n">
        <v>0.3</v>
      </c>
      <c r="C4" s="238" t="n">
        <v>0.45</v>
      </c>
      <c r="D4" s="238" t="n">
        <v>0.3</v>
      </c>
      <c r="E4" s="238" t="n">
        <v>0.15</v>
      </c>
      <c r="F4" s="238" t="n">
        <v>0.05</v>
      </c>
      <c r="G4" t="inlineStr">
        <is>
          <t>Engineering service</t>
        </is>
      </c>
      <c r="H4" t="inlineStr">
        <is>
          <t>Engineering</t>
        </is>
      </c>
    </row>
    <row r="5">
      <c r="A5" t="inlineStr">
        <is>
          <t>Prototype / composite specialist support</t>
        </is>
      </c>
      <c r="B5" s="238" t="n">
        <v>0.2</v>
      </c>
      <c r="C5" s="238" t="n">
        <v>0.35</v>
      </c>
      <c r="D5" s="238" t="n">
        <v>0.45</v>
      </c>
      <c r="E5" s="238" t="n">
        <v>0.35</v>
      </c>
      <c r="F5" s="238" t="n">
        <v>0.2</v>
      </c>
      <c r="G5" t="inlineStr">
        <is>
          <t>Engineering service</t>
        </is>
      </c>
      <c r="H5" t="inlineStr">
        <is>
          <t>Engineering/OEM</t>
        </is>
      </c>
    </row>
    <row r="6">
      <c r="A6" t="inlineStr">
        <is>
          <t>Testing / lab / certification</t>
        </is>
      </c>
      <c r="B6" s="238" t="n">
        <v>0.05</v>
      </c>
      <c r="C6" s="238" t="n">
        <v>0.2</v>
      </c>
      <c r="D6" s="238" t="n">
        <v>0.55</v>
      </c>
      <c r="E6" s="238" t="n">
        <v>0.55</v>
      </c>
      <c r="F6" s="238" t="n">
        <v>0.15</v>
      </c>
      <c r="G6" t="inlineStr">
        <is>
          <t>Validation service</t>
        </is>
      </c>
      <c r="H6" t="inlineStr">
        <is>
          <t>Quality</t>
        </is>
      </c>
    </row>
    <row r="7">
      <c r="A7" t="inlineStr">
        <is>
          <t>Legal / IP / contracts</t>
        </is>
      </c>
      <c r="B7" s="238" t="n">
        <v>0.1</v>
      </c>
      <c r="C7" s="238" t="n">
        <v>0.1</v>
      </c>
      <c r="D7" s="238" t="n">
        <v>0.1</v>
      </c>
      <c r="E7" s="238" t="n">
        <v>0.1</v>
      </c>
      <c r="F7" s="238" t="n">
        <v>0.08</v>
      </c>
      <c r="G7" t="inlineStr">
        <is>
          <t>Professional service</t>
        </is>
      </c>
      <c r="H7" t="inlineStr">
        <is>
          <t>Governance</t>
        </is>
      </c>
    </row>
    <row r="8">
      <c r="A8" t="inlineStr">
        <is>
          <t>CA / tax advisory beyond filing</t>
        </is>
      </c>
      <c r="B8" s="238" t="n">
        <v>0.05</v>
      </c>
      <c r="C8" s="238" t="n">
        <v>0.05</v>
      </c>
      <c r="D8" s="238" t="n">
        <v>0.1</v>
      </c>
      <c r="E8" s="238" t="n">
        <v>0.1</v>
      </c>
      <c r="F8" s="238" t="n">
        <v>0.1</v>
      </c>
      <c r="G8" t="inlineStr">
        <is>
          <t>Professional service</t>
        </is>
      </c>
      <c r="H8" t="inlineStr">
        <is>
          <t>Finance</t>
        </is>
      </c>
    </row>
    <row r="9">
      <c r="A9" t="inlineStr">
        <is>
          <t>Website / creative / investor collateral</t>
        </is>
      </c>
      <c r="B9" s="238" t="n">
        <v>0.1</v>
      </c>
      <c r="C9" s="238" t="n">
        <v>0.1</v>
      </c>
      <c r="D9" s="238" t="n">
        <v>0.1</v>
      </c>
      <c r="E9" s="238" t="n">
        <v>0.2</v>
      </c>
      <c r="F9" s="238" t="n">
        <v>0.2</v>
      </c>
      <c r="G9" t="inlineStr">
        <is>
          <t>Commercial service</t>
        </is>
      </c>
      <c r="H9" t="inlineStr">
        <is>
          <t>Commercial</t>
        </is>
      </c>
    </row>
    <row r="10">
      <c r="A10" t="inlineStr">
        <is>
          <t>Recruitment / HR / specialist consultants</t>
        </is>
      </c>
      <c r="B10" s="238" t="n">
        <v>0.05</v>
      </c>
      <c r="C10" s="238" t="n">
        <v>0.05</v>
      </c>
      <c r="D10" s="238" t="n">
        <v>0.1</v>
      </c>
      <c r="E10" s="238" t="n">
        <v>0.15</v>
      </c>
      <c r="F10" s="238" t="n">
        <v>0.2</v>
      </c>
      <c r="G10" t="inlineStr">
        <is>
          <t>Professional service</t>
        </is>
      </c>
      <c r="H10" t="inlineStr">
        <is>
          <t>Admin</t>
        </is>
      </c>
    </row>
    <row r="11">
      <c r="A11" t="inlineStr">
        <is>
          <t>Logistics / sourcing support</t>
        </is>
      </c>
      <c r="B11" s="238" t="n">
        <v>0.05</v>
      </c>
      <c r="C11" s="238" t="n">
        <v>0.05</v>
      </c>
      <c r="D11" s="238" t="n">
        <v>0.15</v>
      </c>
      <c r="E11" s="238" t="n">
        <v>0.3</v>
      </c>
      <c r="F11" s="238" t="n">
        <v>0.47</v>
      </c>
      <c r="G11" t="inlineStr">
        <is>
          <t>Supply service</t>
        </is>
      </c>
      <c r="H11" t="inlineStr">
        <is>
          <t>Supply</t>
        </is>
      </c>
    </row>
    <row r="13">
      <c r="A13" s="83" t="inlineStr">
        <is>
          <t>TOTAL</t>
        </is>
      </c>
      <c r="B13" s="83">
        <f>SUM(B4:B11)</f>
        <v/>
      </c>
      <c r="C13" s="83">
        <f>SUM(C4:C11)</f>
        <v/>
      </c>
      <c r="D13" s="83">
        <f>SUM(D4:D11)</f>
        <v/>
      </c>
      <c r="E13" s="83">
        <f>SUM(E4:E11)</f>
        <v/>
      </c>
      <c r="F13" s="83">
        <f>SUM(F4:F11)</f>
        <v/>
      </c>
    </row>
  </sheetData>
  <mergeCells count="1">
    <mergeCell ref="A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3.80000019073486"/>
  <cols>
    <col width="30.19921875" customWidth="1" style="88" min="1" max="1"/>
    <col width="20.5" customWidth="1" style="88" min="7" max="7"/>
    <col width="28.5" customWidth="1" style="88" min="11" max="11"/>
  </cols>
  <sheetData>
    <row r="1" ht="19.20000076293945" customHeight="1" s="88">
      <c r="A1" s="242" t="inlineStr">
        <is>
          <t>Office &amp; Administration Equipment Purchase Ledger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</row>
    <row r="3">
      <c r="A3" s="75" t="inlineStr">
        <is>
          <t>Asset</t>
        </is>
      </c>
      <c r="B3" s="75" t="inlineStr">
        <is>
          <t>Category</t>
        </is>
      </c>
      <c r="C3" s="75" t="inlineStr">
        <is>
          <t>Qty</t>
        </is>
      </c>
      <c r="D3" s="75" t="inlineStr">
        <is>
          <t>Unit Cost ₹</t>
        </is>
      </c>
      <c r="E3" s="75" t="inlineStr">
        <is>
          <t>Total ₹L</t>
        </is>
      </c>
      <c r="F3" s="75" t="inlineStr">
        <is>
          <t>Purchase Month</t>
        </is>
      </c>
      <c r="G3" s="75" t="inlineStr">
        <is>
          <t>Stage</t>
        </is>
      </c>
      <c r="H3" s="75" t="inlineStr">
        <is>
          <t>Useful Life Months</t>
        </is>
      </c>
      <c r="I3" s="75" t="inlineStr">
        <is>
          <t>Monthly Depn ₹L</t>
        </is>
      </c>
      <c r="J3" s="75" t="inlineStr">
        <is>
          <t>Status</t>
        </is>
      </c>
      <c r="K3" s="75" t="inlineStr">
        <is>
          <t>Source / Note</t>
        </is>
      </c>
    </row>
    <row r="4">
      <c r="A4" t="inlineStr">
        <is>
          <t>Computers / laptops</t>
        </is>
      </c>
      <c r="B4" t="inlineStr">
        <is>
          <t>IT</t>
        </is>
      </c>
      <c r="C4" s="64" t="n">
        <v>4</v>
      </c>
      <c r="D4" s="235" t="n">
        <v>75000</v>
      </c>
      <c r="E4" s="239">
        <f>C4*D4/100000</f>
        <v/>
      </c>
      <c r="F4" s="64" t="n">
        <v>1</v>
      </c>
      <c r="G4" s="64" t="inlineStr">
        <is>
          <t>S1 Foundation</t>
        </is>
      </c>
      <c r="H4" s="64" t="n">
        <v>36</v>
      </c>
      <c r="I4" s="239">
        <f>E4/H4</f>
        <v/>
      </c>
      <c r="J4" t="inlineStr">
        <is>
          <t>Proposed</t>
        </is>
      </c>
      <c r="K4" t="inlineStr">
        <is>
          <t>Repository officeAdmin/IT category</t>
        </is>
      </c>
    </row>
    <row r="5">
      <c r="A5" t="inlineStr">
        <is>
          <t>Tables / desks</t>
        </is>
      </c>
      <c r="B5" t="inlineStr">
        <is>
          <t>Furniture</t>
        </is>
      </c>
      <c r="C5" s="64" t="n">
        <v>4</v>
      </c>
      <c r="D5" s="235" t="n">
        <v>15000</v>
      </c>
      <c r="E5" s="239">
        <f>C5*D5/100000</f>
        <v/>
      </c>
      <c r="F5" s="64" t="n">
        <v>1</v>
      </c>
      <c r="G5" s="64" t="inlineStr">
        <is>
          <t>S1 Foundation</t>
        </is>
      </c>
      <c r="H5" s="64" t="n">
        <v>60</v>
      </c>
      <c r="I5" s="239">
        <f>E5/H5</f>
        <v/>
      </c>
      <c r="J5" t="inlineStr">
        <is>
          <t>Proposed</t>
        </is>
      </c>
      <c r="K5" t="inlineStr">
        <is>
          <t>Repository officeAdmin/Furniture</t>
        </is>
      </c>
    </row>
    <row r="6">
      <c r="A6" t="inlineStr">
        <is>
          <t>Chairs</t>
        </is>
      </c>
      <c r="B6" t="inlineStr">
        <is>
          <t>Furniture</t>
        </is>
      </c>
      <c r="C6" s="64" t="n">
        <v>6</v>
      </c>
      <c r="D6" s="235" t="n">
        <v>8000</v>
      </c>
      <c r="E6" s="239">
        <f>C6*D6/100000</f>
        <v/>
      </c>
      <c r="F6" s="64" t="n">
        <v>1</v>
      </c>
      <c r="G6" s="64" t="inlineStr">
        <is>
          <t>S1 Foundation</t>
        </is>
      </c>
      <c r="H6" s="64" t="n">
        <v>60</v>
      </c>
      <c r="I6" s="239">
        <f>E6/H6</f>
        <v/>
      </c>
      <c r="J6" t="inlineStr">
        <is>
          <t>Proposed</t>
        </is>
      </c>
      <c r="K6" t="inlineStr">
        <is>
          <t>Repository officeAdmin/Furniture</t>
        </is>
      </c>
    </row>
    <row r="7">
      <c r="A7" t="inlineStr">
        <is>
          <t>Air conditioners</t>
        </is>
      </c>
      <c r="B7" t="inlineStr">
        <is>
          <t>Facilities</t>
        </is>
      </c>
      <c r="C7" s="64" t="n">
        <v>2</v>
      </c>
      <c r="D7" s="235" t="n">
        <v>45000</v>
      </c>
      <c r="E7" s="239">
        <f>C7*D7/100000</f>
        <v/>
      </c>
      <c r="F7" s="64" t="n">
        <v>4</v>
      </c>
      <c r="G7" s="64" t="inlineStr">
        <is>
          <t>S2 Engineering</t>
        </is>
      </c>
      <c r="H7" s="64" t="n">
        <v>60</v>
      </c>
      <c r="I7" s="239">
        <f>E7/H7</f>
        <v/>
      </c>
      <c r="J7" t="inlineStr">
        <is>
          <t>Proposed</t>
        </is>
      </c>
      <c r="K7" t="inlineStr">
        <is>
          <t>Repository officeAdmin/Facilities</t>
        </is>
      </c>
    </row>
    <row r="8">
      <c r="A8" t="inlineStr">
        <is>
          <t>Water dispenser</t>
        </is>
      </c>
      <c r="B8" t="inlineStr">
        <is>
          <t>Facilities</t>
        </is>
      </c>
      <c r="C8" s="64" t="n">
        <v>1</v>
      </c>
      <c r="D8" s="235" t="n">
        <v>15000</v>
      </c>
      <c r="E8" s="239">
        <f>C8*D8/100000</f>
        <v/>
      </c>
      <c r="F8" s="64" t="n">
        <v>4</v>
      </c>
      <c r="G8" s="64" t="inlineStr">
        <is>
          <t>S2 Engineering</t>
        </is>
      </c>
      <c r="H8" s="64" t="n">
        <v>60</v>
      </c>
      <c r="I8" s="239">
        <f>E8/H8</f>
        <v/>
      </c>
      <c r="J8" t="inlineStr">
        <is>
          <t>Proposed</t>
        </is>
      </c>
      <c r="K8" t="inlineStr">
        <is>
          <t>Repository officeAdmin/Facilities</t>
        </is>
      </c>
    </row>
    <row r="9">
      <c r="A9" t="inlineStr">
        <is>
          <t>Sofa / meeting seating</t>
        </is>
      </c>
      <c r="B9" t="inlineStr">
        <is>
          <t>Furniture</t>
        </is>
      </c>
      <c r="C9" s="64" t="n">
        <v>1</v>
      </c>
      <c r="D9" s="235" t="n">
        <v>60000</v>
      </c>
      <c r="E9" s="239">
        <f>C9*D9/100000</f>
        <v/>
      </c>
      <c r="F9" s="64" t="n">
        <v>4</v>
      </c>
      <c r="G9" s="64" t="inlineStr">
        <is>
          <t>S2 Engineering</t>
        </is>
      </c>
      <c r="H9" s="64" t="n">
        <v>60</v>
      </c>
      <c r="I9" s="239">
        <f>E9/H9</f>
        <v/>
      </c>
      <c r="J9" t="inlineStr">
        <is>
          <t>Proposed</t>
        </is>
      </c>
      <c r="K9" t="inlineStr">
        <is>
          <t>Repository officeAdmin/Furniture</t>
        </is>
      </c>
    </row>
    <row r="10">
      <c r="A10" t="inlineStr">
        <is>
          <t>Additional engineering workstations</t>
        </is>
      </c>
      <c r="B10" t="inlineStr">
        <is>
          <t>IT</t>
        </is>
      </c>
      <c r="C10" s="64" t="n">
        <v>3</v>
      </c>
      <c r="D10" s="235" t="n">
        <v>100000</v>
      </c>
      <c r="E10" s="239">
        <f>C10*D10/100000</f>
        <v/>
      </c>
      <c r="F10" s="64" t="n">
        <v>9</v>
      </c>
      <c r="G10" s="64" t="inlineStr">
        <is>
          <t>S3 Validation</t>
        </is>
      </c>
      <c r="H10" s="64" t="n">
        <v>36</v>
      </c>
      <c r="I10" s="239">
        <f>E10/H10</f>
        <v/>
      </c>
      <c r="J10" t="inlineStr">
        <is>
          <t>Proposed</t>
        </is>
      </c>
      <c r="K10" t="inlineStr">
        <is>
          <t>Capacity ramp</t>
        </is>
      </c>
    </row>
    <row r="11">
      <c r="A11" t="inlineStr">
        <is>
          <t>QA / admin IT additions</t>
        </is>
      </c>
      <c r="B11" t="inlineStr">
        <is>
          <t>IT</t>
        </is>
      </c>
      <c r="C11" s="64" t="n">
        <v>2</v>
      </c>
      <c r="D11" s="235" t="n">
        <v>75000</v>
      </c>
      <c r="E11" s="239">
        <f>C11*D11/100000</f>
        <v/>
      </c>
      <c r="F11" s="64" t="n">
        <v>12</v>
      </c>
      <c r="G11" s="64" t="inlineStr">
        <is>
          <t>S4 Launch Readiness</t>
        </is>
      </c>
      <c r="H11" s="64" t="n">
        <v>36</v>
      </c>
      <c r="I11" s="239">
        <f>E11/H11</f>
        <v/>
      </c>
      <c r="J11" t="inlineStr">
        <is>
          <t>Proposed</t>
        </is>
      </c>
      <c r="K11" t="inlineStr">
        <is>
          <t>Launch staffing</t>
        </is>
      </c>
    </row>
    <row r="12">
      <c r="A12" t="inlineStr">
        <is>
          <t>Commercial / support laptops</t>
        </is>
      </c>
      <c r="B12" t="inlineStr">
        <is>
          <t>IT</t>
        </is>
      </c>
      <c r="C12" s="64" t="n">
        <v>2</v>
      </c>
      <c r="D12" s="235" t="n">
        <v>75000</v>
      </c>
      <c r="E12" s="239">
        <f>C12*D12/100000</f>
        <v/>
      </c>
      <c r="F12" s="64" t="n">
        <v>15</v>
      </c>
      <c r="G12" s="64" t="inlineStr">
        <is>
          <t>S5 Commercial Scale</t>
        </is>
      </c>
      <c r="H12" s="64" t="n">
        <v>36</v>
      </c>
      <c r="I12" s="239">
        <f>E12/H12</f>
        <v/>
      </c>
      <c r="J12" t="inlineStr">
        <is>
          <t>Proposed</t>
        </is>
      </c>
      <c r="K12" t="inlineStr">
        <is>
          <t>Post-launch staffing</t>
        </is>
      </c>
    </row>
    <row r="14">
      <c r="A14" s="83" t="inlineStr">
        <is>
          <t>TOTAL</t>
        </is>
      </c>
      <c r="B14" s="83" t="n"/>
      <c r="C14" s="83" t="n"/>
      <c r="D14" s="83" t="n"/>
      <c r="E14" s="83">
        <f>SUM(E4:E12)</f>
        <v/>
      </c>
    </row>
  </sheetData>
  <mergeCells count="1">
    <mergeCell ref="A1:K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3.80000019073486"/>
  <cols>
    <col width="6.296875" customWidth="1" style="88" min="1" max="1"/>
    <col width="10.796875" customWidth="1" style="88" min="4" max="4"/>
    <col width="8.69921875" customWidth="1" style="88" min="6" max="6"/>
    <col width="10.296875" customWidth="1" style="88" min="7" max="7"/>
    <col width="9.3984375" customWidth="1" style="88" min="8" max="8"/>
    <col width="14.19921875" customWidth="1" style="88" min="9" max="9"/>
    <col width="13.796875" customWidth="1" style="88" min="10" max="10"/>
    <col width="13.5" customWidth="1" style="88" min="11" max="11"/>
    <col width="12.296875" customWidth="1" style="88" min="12" max="12"/>
    <col width="11.8984375" customWidth="1" style="88" min="13" max="13"/>
    <col width="11.19921875" customWidth="1" style="88" min="14" max="14"/>
    <col width="15.796875" customWidth="1" style="88" min="17" max="17"/>
    <col width="30.796875" customWidth="1" style="88" min="18" max="18"/>
  </cols>
  <sheetData>
    <row r="1" ht="19.20000076293945" customHeight="1" s="88">
      <c r="A1" s="242" t="inlineStr">
        <is>
          <t>36-Month Detailed Operating Cost Projection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</row>
    <row r="3" ht="51" customFormat="1" customHeight="1" s="86">
      <c r="A3" s="85" t="inlineStr">
        <is>
          <t>Month</t>
        </is>
      </c>
      <c r="B3" s="85" t="inlineStr">
        <is>
          <t>Date</t>
        </is>
      </c>
      <c r="C3" s="85" t="inlineStr">
        <is>
          <t>Stage</t>
        </is>
      </c>
      <c r="D3" s="85" t="inlineStr">
        <is>
          <t>Rent</t>
        </is>
      </c>
      <c r="E3" s="85" t="inlineStr">
        <is>
          <t>Payroll</t>
        </is>
      </c>
      <c r="F3" s="85" t="inlineStr">
        <is>
          <t>GST/ CA Filing</t>
        </is>
      </c>
      <c r="G3" s="85" t="inlineStr">
        <is>
          <t>Utilities</t>
        </is>
      </c>
      <c r="H3" s="85" t="inlineStr">
        <is>
          <t>Admin/ Insurance</t>
        </is>
      </c>
      <c r="I3" s="85" t="inlineStr">
        <is>
          <t>Travel/ Marketing</t>
        </is>
      </c>
      <c r="J3" s="85" t="inlineStr">
        <is>
          <t>Outsourcing</t>
        </is>
      </c>
      <c r="K3" s="85" t="inlineStr">
        <is>
          <t>Office Consumables</t>
        </is>
      </c>
      <c r="L3" s="85" t="inlineStr">
        <is>
          <t>Other/ Contingency</t>
        </is>
      </c>
      <c r="M3" s="85" t="inlineStr">
        <is>
          <t>Detailed OPEX ₹L</t>
        </is>
      </c>
      <c r="N3" s="85" t="inlineStr">
        <is>
          <t>Engine OPEX ₹L</t>
        </is>
      </c>
      <c r="O3" s="85" t="inlineStr">
        <is>
          <t>Variance</t>
        </is>
      </c>
      <c r="P3" s="85" t="inlineStr">
        <is>
          <t>Office Equip ₹L</t>
        </is>
      </c>
      <c r="Q3" s="85" t="inlineStr">
        <is>
          <t>Total Operating + Setup ₹L</t>
        </is>
      </c>
      <c r="R3" s="85" t="inlineStr">
        <is>
          <t>Source Status</t>
        </is>
      </c>
    </row>
    <row r="4">
      <c r="A4" t="n">
        <v>1</v>
      </c>
      <c r="B4" s="84">
        <f>'Monthly Funding'!B6</f>
        <v/>
      </c>
      <c r="C4">
        <f>'Operating Cost Detail'!A5</f>
        <v/>
      </c>
      <c r="D4" s="239">
        <f>'Operating Cost Detail'!D5</f>
        <v/>
      </c>
      <c r="E4" s="239">
        <f>'Operating Cost Detail'!E5</f>
        <v/>
      </c>
      <c r="F4" s="239">
        <f>'Operating Cost Detail'!F5</f>
        <v/>
      </c>
      <c r="G4" s="239">
        <f>'Operating Cost Detail'!G5</f>
        <v/>
      </c>
      <c r="H4" s="239">
        <f>'Operating Cost Detail'!H5</f>
        <v/>
      </c>
      <c r="I4" s="239">
        <f>'Operating Cost Detail'!I5</f>
        <v/>
      </c>
      <c r="J4" s="239">
        <f>'Operating Cost Detail'!J5</f>
        <v/>
      </c>
      <c r="K4" s="239">
        <f>'Operating Cost Detail'!K5</f>
        <v/>
      </c>
      <c r="L4" s="239">
        <f>'Operating Cost Detail'!L5</f>
        <v/>
      </c>
      <c r="M4" s="239">
        <f>SUM(D4:L4)</f>
        <v/>
      </c>
      <c r="N4" s="239">
        <f>'Monthly Funding'!D6</f>
        <v/>
      </c>
      <c r="O4" s="239">
        <f>M4-N4</f>
        <v/>
      </c>
      <c r="P4" s="239">
        <f>SUMIFS('Office Equipment'!$E$4:$E$12,'Office Equipment'!$F$4:$F$12,A4)</f>
        <v/>
      </c>
      <c r="Q4" s="239">
        <f>M4+P4</f>
        <v/>
      </c>
      <c r="R4" t="inlineStr">
        <is>
          <t>Reconciled to finance-engine OPEX</t>
        </is>
      </c>
    </row>
    <row r="5">
      <c r="A5" t="n">
        <v>2</v>
      </c>
      <c r="B5" s="84">
        <f>'Monthly Funding'!B7</f>
        <v/>
      </c>
      <c r="C5">
        <f>'Operating Cost Detail'!A5</f>
        <v/>
      </c>
      <c r="D5" s="239">
        <f>'Operating Cost Detail'!D5</f>
        <v/>
      </c>
      <c r="E5" s="239">
        <f>'Operating Cost Detail'!E5</f>
        <v/>
      </c>
      <c r="F5" s="239">
        <f>'Operating Cost Detail'!F5</f>
        <v/>
      </c>
      <c r="G5" s="239">
        <f>'Operating Cost Detail'!G5</f>
        <v/>
      </c>
      <c r="H5" s="239">
        <f>'Operating Cost Detail'!H5</f>
        <v/>
      </c>
      <c r="I5" s="239">
        <f>'Operating Cost Detail'!I5</f>
        <v/>
      </c>
      <c r="J5" s="239">
        <f>'Operating Cost Detail'!J5</f>
        <v/>
      </c>
      <c r="K5" s="239">
        <f>'Operating Cost Detail'!K5</f>
        <v/>
      </c>
      <c r="L5" s="239">
        <f>'Operating Cost Detail'!L5</f>
        <v/>
      </c>
      <c r="M5" s="239">
        <f>SUM(D5:L5)</f>
        <v/>
      </c>
      <c r="N5" s="239">
        <f>'Monthly Funding'!D7</f>
        <v/>
      </c>
      <c r="O5" s="239">
        <f>M5-N5</f>
        <v/>
      </c>
      <c r="P5" s="239">
        <f>SUMIFS('Office Equipment'!$E$4:$E$12,'Office Equipment'!$F$4:$F$12,A5)</f>
        <v/>
      </c>
      <c r="Q5" s="239">
        <f>M5+P5</f>
        <v/>
      </c>
      <c r="R5" t="inlineStr">
        <is>
          <t>Reconciled to finance-engine OPEX</t>
        </is>
      </c>
    </row>
    <row r="6">
      <c r="A6" t="n">
        <v>3</v>
      </c>
      <c r="B6" s="84">
        <f>'Monthly Funding'!B8</f>
        <v/>
      </c>
      <c r="C6">
        <f>'Operating Cost Detail'!A5</f>
        <v/>
      </c>
      <c r="D6" s="239">
        <f>'Operating Cost Detail'!D5</f>
        <v/>
      </c>
      <c r="E6" s="239">
        <f>'Operating Cost Detail'!E5</f>
        <v/>
      </c>
      <c r="F6" s="239">
        <f>'Operating Cost Detail'!F5</f>
        <v/>
      </c>
      <c r="G6" s="239">
        <f>'Operating Cost Detail'!G5</f>
        <v/>
      </c>
      <c r="H6" s="239">
        <f>'Operating Cost Detail'!H5</f>
        <v/>
      </c>
      <c r="I6" s="239">
        <f>'Operating Cost Detail'!I5</f>
        <v/>
      </c>
      <c r="J6" s="239">
        <f>'Operating Cost Detail'!J5</f>
        <v/>
      </c>
      <c r="K6" s="239">
        <f>'Operating Cost Detail'!K5</f>
        <v/>
      </c>
      <c r="L6" s="239">
        <f>'Operating Cost Detail'!L5</f>
        <v/>
      </c>
      <c r="M6" s="239">
        <f>SUM(D6:L6)</f>
        <v/>
      </c>
      <c r="N6" s="239">
        <f>'Monthly Funding'!D8</f>
        <v/>
      </c>
      <c r="O6" s="239">
        <f>M6-N6</f>
        <v/>
      </c>
      <c r="P6" s="239">
        <f>SUMIFS('Office Equipment'!$E$4:$E$12,'Office Equipment'!$F$4:$F$12,A6)</f>
        <v/>
      </c>
      <c r="Q6" s="239">
        <f>M6+P6</f>
        <v/>
      </c>
      <c r="R6" t="inlineStr">
        <is>
          <t>Reconciled to finance-engine OPEX</t>
        </is>
      </c>
    </row>
    <row r="7">
      <c r="A7" t="n">
        <v>4</v>
      </c>
      <c r="B7" s="84">
        <f>'Monthly Funding'!B9</f>
        <v/>
      </c>
      <c r="C7">
        <f>'Operating Cost Detail'!A6</f>
        <v/>
      </c>
      <c r="D7" s="239">
        <f>'Operating Cost Detail'!D6</f>
        <v/>
      </c>
      <c r="E7" s="239">
        <f>'Operating Cost Detail'!E6</f>
        <v/>
      </c>
      <c r="F7" s="239">
        <f>'Operating Cost Detail'!F6</f>
        <v/>
      </c>
      <c r="G7" s="239">
        <f>'Operating Cost Detail'!G6</f>
        <v/>
      </c>
      <c r="H7" s="239">
        <f>'Operating Cost Detail'!H6</f>
        <v/>
      </c>
      <c r="I7" s="239">
        <f>'Operating Cost Detail'!I6</f>
        <v/>
      </c>
      <c r="J7" s="239">
        <f>'Operating Cost Detail'!J6</f>
        <v/>
      </c>
      <c r="K7" s="239">
        <f>'Operating Cost Detail'!K6</f>
        <v/>
      </c>
      <c r="L7" s="239">
        <f>'Operating Cost Detail'!L6</f>
        <v/>
      </c>
      <c r="M7" s="239">
        <f>SUM(D7:L7)</f>
        <v/>
      </c>
      <c r="N7" s="239">
        <f>'Monthly Funding'!D9</f>
        <v/>
      </c>
      <c r="O7" s="239">
        <f>M7-N7</f>
        <v/>
      </c>
      <c r="P7" s="239">
        <f>SUMIFS('Office Equipment'!$E$4:$E$12,'Office Equipment'!$F$4:$F$12,A7)</f>
        <v/>
      </c>
      <c r="Q7" s="239">
        <f>M7+P7</f>
        <v/>
      </c>
      <c r="R7" t="inlineStr">
        <is>
          <t>Reconciled to finance-engine OPEX</t>
        </is>
      </c>
    </row>
    <row r="8">
      <c r="A8" t="n">
        <v>5</v>
      </c>
      <c r="B8" s="84">
        <f>'Monthly Funding'!B10</f>
        <v/>
      </c>
      <c r="C8">
        <f>'Operating Cost Detail'!A6</f>
        <v/>
      </c>
      <c r="D8" s="239">
        <f>'Operating Cost Detail'!D6</f>
        <v/>
      </c>
      <c r="E8" s="239">
        <f>'Operating Cost Detail'!E6</f>
        <v/>
      </c>
      <c r="F8" s="239">
        <f>'Operating Cost Detail'!F6</f>
        <v/>
      </c>
      <c r="G8" s="239">
        <f>'Operating Cost Detail'!G6</f>
        <v/>
      </c>
      <c r="H8" s="239">
        <f>'Operating Cost Detail'!H6</f>
        <v/>
      </c>
      <c r="I8" s="239">
        <f>'Operating Cost Detail'!I6</f>
        <v/>
      </c>
      <c r="J8" s="239">
        <f>'Operating Cost Detail'!J6</f>
        <v/>
      </c>
      <c r="K8" s="239">
        <f>'Operating Cost Detail'!K6</f>
        <v/>
      </c>
      <c r="L8" s="239">
        <f>'Operating Cost Detail'!L6</f>
        <v/>
      </c>
      <c r="M8" s="239">
        <f>SUM(D8:L8)</f>
        <v/>
      </c>
      <c r="N8" s="239">
        <f>'Monthly Funding'!D10</f>
        <v/>
      </c>
      <c r="O8" s="239">
        <f>M8-N8</f>
        <v/>
      </c>
      <c r="P8" s="239">
        <f>SUMIFS('Office Equipment'!$E$4:$E$12,'Office Equipment'!$F$4:$F$12,A8)</f>
        <v/>
      </c>
      <c r="Q8" s="239">
        <f>M8+P8</f>
        <v/>
      </c>
      <c r="R8" t="inlineStr">
        <is>
          <t>Reconciled to finance-engine OPEX</t>
        </is>
      </c>
    </row>
    <row r="9">
      <c r="A9" t="n">
        <v>6</v>
      </c>
      <c r="B9" s="84">
        <f>'Monthly Funding'!B11</f>
        <v/>
      </c>
      <c r="C9">
        <f>'Operating Cost Detail'!A6</f>
        <v/>
      </c>
      <c r="D9" s="239">
        <f>'Operating Cost Detail'!D6</f>
        <v/>
      </c>
      <c r="E9" s="239">
        <f>'Operating Cost Detail'!E6</f>
        <v/>
      </c>
      <c r="F9" s="239">
        <f>'Operating Cost Detail'!F6</f>
        <v/>
      </c>
      <c r="G9" s="239">
        <f>'Operating Cost Detail'!G6</f>
        <v/>
      </c>
      <c r="H9" s="239">
        <f>'Operating Cost Detail'!H6</f>
        <v/>
      </c>
      <c r="I9" s="239">
        <f>'Operating Cost Detail'!I6</f>
        <v/>
      </c>
      <c r="J9" s="239">
        <f>'Operating Cost Detail'!J6</f>
        <v/>
      </c>
      <c r="K9" s="239">
        <f>'Operating Cost Detail'!K6</f>
        <v/>
      </c>
      <c r="L9" s="239">
        <f>'Operating Cost Detail'!L6</f>
        <v/>
      </c>
      <c r="M9" s="239">
        <f>SUM(D9:L9)</f>
        <v/>
      </c>
      <c r="N9" s="239">
        <f>'Monthly Funding'!D11</f>
        <v/>
      </c>
      <c r="O9" s="239">
        <f>M9-N9</f>
        <v/>
      </c>
      <c r="P9" s="239">
        <f>SUMIFS('Office Equipment'!$E$4:$E$12,'Office Equipment'!$F$4:$F$12,A9)</f>
        <v/>
      </c>
      <c r="Q9" s="239">
        <f>M9+P9</f>
        <v/>
      </c>
      <c r="R9" t="inlineStr">
        <is>
          <t>Reconciled to finance-engine OPEX</t>
        </is>
      </c>
    </row>
    <row r="10">
      <c r="A10" t="n">
        <v>7</v>
      </c>
      <c r="B10" s="84">
        <f>'Monthly Funding'!B12</f>
        <v/>
      </c>
      <c r="C10">
        <f>'Operating Cost Detail'!A6</f>
        <v/>
      </c>
      <c r="D10" s="239">
        <f>'Operating Cost Detail'!D6</f>
        <v/>
      </c>
      <c r="E10" s="239">
        <f>'Operating Cost Detail'!E6</f>
        <v/>
      </c>
      <c r="F10" s="239">
        <f>'Operating Cost Detail'!F6</f>
        <v/>
      </c>
      <c r="G10" s="239">
        <f>'Operating Cost Detail'!G6</f>
        <v/>
      </c>
      <c r="H10" s="239">
        <f>'Operating Cost Detail'!H6</f>
        <v/>
      </c>
      <c r="I10" s="239">
        <f>'Operating Cost Detail'!I6</f>
        <v/>
      </c>
      <c r="J10" s="239">
        <f>'Operating Cost Detail'!J6</f>
        <v/>
      </c>
      <c r="K10" s="239">
        <f>'Operating Cost Detail'!K6</f>
        <v/>
      </c>
      <c r="L10" s="239">
        <f>'Operating Cost Detail'!L6</f>
        <v/>
      </c>
      <c r="M10" s="239">
        <f>SUM(D10:L10)</f>
        <v/>
      </c>
      <c r="N10" s="239">
        <f>'Monthly Funding'!D12</f>
        <v/>
      </c>
      <c r="O10" s="239">
        <f>M10-N10</f>
        <v/>
      </c>
      <c r="P10" s="239">
        <f>SUMIFS('Office Equipment'!$E$4:$E$12,'Office Equipment'!$F$4:$F$12,A10)</f>
        <v/>
      </c>
      <c r="Q10" s="239">
        <f>M10+P10</f>
        <v/>
      </c>
      <c r="R10" t="inlineStr">
        <is>
          <t>Reconciled to finance-engine OPEX</t>
        </is>
      </c>
    </row>
    <row r="11">
      <c r="A11" t="n">
        <v>8</v>
      </c>
      <c r="B11" s="84">
        <f>'Monthly Funding'!B13</f>
        <v/>
      </c>
      <c r="C11">
        <f>'Operating Cost Detail'!A6</f>
        <v/>
      </c>
      <c r="D11" s="239">
        <f>'Operating Cost Detail'!D6</f>
        <v/>
      </c>
      <c r="E11" s="239">
        <f>'Operating Cost Detail'!E6</f>
        <v/>
      </c>
      <c r="F11" s="239">
        <f>'Operating Cost Detail'!F6</f>
        <v/>
      </c>
      <c r="G11" s="239">
        <f>'Operating Cost Detail'!G6</f>
        <v/>
      </c>
      <c r="H11" s="239">
        <f>'Operating Cost Detail'!H6</f>
        <v/>
      </c>
      <c r="I11" s="239">
        <f>'Operating Cost Detail'!I6</f>
        <v/>
      </c>
      <c r="J11" s="239">
        <f>'Operating Cost Detail'!J6</f>
        <v/>
      </c>
      <c r="K11" s="239">
        <f>'Operating Cost Detail'!K6</f>
        <v/>
      </c>
      <c r="L11" s="239">
        <f>'Operating Cost Detail'!L6</f>
        <v/>
      </c>
      <c r="M11" s="239">
        <f>SUM(D11:L11)</f>
        <v/>
      </c>
      <c r="N11" s="239">
        <f>'Monthly Funding'!D13</f>
        <v/>
      </c>
      <c r="O11" s="239">
        <f>M11-N11</f>
        <v/>
      </c>
      <c r="P11" s="239">
        <f>SUMIFS('Office Equipment'!$E$4:$E$12,'Office Equipment'!$F$4:$F$12,A11)</f>
        <v/>
      </c>
      <c r="Q11" s="239">
        <f>M11+P11</f>
        <v/>
      </c>
      <c r="R11" t="inlineStr">
        <is>
          <t>Reconciled to finance-engine OPEX</t>
        </is>
      </c>
    </row>
    <row r="12">
      <c r="A12" t="n">
        <v>9</v>
      </c>
      <c r="B12" s="84">
        <f>'Monthly Funding'!B14</f>
        <v/>
      </c>
      <c r="C12">
        <f>'Operating Cost Detail'!A7</f>
        <v/>
      </c>
      <c r="D12" s="239">
        <f>'Operating Cost Detail'!D7</f>
        <v/>
      </c>
      <c r="E12" s="239">
        <f>'Operating Cost Detail'!E7</f>
        <v/>
      </c>
      <c r="F12" s="239">
        <f>'Operating Cost Detail'!F7</f>
        <v/>
      </c>
      <c r="G12" s="239">
        <f>'Operating Cost Detail'!G7</f>
        <v/>
      </c>
      <c r="H12" s="239">
        <f>'Operating Cost Detail'!H7</f>
        <v/>
      </c>
      <c r="I12" s="239">
        <f>'Operating Cost Detail'!I7</f>
        <v/>
      </c>
      <c r="J12" s="239">
        <f>'Operating Cost Detail'!J7</f>
        <v/>
      </c>
      <c r="K12" s="239">
        <f>'Operating Cost Detail'!K7</f>
        <v/>
      </c>
      <c r="L12" s="239">
        <f>'Operating Cost Detail'!L7</f>
        <v/>
      </c>
      <c r="M12" s="239">
        <f>SUM(D12:L12)</f>
        <v/>
      </c>
      <c r="N12" s="239">
        <f>'Monthly Funding'!D14</f>
        <v/>
      </c>
      <c r="O12" s="239">
        <f>M12-N12</f>
        <v/>
      </c>
      <c r="P12" s="239">
        <f>SUMIFS('Office Equipment'!$E$4:$E$12,'Office Equipment'!$F$4:$F$12,A12)</f>
        <v/>
      </c>
      <c r="Q12" s="239">
        <f>M12+P12</f>
        <v/>
      </c>
      <c r="R12" t="inlineStr">
        <is>
          <t>Reconciled to finance-engine OPEX</t>
        </is>
      </c>
    </row>
    <row r="13">
      <c r="A13" t="n">
        <v>10</v>
      </c>
      <c r="B13" s="84">
        <f>'Monthly Funding'!B15</f>
        <v/>
      </c>
      <c r="C13">
        <f>'Operating Cost Detail'!A7</f>
        <v/>
      </c>
      <c r="D13" s="239">
        <f>'Operating Cost Detail'!D7</f>
        <v/>
      </c>
      <c r="E13" s="239">
        <f>'Operating Cost Detail'!E7</f>
        <v/>
      </c>
      <c r="F13" s="239">
        <f>'Operating Cost Detail'!F7</f>
        <v/>
      </c>
      <c r="G13" s="239">
        <f>'Operating Cost Detail'!G7</f>
        <v/>
      </c>
      <c r="H13" s="239">
        <f>'Operating Cost Detail'!H7</f>
        <v/>
      </c>
      <c r="I13" s="239">
        <f>'Operating Cost Detail'!I7</f>
        <v/>
      </c>
      <c r="J13" s="239">
        <f>'Operating Cost Detail'!J7</f>
        <v/>
      </c>
      <c r="K13" s="239">
        <f>'Operating Cost Detail'!K7</f>
        <v/>
      </c>
      <c r="L13" s="239">
        <f>'Operating Cost Detail'!L7</f>
        <v/>
      </c>
      <c r="M13" s="239">
        <f>SUM(D13:L13)</f>
        <v/>
      </c>
      <c r="N13" s="239">
        <f>'Monthly Funding'!D15</f>
        <v/>
      </c>
      <c r="O13" s="239">
        <f>M13-N13</f>
        <v/>
      </c>
      <c r="P13" s="239">
        <f>SUMIFS('Office Equipment'!$E$4:$E$12,'Office Equipment'!$F$4:$F$12,A13)</f>
        <v/>
      </c>
      <c r="Q13" s="239">
        <f>M13+P13</f>
        <v/>
      </c>
      <c r="R13" t="inlineStr">
        <is>
          <t>Reconciled to finance-engine OPEX</t>
        </is>
      </c>
    </row>
    <row r="14">
      <c r="A14" t="n">
        <v>11</v>
      </c>
      <c r="B14" s="84">
        <f>'Monthly Funding'!B16</f>
        <v/>
      </c>
      <c r="C14">
        <f>'Operating Cost Detail'!A7</f>
        <v/>
      </c>
      <c r="D14" s="239">
        <f>'Operating Cost Detail'!D7</f>
        <v/>
      </c>
      <c r="E14" s="239">
        <f>'Operating Cost Detail'!E7</f>
        <v/>
      </c>
      <c r="F14" s="239">
        <f>'Operating Cost Detail'!F7</f>
        <v/>
      </c>
      <c r="G14" s="239">
        <f>'Operating Cost Detail'!G7</f>
        <v/>
      </c>
      <c r="H14" s="239">
        <f>'Operating Cost Detail'!H7</f>
        <v/>
      </c>
      <c r="I14" s="239">
        <f>'Operating Cost Detail'!I7</f>
        <v/>
      </c>
      <c r="J14" s="239">
        <f>'Operating Cost Detail'!J7</f>
        <v/>
      </c>
      <c r="K14" s="239">
        <f>'Operating Cost Detail'!K7</f>
        <v/>
      </c>
      <c r="L14" s="239">
        <f>'Operating Cost Detail'!L7</f>
        <v/>
      </c>
      <c r="M14" s="239">
        <f>SUM(D14:L14)</f>
        <v/>
      </c>
      <c r="N14" s="239">
        <f>'Monthly Funding'!D16</f>
        <v/>
      </c>
      <c r="O14" s="239">
        <f>M14-N14</f>
        <v/>
      </c>
      <c r="P14" s="239">
        <f>SUMIFS('Office Equipment'!$E$4:$E$12,'Office Equipment'!$F$4:$F$12,A14)</f>
        <v/>
      </c>
      <c r="Q14" s="239">
        <f>M14+P14</f>
        <v/>
      </c>
      <c r="R14" t="inlineStr">
        <is>
          <t>Reconciled to finance-engine OPEX</t>
        </is>
      </c>
    </row>
    <row r="15">
      <c r="A15" t="n">
        <v>12</v>
      </c>
      <c r="B15" s="84">
        <f>'Monthly Funding'!B17</f>
        <v/>
      </c>
      <c r="C15">
        <f>'Operating Cost Detail'!A8</f>
        <v/>
      </c>
      <c r="D15" s="239">
        <f>'Operating Cost Detail'!D8</f>
        <v/>
      </c>
      <c r="E15" s="239">
        <f>'Operating Cost Detail'!E8</f>
        <v/>
      </c>
      <c r="F15" s="239">
        <f>'Operating Cost Detail'!F8</f>
        <v/>
      </c>
      <c r="G15" s="239">
        <f>'Operating Cost Detail'!G8</f>
        <v/>
      </c>
      <c r="H15" s="239">
        <f>'Operating Cost Detail'!H8</f>
        <v/>
      </c>
      <c r="I15" s="239">
        <f>'Operating Cost Detail'!I8</f>
        <v/>
      </c>
      <c r="J15" s="239">
        <f>'Operating Cost Detail'!J8</f>
        <v/>
      </c>
      <c r="K15" s="239">
        <f>'Operating Cost Detail'!K8</f>
        <v/>
      </c>
      <c r="L15" s="239">
        <f>'Operating Cost Detail'!L8</f>
        <v/>
      </c>
      <c r="M15" s="239">
        <f>SUM(D15:L15)</f>
        <v/>
      </c>
      <c r="N15" s="239">
        <f>'Monthly Funding'!D17</f>
        <v/>
      </c>
      <c r="O15" s="239">
        <f>M15-N15</f>
        <v/>
      </c>
      <c r="P15" s="239">
        <f>SUMIFS('Office Equipment'!$E$4:$E$12,'Office Equipment'!$F$4:$F$12,A15)</f>
        <v/>
      </c>
      <c r="Q15" s="239">
        <f>M15+P15</f>
        <v/>
      </c>
      <c r="R15" t="inlineStr">
        <is>
          <t>Reconciled to finance-engine OPEX</t>
        </is>
      </c>
    </row>
    <row r="16">
      <c r="A16" t="n">
        <v>13</v>
      </c>
      <c r="B16" s="84">
        <f>'Monthly Funding'!B18</f>
        <v/>
      </c>
      <c r="C16">
        <f>'Operating Cost Detail'!A8</f>
        <v/>
      </c>
      <c r="D16" s="239">
        <f>'Operating Cost Detail'!D8</f>
        <v/>
      </c>
      <c r="E16" s="239">
        <f>'Operating Cost Detail'!E8</f>
        <v/>
      </c>
      <c r="F16" s="239">
        <f>'Operating Cost Detail'!F8</f>
        <v/>
      </c>
      <c r="G16" s="239">
        <f>'Operating Cost Detail'!G8</f>
        <v/>
      </c>
      <c r="H16" s="239">
        <f>'Operating Cost Detail'!H8</f>
        <v/>
      </c>
      <c r="I16" s="239">
        <f>'Operating Cost Detail'!I8</f>
        <v/>
      </c>
      <c r="J16" s="239">
        <f>'Operating Cost Detail'!J8</f>
        <v/>
      </c>
      <c r="K16" s="239">
        <f>'Operating Cost Detail'!K8</f>
        <v/>
      </c>
      <c r="L16" s="239">
        <f>'Operating Cost Detail'!L8</f>
        <v/>
      </c>
      <c r="M16" s="239">
        <f>SUM(D16:L16)</f>
        <v/>
      </c>
      <c r="N16" s="239">
        <f>'Monthly Funding'!D18</f>
        <v/>
      </c>
      <c r="O16" s="239">
        <f>M16-N16</f>
        <v/>
      </c>
      <c r="P16" s="239">
        <f>SUMIFS('Office Equipment'!$E$4:$E$12,'Office Equipment'!$F$4:$F$12,A16)</f>
        <v/>
      </c>
      <c r="Q16" s="239">
        <f>M16+P16</f>
        <v/>
      </c>
      <c r="R16" t="inlineStr">
        <is>
          <t>Reconciled to finance-engine OPEX</t>
        </is>
      </c>
    </row>
    <row r="17">
      <c r="A17" t="n">
        <v>14</v>
      </c>
      <c r="B17" s="84">
        <f>'Monthly Funding'!B19</f>
        <v/>
      </c>
      <c r="C17">
        <f>'Operating Cost Detail'!A8</f>
        <v/>
      </c>
      <c r="D17" s="239">
        <f>'Operating Cost Detail'!D8</f>
        <v/>
      </c>
      <c r="E17" s="239">
        <f>'Operating Cost Detail'!E8</f>
        <v/>
      </c>
      <c r="F17" s="239">
        <f>'Operating Cost Detail'!F8</f>
        <v/>
      </c>
      <c r="G17" s="239">
        <f>'Operating Cost Detail'!G8</f>
        <v/>
      </c>
      <c r="H17" s="239">
        <f>'Operating Cost Detail'!H8</f>
        <v/>
      </c>
      <c r="I17" s="239">
        <f>'Operating Cost Detail'!I8</f>
        <v/>
      </c>
      <c r="J17" s="239">
        <f>'Operating Cost Detail'!J8</f>
        <v/>
      </c>
      <c r="K17" s="239">
        <f>'Operating Cost Detail'!K8</f>
        <v/>
      </c>
      <c r="L17" s="239">
        <f>'Operating Cost Detail'!L8</f>
        <v/>
      </c>
      <c r="M17" s="239">
        <f>SUM(D17:L17)</f>
        <v/>
      </c>
      <c r="N17" s="239">
        <f>'Monthly Funding'!D19</f>
        <v/>
      </c>
      <c r="O17" s="239">
        <f>M17-N17</f>
        <v/>
      </c>
      <c r="P17" s="239">
        <f>SUMIFS('Office Equipment'!$E$4:$E$12,'Office Equipment'!$F$4:$F$12,A17)</f>
        <v/>
      </c>
      <c r="Q17" s="239">
        <f>M17+P17</f>
        <v/>
      </c>
      <c r="R17" t="inlineStr">
        <is>
          <t>Reconciled to finance-engine OPEX</t>
        </is>
      </c>
    </row>
    <row r="18">
      <c r="A18" t="n">
        <v>15</v>
      </c>
      <c r="B18" s="84">
        <f>'Monthly Funding'!B20</f>
        <v/>
      </c>
      <c r="C18">
        <f>'Operating Cost Detail'!A9</f>
        <v/>
      </c>
      <c r="D18" s="239">
        <f>'Operating Cost Detail'!D9</f>
        <v/>
      </c>
      <c r="E18" s="239">
        <f>'Operating Cost Detail'!E9</f>
        <v/>
      </c>
      <c r="F18" s="239">
        <f>'Operating Cost Detail'!F9</f>
        <v/>
      </c>
      <c r="G18" s="239">
        <f>'Operating Cost Detail'!G9</f>
        <v/>
      </c>
      <c r="H18" s="239">
        <f>'Operating Cost Detail'!H9</f>
        <v/>
      </c>
      <c r="I18" s="239">
        <f>'Operating Cost Detail'!I9</f>
        <v/>
      </c>
      <c r="J18" s="239">
        <f>'Operating Cost Detail'!J9</f>
        <v/>
      </c>
      <c r="K18" s="239">
        <f>'Operating Cost Detail'!K9</f>
        <v/>
      </c>
      <c r="L18" s="239">
        <f>'Operating Cost Detail'!L9</f>
        <v/>
      </c>
      <c r="M18" s="239">
        <f>SUM(D18:L18)</f>
        <v/>
      </c>
      <c r="N18" s="239">
        <f>'Monthly Funding'!D20</f>
        <v/>
      </c>
      <c r="O18" s="239">
        <f>M18-N18</f>
        <v/>
      </c>
      <c r="P18" s="239">
        <f>SUMIFS('Office Equipment'!$E$4:$E$12,'Office Equipment'!$F$4:$F$12,A18)</f>
        <v/>
      </c>
      <c r="Q18" s="239">
        <f>M18+P18</f>
        <v/>
      </c>
      <c r="R18" t="inlineStr">
        <is>
          <t>Reconciled to finance-engine OPEX</t>
        </is>
      </c>
    </row>
    <row r="19">
      <c r="A19" t="n">
        <v>16</v>
      </c>
      <c r="B19" s="84">
        <f>'Monthly Funding'!B21</f>
        <v/>
      </c>
      <c r="C19">
        <f>'Operating Cost Detail'!A9</f>
        <v/>
      </c>
      <c r="D19" s="239">
        <f>'Operating Cost Detail'!D9</f>
        <v/>
      </c>
      <c r="E19" s="239">
        <f>'Operating Cost Detail'!E9</f>
        <v/>
      </c>
      <c r="F19" s="239">
        <f>'Operating Cost Detail'!F9</f>
        <v/>
      </c>
      <c r="G19" s="239">
        <f>'Operating Cost Detail'!G9</f>
        <v/>
      </c>
      <c r="H19" s="239">
        <f>'Operating Cost Detail'!H9</f>
        <v/>
      </c>
      <c r="I19" s="239">
        <f>'Operating Cost Detail'!I9</f>
        <v/>
      </c>
      <c r="J19" s="239">
        <f>'Operating Cost Detail'!J9</f>
        <v/>
      </c>
      <c r="K19" s="239">
        <f>'Operating Cost Detail'!K9</f>
        <v/>
      </c>
      <c r="L19" s="239">
        <f>'Operating Cost Detail'!L9</f>
        <v/>
      </c>
      <c r="M19" s="239">
        <f>SUM(D19:L19)</f>
        <v/>
      </c>
      <c r="N19" s="239">
        <f>'Monthly Funding'!D21</f>
        <v/>
      </c>
      <c r="O19" s="239">
        <f>M19-N19</f>
        <v/>
      </c>
      <c r="P19" s="239">
        <f>SUMIFS('Office Equipment'!$E$4:$E$12,'Office Equipment'!$F$4:$F$12,A19)</f>
        <v/>
      </c>
      <c r="Q19" s="239">
        <f>M19+P19</f>
        <v/>
      </c>
      <c r="R19" t="inlineStr">
        <is>
          <t>Reconciled to finance-engine OPEX</t>
        </is>
      </c>
    </row>
    <row r="20">
      <c r="A20" t="n">
        <v>17</v>
      </c>
      <c r="B20" s="84">
        <f>'Monthly Funding'!B22</f>
        <v/>
      </c>
      <c r="C20">
        <f>'Operating Cost Detail'!A9</f>
        <v/>
      </c>
      <c r="D20" s="239">
        <f>'Operating Cost Detail'!D9</f>
        <v/>
      </c>
      <c r="E20" s="239">
        <f>'Operating Cost Detail'!E9</f>
        <v/>
      </c>
      <c r="F20" s="239">
        <f>'Operating Cost Detail'!F9</f>
        <v/>
      </c>
      <c r="G20" s="239">
        <f>'Operating Cost Detail'!G9</f>
        <v/>
      </c>
      <c r="H20" s="239">
        <f>'Operating Cost Detail'!H9</f>
        <v/>
      </c>
      <c r="I20" s="239">
        <f>'Operating Cost Detail'!I9</f>
        <v/>
      </c>
      <c r="J20" s="239">
        <f>'Operating Cost Detail'!J9</f>
        <v/>
      </c>
      <c r="K20" s="239">
        <f>'Operating Cost Detail'!K9</f>
        <v/>
      </c>
      <c r="L20" s="239">
        <f>'Operating Cost Detail'!L9</f>
        <v/>
      </c>
      <c r="M20" s="239">
        <f>SUM(D20:L20)</f>
        <v/>
      </c>
      <c r="N20" s="239">
        <f>'Monthly Funding'!D22</f>
        <v/>
      </c>
      <c r="O20" s="239">
        <f>M20-N20</f>
        <v/>
      </c>
      <c r="P20" s="239">
        <f>SUMIFS('Office Equipment'!$E$4:$E$12,'Office Equipment'!$F$4:$F$12,A20)</f>
        <v/>
      </c>
      <c r="Q20" s="239">
        <f>M20+P20</f>
        <v/>
      </c>
      <c r="R20" t="inlineStr">
        <is>
          <t>Reconciled to finance-engine OPEX</t>
        </is>
      </c>
    </row>
    <row r="21">
      <c r="A21" t="n">
        <v>18</v>
      </c>
      <c r="B21" s="84">
        <f>'Monthly Funding'!B23</f>
        <v/>
      </c>
      <c r="C21">
        <f>'Operating Cost Detail'!A9</f>
        <v/>
      </c>
      <c r="D21" s="239">
        <f>'Operating Cost Detail'!D9</f>
        <v/>
      </c>
      <c r="E21" s="239">
        <f>'Operating Cost Detail'!E9</f>
        <v/>
      </c>
      <c r="F21" s="239">
        <f>'Operating Cost Detail'!F9</f>
        <v/>
      </c>
      <c r="G21" s="239">
        <f>'Operating Cost Detail'!G9</f>
        <v/>
      </c>
      <c r="H21" s="239">
        <f>'Operating Cost Detail'!H9</f>
        <v/>
      </c>
      <c r="I21" s="239">
        <f>'Operating Cost Detail'!I9</f>
        <v/>
      </c>
      <c r="J21" s="239">
        <f>'Operating Cost Detail'!J9</f>
        <v/>
      </c>
      <c r="K21" s="239">
        <f>'Operating Cost Detail'!K9</f>
        <v/>
      </c>
      <c r="L21" s="239">
        <f>'Operating Cost Detail'!L9</f>
        <v/>
      </c>
      <c r="M21" s="239">
        <f>SUM(D21:L21)</f>
        <v/>
      </c>
      <c r="N21" s="239">
        <f>'Monthly Funding'!D23</f>
        <v/>
      </c>
      <c r="O21" s="239">
        <f>M21-N21</f>
        <v/>
      </c>
      <c r="P21" s="239">
        <f>SUMIFS('Office Equipment'!$E$4:$E$12,'Office Equipment'!$F$4:$F$12,A21)</f>
        <v/>
      </c>
      <c r="Q21" s="239">
        <f>M21+P21</f>
        <v/>
      </c>
      <c r="R21" t="inlineStr">
        <is>
          <t>Reconciled to finance-engine OPEX</t>
        </is>
      </c>
    </row>
    <row r="22">
      <c r="A22" t="n">
        <v>19</v>
      </c>
      <c r="B22" s="84">
        <f>'Monthly Funding'!B24</f>
        <v/>
      </c>
      <c r="C22">
        <f>'Operating Cost Detail'!A9</f>
        <v/>
      </c>
      <c r="D22" s="239">
        <f>'Operating Cost Detail'!D9</f>
        <v/>
      </c>
      <c r="E22" s="239">
        <f>'Operating Cost Detail'!E9</f>
        <v/>
      </c>
      <c r="F22" s="239">
        <f>'Operating Cost Detail'!F9</f>
        <v/>
      </c>
      <c r="G22" s="239">
        <f>'Operating Cost Detail'!G9</f>
        <v/>
      </c>
      <c r="H22" s="239">
        <f>'Operating Cost Detail'!H9</f>
        <v/>
      </c>
      <c r="I22" s="239">
        <f>'Operating Cost Detail'!I9</f>
        <v/>
      </c>
      <c r="J22" s="239">
        <f>'Operating Cost Detail'!J9</f>
        <v/>
      </c>
      <c r="K22" s="239">
        <f>'Operating Cost Detail'!K9</f>
        <v/>
      </c>
      <c r="L22" s="239">
        <f>'Operating Cost Detail'!L9</f>
        <v/>
      </c>
      <c r="M22" s="239">
        <f>SUM(D22:L22)</f>
        <v/>
      </c>
      <c r="N22" s="239">
        <f>'Monthly Funding'!D24</f>
        <v/>
      </c>
      <c r="O22" s="239">
        <f>M22-N22</f>
        <v/>
      </c>
      <c r="P22" s="239">
        <f>SUMIFS('Office Equipment'!$E$4:$E$12,'Office Equipment'!$F$4:$F$12,A22)</f>
        <v/>
      </c>
      <c r="Q22" s="239">
        <f>M22+P22</f>
        <v/>
      </c>
      <c r="R22" t="inlineStr">
        <is>
          <t>Reconciled to finance-engine OPEX</t>
        </is>
      </c>
    </row>
    <row r="23">
      <c r="A23" t="n">
        <v>20</v>
      </c>
      <c r="B23" s="84">
        <f>'Monthly Funding'!B25</f>
        <v/>
      </c>
      <c r="C23">
        <f>'Operating Cost Detail'!A9</f>
        <v/>
      </c>
      <c r="D23" s="239">
        <f>'Operating Cost Detail'!D9</f>
        <v/>
      </c>
      <c r="E23" s="239">
        <f>'Operating Cost Detail'!E9</f>
        <v/>
      </c>
      <c r="F23" s="239">
        <f>'Operating Cost Detail'!F9</f>
        <v/>
      </c>
      <c r="G23" s="239">
        <f>'Operating Cost Detail'!G9</f>
        <v/>
      </c>
      <c r="H23" s="239">
        <f>'Operating Cost Detail'!H9</f>
        <v/>
      </c>
      <c r="I23" s="239">
        <f>'Operating Cost Detail'!I9</f>
        <v/>
      </c>
      <c r="J23" s="239">
        <f>'Operating Cost Detail'!J9</f>
        <v/>
      </c>
      <c r="K23" s="239">
        <f>'Operating Cost Detail'!K9</f>
        <v/>
      </c>
      <c r="L23" s="239">
        <f>'Operating Cost Detail'!L9</f>
        <v/>
      </c>
      <c r="M23" s="239">
        <f>SUM(D23:L23)</f>
        <v/>
      </c>
      <c r="N23" s="239">
        <f>'Monthly Funding'!D25</f>
        <v/>
      </c>
      <c r="O23" s="239">
        <f>M23-N23</f>
        <v/>
      </c>
      <c r="P23" s="239">
        <f>SUMIFS('Office Equipment'!$E$4:$E$12,'Office Equipment'!$F$4:$F$12,A23)</f>
        <v/>
      </c>
      <c r="Q23" s="239">
        <f>M23+P23</f>
        <v/>
      </c>
      <c r="R23" t="inlineStr">
        <is>
          <t>Reconciled to finance-engine OPEX</t>
        </is>
      </c>
    </row>
    <row r="24">
      <c r="A24" t="n">
        <v>21</v>
      </c>
      <c r="B24" s="84">
        <f>'Monthly Funding'!B26</f>
        <v/>
      </c>
      <c r="C24">
        <f>'Operating Cost Detail'!A9</f>
        <v/>
      </c>
      <c r="D24" s="239">
        <f>'Operating Cost Detail'!D9</f>
        <v/>
      </c>
      <c r="E24" s="239">
        <f>'Operating Cost Detail'!E9</f>
        <v/>
      </c>
      <c r="F24" s="239">
        <f>'Operating Cost Detail'!F9</f>
        <v/>
      </c>
      <c r="G24" s="239">
        <f>'Operating Cost Detail'!G9</f>
        <v/>
      </c>
      <c r="H24" s="239">
        <f>'Operating Cost Detail'!H9</f>
        <v/>
      </c>
      <c r="I24" s="239">
        <f>'Operating Cost Detail'!I9</f>
        <v/>
      </c>
      <c r="J24" s="239">
        <f>'Operating Cost Detail'!J9</f>
        <v/>
      </c>
      <c r="K24" s="239">
        <f>'Operating Cost Detail'!K9</f>
        <v/>
      </c>
      <c r="L24" s="239">
        <f>'Operating Cost Detail'!L9</f>
        <v/>
      </c>
      <c r="M24" s="239">
        <f>SUM(D24:L24)</f>
        <v/>
      </c>
      <c r="N24" s="239">
        <f>'Monthly Funding'!D26</f>
        <v/>
      </c>
      <c r="O24" s="239">
        <f>M24-N24</f>
        <v/>
      </c>
      <c r="P24" s="239">
        <f>SUMIFS('Office Equipment'!$E$4:$E$12,'Office Equipment'!$F$4:$F$12,A24)</f>
        <v/>
      </c>
      <c r="Q24" s="239">
        <f>M24+P24</f>
        <v/>
      </c>
      <c r="R24" t="inlineStr">
        <is>
          <t>Reconciled to finance-engine OPEX</t>
        </is>
      </c>
    </row>
    <row r="25">
      <c r="A25" t="n">
        <v>22</v>
      </c>
      <c r="B25" s="84">
        <f>'Monthly Funding'!B27</f>
        <v/>
      </c>
      <c r="C25">
        <f>'Operating Cost Detail'!A9</f>
        <v/>
      </c>
      <c r="D25" s="239">
        <f>'Operating Cost Detail'!D9</f>
        <v/>
      </c>
      <c r="E25" s="239">
        <f>'Operating Cost Detail'!E9</f>
        <v/>
      </c>
      <c r="F25" s="239">
        <f>'Operating Cost Detail'!F9</f>
        <v/>
      </c>
      <c r="G25" s="239">
        <f>'Operating Cost Detail'!G9</f>
        <v/>
      </c>
      <c r="H25" s="239">
        <f>'Operating Cost Detail'!H9</f>
        <v/>
      </c>
      <c r="I25" s="239">
        <f>'Operating Cost Detail'!I9</f>
        <v/>
      </c>
      <c r="J25" s="239">
        <f>'Operating Cost Detail'!J9</f>
        <v/>
      </c>
      <c r="K25" s="239">
        <f>'Operating Cost Detail'!K9</f>
        <v/>
      </c>
      <c r="L25" s="239">
        <f>'Operating Cost Detail'!L9</f>
        <v/>
      </c>
      <c r="M25" s="239">
        <f>SUM(D25:L25)</f>
        <v/>
      </c>
      <c r="N25" s="239">
        <f>'Monthly Funding'!D27</f>
        <v/>
      </c>
      <c r="O25" s="239">
        <f>M25-N25</f>
        <v/>
      </c>
      <c r="P25" s="239">
        <f>SUMIFS('Office Equipment'!$E$4:$E$12,'Office Equipment'!$F$4:$F$12,A25)</f>
        <v/>
      </c>
      <c r="Q25" s="239">
        <f>M25+P25</f>
        <v/>
      </c>
      <c r="R25" t="inlineStr">
        <is>
          <t>Reconciled to finance-engine OPEX</t>
        </is>
      </c>
    </row>
    <row r="26">
      <c r="A26" t="n">
        <v>23</v>
      </c>
      <c r="B26" s="84">
        <f>'Monthly Funding'!B28</f>
        <v/>
      </c>
      <c r="C26">
        <f>'Operating Cost Detail'!A9</f>
        <v/>
      </c>
      <c r="D26" s="239">
        <f>'Operating Cost Detail'!D9</f>
        <v/>
      </c>
      <c r="E26" s="239">
        <f>'Operating Cost Detail'!E9</f>
        <v/>
      </c>
      <c r="F26" s="239">
        <f>'Operating Cost Detail'!F9</f>
        <v/>
      </c>
      <c r="G26" s="239">
        <f>'Operating Cost Detail'!G9</f>
        <v/>
      </c>
      <c r="H26" s="239">
        <f>'Operating Cost Detail'!H9</f>
        <v/>
      </c>
      <c r="I26" s="239">
        <f>'Operating Cost Detail'!I9</f>
        <v/>
      </c>
      <c r="J26" s="239">
        <f>'Operating Cost Detail'!J9</f>
        <v/>
      </c>
      <c r="K26" s="239">
        <f>'Operating Cost Detail'!K9</f>
        <v/>
      </c>
      <c r="L26" s="239">
        <f>'Operating Cost Detail'!L9</f>
        <v/>
      </c>
      <c r="M26" s="239">
        <f>SUM(D26:L26)</f>
        <v/>
      </c>
      <c r="N26" s="239">
        <f>'Monthly Funding'!D28</f>
        <v/>
      </c>
      <c r="O26" s="239">
        <f>M26-N26</f>
        <v/>
      </c>
      <c r="P26" s="239">
        <f>SUMIFS('Office Equipment'!$E$4:$E$12,'Office Equipment'!$F$4:$F$12,A26)</f>
        <v/>
      </c>
      <c r="Q26" s="239">
        <f>M26+P26</f>
        <v/>
      </c>
      <c r="R26" t="inlineStr">
        <is>
          <t>Reconciled to finance-engine OPEX</t>
        </is>
      </c>
    </row>
    <row r="27">
      <c r="A27" t="n">
        <v>24</v>
      </c>
      <c r="B27" s="84">
        <f>'Monthly Funding'!B29</f>
        <v/>
      </c>
      <c r="C27">
        <f>'Operating Cost Detail'!A9</f>
        <v/>
      </c>
      <c r="D27" s="239">
        <f>'Operating Cost Detail'!D9</f>
        <v/>
      </c>
      <c r="E27" s="239">
        <f>'Operating Cost Detail'!E9</f>
        <v/>
      </c>
      <c r="F27" s="239">
        <f>'Operating Cost Detail'!F9</f>
        <v/>
      </c>
      <c r="G27" s="239">
        <f>'Operating Cost Detail'!G9</f>
        <v/>
      </c>
      <c r="H27" s="239">
        <f>'Operating Cost Detail'!H9</f>
        <v/>
      </c>
      <c r="I27" s="239">
        <f>'Operating Cost Detail'!I9</f>
        <v/>
      </c>
      <c r="J27" s="239">
        <f>'Operating Cost Detail'!J9</f>
        <v/>
      </c>
      <c r="K27" s="239">
        <f>'Operating Cost Detail'!K9</f>
        <v/>
      </c>
      <c r="L27" s="239">
        <f>'Operating Cost Detail'!L9</f>
        <v/>
      </c>
      <c r="M27" s="239">
        <f>SUM(D27:L27)</f>
        <v/>
      </c>
      <c r="N27" s="239">
        <f>'Monthly Funding'!D29</f>
        <v/>
      </c>
      <c r="O27" s="239">
        <f>M27-N27</f>
        <v/>
      </c>
      <c r="P27" s="239">
        <f>SUMIFS('Office Equipment'!$E$4:$E$12,'Office Equipment'!$F$4:$F$12,A27)</f>
        <v/>
      </c>
      <c r="Q27" s="239">
        <f>M27+P27</f>
        <v/>
      </c>
      <c r="R27" t="inlineStr">
        <is>
          <t>Reconciled to finance-engine OPEX</t>
        </is>
      </c>
    </row>
    <row r="28">
      <c r="A28" t="n">
        <v>25</v>
      </c>
      <c r="B28" s="84">
        <f>'Monthly Funding'!B30</f>
        <v/>
      </c>
      <c r="C28">
        <f>'Operating Cost Detail'!A9</f>
        <v/>
      </c>
      <c r="D28" s="239">
        <f>'Operating Cost Detail'!D9</f>
        <v/>
      </c>
      <c r="E28" s="239">
        <f>'Operating Cost Detail'!E9</f>
        <v/>
      </c>
      <c r="F28" s="239">
        <f>'Operating Cost Detail'!F9</f>
        <v/>
      </c>
      <c r="G28" s="239">
        <f>'Operating Cost Detail'!G9</f>
        <v/>
      </c>
      <c r="H28" s="239">
        <f>'Operating Cost Detail'!H9</f>
        <v/>
      </c>
      <c r="I28" s="239">
        <f>'Operating Cost Detail'!I9</f>
        <v/>
      </c>
      <c r="J28" s="239">
        <f>'Operating Cost Detail'!J9</f>
        <v/>
      </c>
      <c r="K28" s="239">
        <f>'Operating Cost Detail'!K9</f>
        <v/>
      </c>
      <c r="L28" s="239">
        <f>'Operating Cost Detail'!L9</f>
        <v/>
      </c>
      <c r="M28" s="239">
        <f>SUM(D28:L28)</f>
        <v/>
      </c>
      <c r="N28" s="239">
        <f>'Monthly Funding'!D30</f>
        <v/>
      </c>
      <c r="O28" s="239">
        <f>M28-N28</f>
        <v/>
      </c>
      <c r="P28" s="239">
        <f>SUMIFS('Office Equipment'!$E$4:$E$12,'Office Equipment'!$F$4:$F$12,A28)</f>
        <v/>
      </c>
      <c r="Q28" s="239">
        <f>M28+P28</f>
        <v/>
      </c>
      <c r="R28" t="inlineStr">
        <is>
          <t>Reconciled to finance-engine OPEX</t>
        </is>
      </c>
    </row>
    <row r="29">
      <c r="A29" t="n">
        <v>26</v>
      </c>
      <c r="B29" s="84">
        <f>'Monthly Funding'!B31</f>
        <v/>
      </c>
      <c r="C29">
        <f>'Operating Cost Detail'!A9</f>
        <v/>
      </c>
      <c r="D29" s="239">
        <f>'Operating Cost Detail'!D9</f>
        <v/>
      </c>
      <c r="E29" s="239">
        <f>'Operating Cost Detail'!E9</f>
        <v/>
      </c>
      <c r="F29" s="239">
        <f>'Operating Cost Detail'!F9</f>
        <v/>
      </c>
      <c r="G29" s="239">
        <f>'Operating Cost Detail'!G9</f>
        <v/>
      </c>
      <c r="H29" s="239">
        <f>'Operating Cost Detail'!H9</f>
        <v/>
      </c>
      <c r="I29" s="239">
        <f>'Operating Cost Detail'!I9</f>
        <v/>
      </c>
      <c r="J29" s="239">
        <f>'Operating Cost Detail'!J9</f>
        <v/>
      </c>
      <c r="K29" s="239">
        <f>'Operating Cost Detail'!K9</f>
        <v/>
      </c>
      <c r="L29" s="239">
        <f>'Operating Cost Detail'!L9</f>
        <v/>
      </c>
      <c r="M29" s="239">
        <f>SUM(D29:L29)</f>
        <v/>
      </c>
      <c r="N29" s="239">
        <f>'Monthly Funding'!D31</f>
        <v/>
      </c>
      <c r="O29" s="239">
        <f>M29-N29</f>
        <v/>
      </c>
      <c r="P29" s="239">
        <f>SUMIFS('Office Equipment'!$E$4:$E$12,'Office Equipment'!$F$4:$F$12,A29)</f>
        <v/>
      </c>
      <c r="Q29" s="239">
        <f>M29+P29</f>
        <v/>
      </c>
      <c r="R29" t="inlineStr">
        <is>
          <t>Reconciled to finance-engine OPEX</t>
        </is>
      </c>
    </row>
    <row r="30">
      <c r="A30" t="n">
        <v>27</v>
      </c>
      <c r="B30" s="84">
        <f>'Monthly Funding'!B32</f>
        <v/>
      </c>
      <c r="C30">
        <f>'Operating Cost Detail'!A9</f>
        <v/>
      </c>
      <c r="D30" s="239">
        <f>'Operating Cost Detail'!D9</f>
        <v/>
      </c>
      <c r="E30" s="239">
        <f>'Operating Cost Detail'!E9</f>
        <v/>
      </c>
      <c r="F30" s="239">
        <f>'Operating Cost Detail'!F9</f>
        <v/>
      </c>
      <c r="G30" s="239">
        <f>'Operating Cost Detail'!G9</f>
        <v/>
      </c>
      <c r="H30" s="239">
        <f>'Operating Cost Detail'!H9</f>
        <v/>
      </c>
      <c r="I30" s="239">
        <f>'Operating Cost Detail'!I9</f>
        <v/>
      </c>
      <c r="J30" s="239">
        <f>'Operating Cost Detail'!J9</f>
        <v/>
      </c>
      <c r="K30" s="239">
        <f>'Operating Cost Detail'!K9</f>
        <v/>
      </c>
      <c r="L30" s="239">
        <f>'Operating Cost Detail'!L9</f>
        <v/>
      </c>
      <c r="M30" s="239">
        <f>SUM(D30:L30)</f>
        <v/>
      </c>
      <c r="N30" s="239">
        <f>'Monthly Funding'!D32</f>
        <v/>
      </c>
      <c r="O30" s="239">
        <f>M30-N30</f>
        <v/>
      </c>
      <c r="P30" s="239">
        <f>SUMIFS('Office Equipment'!$E$4:$E$12,'Office Equipment'!$F$4:$F$12,A30)</f>
        <v/>
      </c>
      <c r="Q30" s="239">
        <f>M30+P30</f>
        <v/>
      </c>
      <c r="R30" t="inlineStr">
        <is>
          <t>Reconciled to finance-engine OPEX</t>
        </is>
      </c>
    </row>
    <row r="31">
      <c r="A31" t="n">
        <v>28</v>
      </c>
      <c r="B31" s="84">
        <f>'Monthly Funding'!B33</f>
        <v/>
      </c>
      <c r="C31">
        <f>'Operating Cost Detail'!A9</f>
        <v/>
      </c>
      <c r="D31" s="239">
        <f>'Operating Cost Detail'!D9</f>
        <v/>
      </c>
      <c r="E31" s="239">
        <f>'Operating Cost Detail'!E9</f>
        <v/>
      </c>
      <c r="F31" s="239">
        <f>'Operating Cost Detail'!F9</f>
        <v/>
      </c>
      <c r="G31" s="239">
        <f>'Operating Cost Detail'!G9</f>
        <v/>
      </c>
      <c r="H31" s="239">
        <f>'Operating Cost Detail'!H9</f>
        <v/>
      </c>
      <c r="I31" s="239">
        <f>'Operating Cost Detail'!I9</f>
        <v/>
      </c>
      <c r="J31" s="239">
        <f>'Operating Cost Detail'!J9</f>
        <v/>
      </c>
      <c r="K31" s="239">
        <f>'Operating Cost Detail'!K9</f>
        <v/>
      </c>
      <c r="L31" s="239">
        <f>'Operating Cost Detail'!L9</f>
        <v/>
      </c>
      <c r="M31" s="239">
        <f>SUM(D31:L31)</f>
        <v/>
      </c>
      <c r="N31" s="239">
        <f>'Monthly Funding'!D33</f>
        <v/>
      </c>
      <c r="O31" s="239">
        <f>M31-N31</f>
        <v/>
      </c>
      <c r="P31" s="239">
        <f>SUMIFS('Office Equipment'!$E$4:$E$12,'Office Equipment'!$F$4:$F$12,A31)</f>
        <v/>
      </c>
      <c r="Q31" s="239">
        <f>M31+P31</f>
        <v/>
      </c>
      <c r="R31" t="inlineStr">
        <is>
          <t>Reconciled to finance-engine OPEX</t>
        </is>
      </c>
    </row>
    <row r="32">
      <c r="A32" t="n">
        <v>29</v>
      </c>
      <c r="B32" s="84">
        <f>'Monthly Funding'!B34</f>
        <v/>
      </c>
      <c r="C32">
        <f>'Operating Cost Detail'!A9</f>
        <v/>
      </c>
      <c r="D32" s="239">
        <f>'Operating Cost Detail'!D9</f>
        <v/>
      </c>
      <c r="E32" s="239">
        <f>'Operating Cost Detail'!E9</f>
        <v/>
      </c>
      <c r="F32" s="239">
        <f>'Operating Cost Detail'!F9</f>
        <v/>
      </c>
      <c r="G32" s="239">
        <f>'Operating Cost Detail'!G9</f>
        <v/>
      </c>
      <c r="H32" s="239">
        <f>'Operating Cost Detail'!H9</f>
        <v/>
      </c>
      <c r="I32" s="239">
        <f>'Operating Cost Detail'!I9</f>
        <v/>
      </c>
      <c r="J32" s="239">
        <f>'Operating Cost Detail'!J9</f>
        <v/>
      </c>
      <c r="K32" s="239">
        <f>'Operating Cost Detail'!K9</f>
        <v/>
      </c>
      <c r="L32" s="239">
        <f>'Operating Cost Detail'!L9</f>
        <v/>
      </c>
      <c r="M32" s="239">
        <f>SUM(D32:L32)</f>
        <v/>
      </c>
      <c r="N32" s="239">
        <f>'Monthly Funding'!D34</f>
        <v/>
      </c>
      <c r="O32" s="239">
        <f>M32-N32</f>
        <v/>
      </c>
      <c r="P32" s="239">
        <f>SUMIFS('Office Equipment'!$E$4:$E$12,'Office Equipment'!$F$4:$F$12,A32)</f>
        <v/>
      </c>
      <c r="Q32" s="239">
        <f>M32+P32</f>
        <v/>
      </c>
      <c r="R32" t="inlineStr">
        <is>
          <t>Reconciled to finance-engine OPEX</t>
        </is>
      </c>
    </row>
    <row r="33">
      <c r="A33" t="n">
        <v>30</v>
      </c>
      <c r="B33" s="84">
        <f>'Monthly Funding'!B35</f>
        <v/>
      </c>
      <c r="C33">
        <f>'Operating Cost Detail'!A9</f>
        <v/>
      </c>
      <c r="D33" s="239">
        <f>'Operating Cost Detail'!D9</f>
        <v/>
      </c>
      <c r="E33" s="239">
        <f>'Operating Cost Detail'!E9</f>
        <v/>
      </c>
      <c r="F33" s="239">
        <f>'Operating Cost Detail'!F9</f>
        <v/>
      </c>
      <c r="G33" s="239">
        <f>'Operating Cost Detail'!G9</f>
        <v/>
      </c>
      <c r="H33" s="239">
        <f>'Operating Cost Detail'!H9</f>
        <v/>
      </c>
      <c r="I33" s="239">
        <f>'Operating Cost Detail'!I9</f>
        <v/>
      </c>
      <c r="J33" s="239">
        <f>'Operating Cost Detail'!J9</f>
        <v/>
      </c>
      <c r="K33" s="239">
        <f>'Operating Cost Detail'!K9</f>
        <v/>
      </c>
      <c r="L33" s="239">
        <f>'Operating Cost Detail'!L9</f>
        <v/>
      </c>
      <c r="M33" s="239">
        <f>SUM(D33:L33)</f>
        <v/>
      </c>
      <c r="N33" s="239">
        <f>'Monthly Funding'!D35</f>
        <v/>
      </c>
      <c r="O33" s="239">
        <f>M33-N33</f>
        <v/>
      </c>
      <c r="P33" s="239">
        <f>SUMIFS('Office Equipment'!$E$4:$E$12,'Office Equipment'!$F$4:$F$12,A33)</f>
        <v/>
      </c>
      <c r="Q33" s="239">
        <f>M33+P33</f>
        <v/>
      </c>
      <c r="R33" t="inlineStr">
        <is>
          <t>Reconciled to finance-engine OPEX</t>
        </is>
      </c>
    </row>
    <row r="34">
      <c r="A34" t="n">
        <v>31</v>
      </c>
      <c r="B34" s="84">
        <f>'Monthly Funding'!B36</f>
        <v/>
      </c>
      <c r="C34">
        <f>'Operating Cost Detail'!A9</f>
        <v/>
      </c>
      <c r="D34" s="239">
        <f>'Operating Cost Detail'!D9</f>
        <v/>
      </c>
      <c r="E34" s="239">
        <f>'Operating Cost Detail'!E9</f>
        <v/>
      </c>
      <c r="F34" s="239">
        <f>'Operating Cost Detail'!F9</f>
        <v/>
      </c>
      <c r="G34" s="239">
        <f>'Operating Cost Detail'!G9</f>
        <v/>
      </c>
      <c r="H34" s="239">
        <f>'Operating Cost Detail'!H9</f>
        <v/>
      </c>
      <c r="I34" s="239">
        <f>'Operating Cost Detail'!I9</f>
        <v/>
      </c>
      <c r="J34" s="239">
        <f>'Operating Cost Detail'!J9</f>
        <v/>
      </c>
      <c r="K34" s="239">
        <f>'Operating Cost Detail'!K9</f>
        <v/>
      </c>
      <c r="L34" s="239">
        <f>'Operating Cost Detail'!L9</f>
        <v/>
      </c>
      <c r="M34" s="239">
        <f>SUM(D34:L34)</f>
        <v/>
      </c>
      <c r="N34" s="239">
        <f>'Monthly Funding'!D36</f>
        <v/>
      </c>
      <c r="O34" s="239">
        <f>M34-N34</f>
        <v/>
      </c>
      <c r="P34" s="239">
        <f>SUMIFS('Office Equipment'!$E$4:$E$12,'Office Equipment'!$F$4:$F$12,A34)</f>
        <v/>
      </c>
      <c r="Q34" s="239">
        <f>M34+P34</f>
        <v/>
      </c>
      <c r="R34" t="inlineStr">
        <is>
          <t>Reconciled to finance-engine OPEX</t>
        </is>
      </c>
    </row>
    <row r="35">
      <c r="A35" t="n">
        <v>32</v>
      </c>
      <c r="B35" s="84">
        <f>'Monthly Funding'!B37</f>
        <v/>
      </c>
      <c r="C35">
        <f>'Operating Cost Detail'!A9</f>
        <v/>
      </c>
      <c r="D35" s="239">
        <f>'Operating Cost Detail'!D9</f>
        <v/>
      </c>
      <c r="E35" s="239">
        <f>'Operating Cost Detail'!E9</f>
        <v/>
      </c>
      <c r="F35" s="239">
        <f>'Operating Cost Detail'!F9</f>
        <v/>
      </c>
      <c r="G35" s="239">
        <f>'Operating Cost Detail'!G9</f>
        <v/>
      </c>
      <c r="H35" s="239">
        <f>'Operating Cost Detail'!H9</f>
        <v/>
      </c>
      <c r="I35" s="239">
        <f>'Operating Cost Detail'!I9</f>
        <v/>
      </c>
      <c r="J35" s="239">
        <f>'Operating Cost Detail'!J9</f>
        <v/>
      </c>
      <c r="K35" s="239">
        <f>'Operating Cost Detail'!K9</f>
        <v/>
      </c>
      <c r="L35" s="239">
        <f>'Operating Cost Detail'!L9</f>
        <v/>
      </c>
      <c r="M35" s="239">
        <f>SUM(D35:L35)</f>
        <v/>
      </c>
      <c r="N35" s="239">
        <f>'Monthly Funding'!D37</f>
        <v/>
      </c>
      <c r="O35" s="239">
        <f>M35-N35</f>
        <v/>
      </c>
      <c r="P35" s="239">
        <f>SUMIFS('Office Equipment'!$E$4:$E$12,'Office Equipment'!$F$4:$F$12,A35)</f>
        <v/>
      </c>
      <c r="Q35" s="239">
        <f>M35+P35</f>
        <v/>
      </c>
      <c r="R35" t="inlineStr">
        <is>
          <t>Reconciled to finance-engine OPEX</t>
        </is>
      </c>
    </row>
    <row r="36">
      <c r="A36" t="n">
        <v>33</v>
      </c>
      <c r="B36" s="84">
        <f>'Monthly Funding'!B38</f>
        <v/>
      </c>
      <c r="C36">
        <f>'Operating Cost Detail'!A9</f>
        <v/>
      </c>
      <c r="D36" s="239">
        <f>'Operating Cost Detail'!D9</f>
        <v/>
      </c>
      <c r="E36" s="239">
        <f>'Operating Cost Detail'!E9</f>
        <v/>
      </c>
      <c r="F36" s="239">
        <f>'Operating Cost Detail'!F9</f>
        <v/>
      </c>
      <c r="G36" s="239">
        <f>'Operating Cost Detail'!G9</f>
        <v/>
      </c>
      <c r="H36" s="239">
        <f>'Operating Cost Detail'!H9</f>
        <v/>
      </c>
      <c r="I36" s="239">
        <f>'Operating Cost Detail'!I9</f>
        <v/>
      </c>
      <c r="J36" s="239">
        <f>'Operating Cost Detail'!J9</f>
        <v/>
      </c>
      <c r="K36" s="239">
        <f>'Operating Cost Detail'!K9</f>
        <v/>
      </c>
      <c r="L36" s="239">
        <f>'Operating Cost Detail'!L9</f>
        <v/>
      </c>
      <c r="M36" s="239">
        <f>SUM(D36:L36)</f>
        <v/>
      </c>
      <c r="N36" s="239">
        <f>'Monthly Funding'!D38</f>
        <v/>
      </c>
      <c r="O36" s="239">
        <f>M36-N36</f>
        <v/>
      </c>
      <c r="P36" s="239">
        <f>SUMIFS('Office Equipment'!$E$4:$E$12,'Office Equipment'!$F$4:$F$12,A36)</f>
        <v/>
      </c>
      <c r="Q36" s="239">
        <f>M36+P36</f>
        <v/>
      </c>
      <c r="R36" t="inlineStr">
        <is>
          <t>Reconciled to finance-engine OPEX</t>
        </is>
      </c>
    </row>
    <row r="37">
      <c r="A37" t="n">
        <v>34</v>
      </c>
      <c r="B37" s="84">
        <f>'Monthly Funding'!B39</f>
        <v/>
      </c>
      <c r="C37">
        <f>'Operating Cost Detail'!A9</f>
        <v/>
      </c>
      <c r="D37" s="239">
        <f>'Operating Cost Detail'!D9</f>
        <v/>
      </c>
      <c r="E37" s="239">
        <f>'Operating Cost Detail'!E9</f>
        <v/>
      </c>
      <c r="F37" s="239">
        <f>'Operating Cost Detail'!F9</f>
        <v/>
      </c>
      <c r="G37" s="239">
        <f>'Operating Cost Detail'!G9</f>
        <v/>
      </c>
      <c r="H37" s="239">
        <f>'Operating Cost Detail'!H9</f>
        <v/>
      </c>
      <c r="I37" s="239">
        <f>'Operating Cost Detail'!I9</f>
        <v/>
      </c>
      <c r="J37" s="239">
        <f>'Operating Cost Detail'!J9</f>
        <v/>
      </c>
      <c r="K37" s="239">
        <f>'Operating Cost Detail'!K9</f>
        <v/>
      </c>
      <c r="L37" s="239">
        <f>'Operating Cost Detail'!L9</f>
        <v/>
      </c>
      <c r="M37" s="239">
        <f>SUM(D37:L37)</f>
        <v/>
      </c>
      <c r="N37" s="239">
        <f>'Monthly Funding'!D39</f>
        <v/>
      </c>
      <c r="O37" s="239">
        <f>M37-N37</f>
        <v/>
      </c>
      <c r="P37" s="239">
        <f>SUMIFS('Office Equipment'!$E$4:$E$12,'Office Equipment'!$F$4:$F$12,A37)</f>
        <v/>
      </c>
      <c r="Q37" s="239">
        <f>M37+P37</f>
        <v/>
      </c>
      <c r="R37" t="inlineStr">
        <is>
          <t>Reconciled to finance-engine OPEX</t>
        </is>
      </c>
    </row>
    <row r="38">
      <c r="A38" t="n">
        <v>35</v>
      </c>
      <c r="B38" s="84">
        <f>'Monthly Funding'!B40</f>
        <v/>
      </c>
      <c r="C38">
        <f>'Operating Cost Detail'!A9</f>
        <v/>
      </c>
      <c r="D38" s="239">
        <f>'Operating Cost Detail'!D9</f>
        <v/>
      </c>
      <c r="E38" s="239">
        <f>'Operating Cost Detail'!E9</f>
        <v/>
      </c>
      <c r="F38" s="239">
        <f>'Operating Cost Detail'!F9</f>
        <v/>
      </c>
      <c r="G38" s="239">
        <f>'Operating Cost Detail'!G9</f>
        <v/>
      </c>
      <c r="H38" s="239">
        <f>'Operating Cost Detail'!H9</f>
        <v/>
      </c>
      <c r="I38" s="239">
        <f>'Operating Cost Detail'!I9</f>
        <v/>
      </c>
      <c r="J38" s="239">
        <f>'Operating Cost Detail'!J9</f>
        <v/>
      </c>
      <c r="K38" s="239">
        <f>'Operating Cost Detail'!K9</f>
        <v/>
      </c>
      <c r="L38" s="239">
        <f>'Operating Cost Detail'!L9</f>
        <v/>
      </c>
      <c r="M38" s="239">
        <f>SUM(D38:L38)</f>
        <v/>
      </c>
      <c r="N38" s="239">
        <f>'Monthly Funding'!D40</f>
        <v/>
      </c>
      <c r="O38" s="239">
        <f>M38-N38</f>
        <v/>
      </c>
      <c r="P38" s="239">
        <f>SUMIFS('Office Equipment'!$E$4:$E$12,'Office Equipment'!$F$4:$F$12,A38)</f>
        <v/>
      </c>
      <c r="Q38" s="239">
        <f>M38+P38</f>
        <v/>
      </c>
      <c r="R38" t="inlineStr">
        <is>
          <t>Reconciled to finance-engine OPEX</t>
        </is>
      </c>
    </row>
    <row r="39">
      <c r="A39" t="n">
        <v>36</v>
      </c>
      <c r="B39" s="84">
        <f>'Monthly Funding'!B41</f>
        <v/>
      </c>
      <c r="C39">
        <f>'Operating Cost Detail'!A9</f>
        <v/>
      </c>
      <c r="D39" s="239">
        <f>'Operating Cost Detail'!D9</f>
        <v/>
      </c>
      <c r="E39" s="239">
        <f>'Operating Cost Detail'!E9</f>
        <v/>
      </c>
      <c r="F39" s="239">
        <f>'Operating Cost Detail'!F9</f>
        <v/>
      </c>
      <c r="G39" s="239">
        <f>'Operating Cost Detail'!G9</f>
        <v/>
      </c>
      <c r="H39" s="239">
        <f>'Operating Cost Detail'!H9</f>
        <v/>
      </c>
      <c r="I39" s="239">
        <f>'Operating Cost Detail'!I9</f>
        <v/>
      </c>
      <c r="J39" s="239">
        <f>'Operating Cost Detail'!J9</f>
        <v/>
      </c>
      <c r="K39" s="239">
        <f>'Operating Cost Detail'!K9</f>
        <v/>
      </c>
      <c r="L39" s="239">
        <f>'Operating Cost Detail'!L9</f>
        <v/>
      </c>
      <c r="M39" s="239">
        <f>SUM(D39:L39)</f>
        <v/>
      </c>
      <c r="N39" s="239">
        <f>'Monthly Funding'!D41</f>
        <v/>
      </c>
      <c r="O39" s="239">
        <f>M39-N39</f>
        <v/>
      </c>
      <c r="P39" s="239">
        <f>SUMIFS('Office Equipment'!$E$4:$E$12,'Office Equipment'!$F$4:$F$12,A39)</f>
        <v/>
      </c>
      <c r="Q39" s="239">
        <f>M39+P39</f>
        <v/>
      </c>
      <c r="R39" t="inlineStr">
        <is>
          <t>Reconciled to finance-engine OPEX</t>
        </is>
      </c>
    </row>
    <row r="41">
      <c r="A41" s="83" t="inlineStr">
        <is>
          <t>36M TOTAL</t>
        </is>
      </c>
      <c r="B41" s="83" t="n"/>
      <c r="C41" s="83" t="n"/>
      <c r="D41" s="83">
        <f>SUM(D4:D39)</f>
        <v/>
      </c>
      <c r="E41" s="83">
        <f>SUM(E4:E39)</f>
        <v/>
      </c>
      <c r="F41" s="83">
        <f>SUM(F4:F39)</f>
        <v/>
      </c>
      <c r="G41" s="83">
        <f>SUM(G4:G39)</f>
        <v/>
      </c>
      <c r="H41" s="83">
        <f>SUM(H4:H39)</f>
        <v/>
      </c>
      <c r="I41" s="83">
        <f>SUM(I4:I39)</f>
        <v/>
      </c>
      <c r="J41" s="83">
        <f>SUM(J4:J39)</f>
        <v/>
      </c>
      <c r="K41" s="83">
        <f>SUM(K4:K39)</f>
        <v/>
      </c>
      <c r="L41" s="83">
        <f>SUM(L4:L39)</f>
        <v/>
      </c>
      <c r="M41" s="83">
        <f>SUM(M4:M39)</f>
        <v/>
      </c>
      <c r="N41" s="83">
        <f>SUM(N4:N39)</f>
        <v/>
      </c>
      <c r="O41" s="83" t="n"/>
      <c r="P41" s="83">
        <f>SUM(P4:P39)</f>
        <v/>
      </c>
      <c r="Q41" s="83">
        <f>SUM(Q4:Q39)</f>
        <v/>
      </c>
    </row>
  </sheetData>
  <mergeCells count="1">
    <mergeCell ref="A1:R1"/>
  </mergeCells>
  <conditionalFormatting sqref="O4:O39">
    <cfRule type="expression" priority="1" dxfId="5">
      <formula>ABS(O4)&gt;0.001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03"/>
  <sheetViews>
    <sheetView workbookViewId="0">
      <selection activeCell="A1" sqref="A1"/>
    </sheetView>
  </sheetViews>
  <sheetFormatPr baseColWidth="8" defaultRowHeight="13.80000019073486"/>
  <cols>
    <col width="15.3984375" customWidth="1" style="88" min="11" max="11"/>
  </cols>
  <sheetData>
    <row r="1" ht="19.20000076293945" customHeight="1" s="88">
      <c r="A1" s="246" t="inlineStr">
        <is>
          <t>Job Material Requirements · Job Card → Approved BOM → SKU → ATP → Shortage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</row>
    <row r="2">
      <c r="A2" t="inlineStr">
        <is>
          <t>This is the auditable material-readiness ledger. Job Cards summarize this sheet; the status formula no longer performs a hidden multi-line BOM lookup.</t>
        </is>
      </c>
    </row>
    <row r="3">
      <c r="A3" s="193" t="inlineStr">
        <is>
          <t>Job Card</t>
        </is>
      </c>
      <c r="B3" s="193" t="inlineStr">
        <is>
          <t>Order ID</t>
        </is>
      </c>
      <c r="C3" s="193" t="inlineStr">
        <is>
          <t>Model</t>
        </is>
      </c>
      <c r="D3" s="193" t="inlineStr">
        <is>
          <t>BOM Line</t>
        </is>
      </c>
      <c r="E3" s="193" t="inlineStr">
        <is>
          <t>SKU</t>
        </is>
      </c>
      <c r="F3" s="193" t="inlineStr">
        <is>
          <t>Qty / Bike</t>
        </is>
      </c>
      <c r="G3" s="193" t="inlineStr">
        <is>
          <t>Job Qty</t>
        </is>
      </c>
      <c r="H3" s="193" t="inlineStr">
        <is>
          <t>Required Qty</t>
        </is>
      </c>
      <c r="I3" s="193" t="inlineStr">
        <is>
          <t>ATP</t>
        </is>
      </c>
      <c r="J3" s="193" t="inlineStr">
        <is>
          <t>Reserved for Job</t>
        </is>
      </c>
      <c r="K3" s="193" t="inlineStr">
        <is>
          <t>Uncovered Qty</t>
        </is>
      </c>
      <c r="L3" s="193" t="inlineStr">
        <is>
          <t>Readiness</t>
        </is>
      </c>
    </row>
    <row r="4">
      <c r="A4">
        <f>IF('Job Cards'!$A$4="","",'Job Cards'!$A$4)</f>
        <v/>
      </c>
      <c r="B4">
        <f>IF(A4="","",'Job Cards'!$B$4)</f>
        <v/>
      </c>
      <c r="C4">
        <f>IF(A4="","",'Job Cards'!$D$4)</f>
        <v/>
      </c>
      <c r="D4">
        <f>IF(A4="","",'BOM Mapping'!$A$4)</f>
        <v/>
      </c>
      <c r="E4">
        <f>IF(C4="Longitude",'BOM Mapping'!$C$4,IF(C4="Latitude",'BOM Mapping'!$D$4,IF(C4="Altitude",'BOM Mapping'!$E$4,"")))</f>
        <v/>
      </c>
      <c r="F4">
        <f>IF(C4="Longitude",'BOM Mapping'!$J$4,IF(C4="Latitude",'BOM Mapping'!$K$4,IF(C4="Altitude",'BOM Mapping'!$L$4,0)))</f>
        <v/>
      </c>
      <c r="G4">
        <f>IF(A4="","",'Job Cards'!$E$4)</f>
        <v/>
      </c>
      <c r="H4">
        <f>IF(E4="","",F4*G4)</f>
        <v/>
      </c>
      <c r="I4">
        <f>IF(E4="","",IFERROR(VLOOKUP(E4,'Master Inventory'!$A:$N,10,FALSE),0))</f>
        <v/>
      </c>
      <c r="J4">
        <f>IF(E4="","",SUMIFS(Reservations!$G:$G,Reservations!$D:$D,A4,Reservations!$E:$E,E4,Reservations!$H:$H,"Active"))</f>
        <v/>
      </c>
      <c r="K4">
        <f>IF(E4="","",MAX(0,H4-I4-J4))</f>
        <v/>
      </c>
      <c r="L4">
        <f>IF(E4="","",IF(K4&gt;0,"SHORTAGE",IF(J4&gt;=H4,"RESERVED","READY TO RESERVE")))</f>
        <v/>
      </c>
    </row>
    <row r="5">
      <c r="A5">
        <f>IF('Job Cards'!$A$4="","",'Job Cards'!$A$4)</f>
        <v/>
      </c>
      <c r="B5">
        <f>IF(A5="","",'Job Cards'!$B$4)</f>
        <v/>
      </c>
      <c r="C5">
        <f>IF(A5="","",'Job Cards'!$D$4)</f>
        <v/>
      </c>
      <c r="D5">
        <f>IF(A5="","",'BOM Mapping'!$A$5)</f>
        <v/>
      </c>
      <c r="E5">
        <f>IF(C5="Longitude",'BOM Mapping'!$C$5,IF(C5="Latitude",'BOM Mapping'!$D$5,IF(C5="Altitude",'BOM Mapping'!$E$5,"")))</f>
        <v/>
      </c>
      <c r="F5">
        <f>IF(C5="Longitude",'BOM Mapping'!$J$5,IF(C5="Latitude",'BOM Mapping'!$K$5,IF(C5="Altitude",'BOM Mapping'!$L$5,0)))</f>
        <v/>
      </c>
      <c r="G5">
        <f>IF(A5="","",'Job Cards'!$E$4)</f>
        <v/>
      </c>
      <c r="H5">
        <f>IF(E5="","",F5*G5)</f>
        <v/>
      </c>
      <c r="I5">
        <f>IF(E5="","",IFERROR(VLOOKUP(E5,'Master Inventory'!$A:$N,10,FALSE),0))</f>
        <v/>
      </c>
      <c r="J5">
        <f>IF(E5="","",SUMIFS(Reservations!$G:$G,Reservations!$D:$D,A5,Reservations!$E:$E,E5,Reservations!$H:$H,"Active"))</f>
        <v/>
      </c>
      <c r="K5">
        <f>IF(E5="","",MAX(0,H5-I5-J5))</f>
        <v/>
      </c>
      <c r="L5">
        <f>IF(E5="","",IF(K5&gt;0,"SHORTAGE",IF(J5&gt;=H5,"RESERVED","READY TO RESERVE")))</f>
        <v/>
      </c>
    </row>
    <row r="6">
      <c r="A6">
        <f>IF('Job Cards'!$A$4="","",'Job Cards'!$A$4)</f>
        <v/>
      </c>
      <c r="B6">
        <f>IF(A6="","",'Job Cards'!$B$4)</f>
        <v/>
      </c>
      <c r="C6">
        <f>IF(A6="","",'Job Cards'!$D$4)</f>
        <v/>
      </c>
      <c r="D6">
        <f>IF(A6="","",'BOM Mapping'!$A$6)</f>
        <v/>
      </c>
      <c r="E6">
        <f>IF(C6="Longitude",'BOM Mapping'!$C$6,IF(C6="Latitude",'BOM Mapping'!$D$6,IF(C6="Altitude",'BOM Mapping'!$E$6,"")))</f>
        <v/>
      </c>
      <c r="F6">
        <f>IF(C6="Longitude",'BOM Mapping'!$J$6,IF(C6="Latitude",'BOM Mapping'!$K$6,IF(C6="Altitude",'BOM Mapping'!$L$6,0)))</f>
        <v/>
      </c>
      <c r="G6">
        <f>IF(A6="","",'Job Cards'!$E$4)</f>
        <v/>
      </c>
      <c r="H6">
        <f>IF(E6="","",F6*G6)</f>
        <v/>
      </c>
      <c r="I6">
        <f>IF(E6="","",IFERROR(VLOOKUP(E6,'Master Inventory'!$A:$N,10,FALSE),0))</f>
        <v/>
      </c>
      <c r="J6">
        <f>IF(E6="","",SUMIFS(Reservations!$G:$G,Reservations!$D:$D,A6,Reservations!$E:$E,E6,Reservations!$H:$H,"Active"))</f>
        <v/>
      </c>
      <c r="K6">
        <f>IF(E6="","",MAX(0,H6-I6-J6))</f>
        <v/>
      </c>
      <c r="L6">
        <f>IF(E6="","",IF(K6&gt;0,"SHORTAGE",IF(J6&gt;=H6,"RESERVED","READY TO RESERVE")))</f>
        <v/>
      </c>
    </row>
    <row r="7">
      <c r="A7">
        <f>IF('Job Cards'!$A$4="","",'Job Cards'!$A$4)</f>
        <v/>
      </c>
      <c r="B7">
        <f>IF(A7="","",'Job Cards'!$B$4)</f>
        <v/>
      </c>
      <c r="C7">
        <f>IF(A7="","",'Job Cards'!$D$4)</f>
        <v/>
      </c>
      <c r="D7">
        <f>IF(A7="","",'BOM Mapping'!$A$7)</f>
        <v/>
      </c>
      <c r="E7">
        <f>IF(C7="Longitude",'BOM Mapping'!$C$7,IF(C7="Latitude",'BOM Mapping'!$D$7,IF(C7="Altitude",'BOM Mapping'!$E$7,"")))</f>
        <v/>
      </c>
      <c r="F7">
        <f>IF(C7="Longitude",'BOM Mapping'!$J$7,IF(C7="Latitude",'BOM Mapping'!$K$7,IF(C7="Altitude",'BOM Mapping'!$L$7,0)))</f>
        <v/>
      </c>
      <c r="G7">
        <f>IF(A7="","",'Job Cards'!$E$4)</f>
        <v/>
      </c>
      <c r="H7">
        <f>IF(E7="","",F7*G7)</f>
        <v/>
      </c>
      <c r="I7">
        <f>IF(E7="","",IFERROR(VLOOKUP(E7,'Master Inventory'!$A:$N,10,FALSE),0))</f>
        <v/>
      </c>
      <c r="J7">
        <f>IF(E7="","",SUMIFS(Reservations!$G:$G,Reservations!$D:$D,A7,Reservations!$E:$E,E7,Reservations!$H:$H,"Active"))</f>
        <v/>
      </c>
      <c r="K7">
        <f>IF(E7="","",MAX(0,H7-I7-J7))</f>
        <v/>
      </c>
      <c r="L7">
        <f>IF(E7="","",IF(K7&gt;0,"SHORTAGE",IF(J7&gt;=H7,"RESERVED","READY TO RESERVE")))</f>
        <v/>
      </c>
    </row>
    <row r="8">
      <c r="A8">
        <f>IF('Job Cards'!$A$4="","",'Job Cards'!$A$4)</f>
        <v/>
      </c>
      <c r="B8">
        <f>IF(A8="","",'Job Cards'!$B$4)</f>
        <v/>
      </c>
      <c r="C8">
        <f>IF(A8="","",'Job Cards'!$D$4)</f>
        <v/>
      </c>
      <c r="D8">
        <f>IF(A8="","",'BOM Mapping'!$A$8)</f>
        <v/>
      </c>
      <c r="E8">
        <f>IF(C8="Longitude",'BOM Mapping'!$C$8,IF(C8="Latitude",'BOM Mapping'!$D$8,IF(C8="Altitude",'BOM Mapping'!$E$8,"")))</f>
        <v/>
      </c>
      <c r="F8">
        <f>IF(C8="Longitude",'BOM Mapping'!$J$8,IF(C8="Latitude",'BOM Mapping'!$K$8,IF(C8="Altitude",'BOM Mapping'!$L$8,0)))</f>
        <v/>
      </c>
      <c r="G8">
        <f>IF(A8="","",'Job Cards'!$E$4)</f>
        <v/>
      </c>
      <c r="H8">
        <f>IF(E8="","",F8*G8)</f>
        <v/>
      </c>
      <c r="I8">
        <f>IF(E8="","",IFERROR(VLOOKUP(E8,'Master Inventory'!$A:$N,10,FALSE),0))</f>
        <v/>
      </c>
      <c r="J8">
        <f>IF(E8="","",SUMIFS(Reservations!$G:$G,Reservations!$D:$D,A8,Reservations!$E:$E,E8,Reservations!$H:$H,"Active"))</f>
        <v/>
      </c>
      <c r="K8">
        <f>IF(E8="","",MAX(0,H8-I8-J8))</f>
        <v/>
      </c>
      <c r="L8">
        <f>IF(E8="","",IF(K8&gt;0,"SHORTAGE",IF(J8&gt;=H8,"RESERVED","READY TO RESERVE")))</f>
        <v/>
      </c>
    </row>
    <row r="9">
      <c r="A9">
        <f>IF('Job Cards'!$A$4="","",'Job Cards'!$A$4)</f>
        <v/>
      </c>
      <c r="B9">
        <f>IF(A9="","",'Job Cards'!$B$4)</f>
        <v/>
      </c>
      <c r="C9">
        <f>IF(A9="","",'Job Cards'!$D$4)</f>
        <v/>
      </c>
      <c r="D9">
        <f>IF(A9="","",'BOM Mapping'!$A$9)</f>
        <v/>
      </c>
      <c r="E9">
        <f>IF(C9="Longitude",'BOM Mapping'!$C$9,IF(C9="Latitude",'BOM Mapping'!$D$9,IF(C9="Altitude",'BOM Mapping'!$E$9,"")))</f>
        <v/>
      </c>
      <c r="F9">
        <f>IF(C9="Longitude",'BOM Mapping'!$J$9,IF(C9="Latitude",'BOM Mapping'!$K$9,IF(C9="Altitude",'BOM Mapping'!$L$9,0)))</f>
        <v/>
      </c>
      <c r="G9">
        <f>IF(A9="","",'Job Cards'!$E$4)</f>
        <v/>
      </c>
      <c r="H9">
        <f>IF(E9="","",F9*G9)</f>
        <v/>
      </c>
      <c r="I9">
        <f>IF(E9="","",IFERROR(VLOOKUP(E9,'Master Inventory'!$A:$N,10,FALSE),0))</f>
        <v/>
      </c>
      <c r="J9">
        <f>IF(E9="","",SUMIFS(Reservations!$G:$G,Reservations!$D:$D,A9,Reservations!$E:$E,E9,Reservations!$H:$H,"Active"))</f>
        <v/>
      </c>
      <c r="K9">
        <f>IF(E9="","",MAX(0,H9-I9-J9))</f>
        <v/>
      </c>
      <c r="L9">
        <f>IF(E9="","",IF(K9&gt;0,"SHORTAGE",IF(J9&gt;=H9,"RESERVED","READY TO RESERVE")))</f>
        <v/>
      </c>
    </row>
    <row r="10">
      <c r="A10">
        <f>IF('Job Cards'!$A$4="","",'Job Cards'!$A$4)</f>
        <v/>
      </c>
      <c r="B10">
        <f>IF(A10="","",'Job Cards'!$B$4)</f>
        <v/>
      </c>
      <c r="C10">
        <f>IF(A10="","",'Job Cards'!$D$4)</f>
        <v/>
      </c>
      <c r="D10">
        <f>IF(A10="","",'BOM Mapping'!$A$10)</f>
        <v/>
      </c>
      <c r="E10">
        <f>IF(C10="Longitude",'BOM Mapping'!$C$10,IF(C10="Latitude",'BOM Mapping'!$D$10,IF(C10="Altitude",'BOM Mapping'!$E$10,"")))</f>
        <v/>
      </c>
      <c r="F10">
        <f>IF(C10="Longitude",'BOM Mapping'!$J$10,IF(C10="Latitude",'BOM Mapping'!$K$10,IF(C10="Altitude",'BOM Mapping'!$L$10,0)))</f>
        <v/>
      </c>
      <c r="G10">
        <f>IF(A10="","",'Job Cards'!$E$4)</f>
        <v/>
      </c>
      <c r="H10">
        <f>IF(E10="","",F10*G10)</f>
        <v/>
      </c>
      <c r="I10">
        <f>IF(E10="","",IFERROR(VLOOKUP(E10,'Master Inventory'!$A:$N,10,FALSE),0))</f>
        <v/>
      </c>
      <c r="J10">
        <f>IF(E10="","",SUMIFS(Reservations!$G:$G,Reservations!$D:$D,A10,Reservations!$E:$E,E10,Reservations!$H:$H,"Active"))</f>
        <v/>
      </c>
      <c r="K10">
        <f>IF(E10="","",MAX(0,H10-I10-J10))</f>
        <v/>
      </c>
      <c r="L10">
        <f>IF(E10="","",IF(K10&gt;0,"SHORTAGE",IF(J10&gt;=H10,"RESERVED","READY TO RESERVE")))</f>
        <v/>
      </c>
    </row>
    <row r="11">
      <c r="A11">
        <f>IF('Job Cards'!$A$4="","",'Job Cards'!$A$4)</f>
        <v/>
      </c>
      <c r="B11">
        <f>IF(A11="","",'Job Cards'!$B$4)</f>
        <v/>
      </c>
      <c r="C11">
        <f>IF(A11="","",'Job Cards'!$D$4)</f>
        <v/>
      </c>
      <c r="D11">
        <f>IF(A11="","",'BOM Mapping'!$A$11)</f>
        <v/>
      </c>
      <c r="E11">
        <f>IF(C11="Longitude",'BOM Mapping'!$C$11,IF(C11="Latitude",'BOM Mapping'!$D$11,IF(C11="Altitude",'BOM Mapping'!$E$11,"")))</f>
        <v/>
      </c>
      <c r="F11">
        <f>IF(C11="Longitude",'BOM Mapping'!$J$11,IF(C11="Latitude",'BOM Mapping'!$K$11,IF(C11="Altitude",'BOM Mapping'!$L$11,0)))</f>
        <v/>
      </c>
      <c r="G11">
        <f>IF(A11="","",'Job Cards'!$E$4)</f>
        <v/>
      </c>
      <c r="H11">
        <f>IF(E11="","",F11*G11)</f>
        <v/>
      </c>
      <c r="I11">
        <f>IF(E11="","",IFERROR(VLOOKUP(E11,'Master Inventory'!$A:$N,10,FALSE),0))</f>
        <v/>
      </c>
      <c r="J11">
        <f>IF(E11="","",SUMIFS(Reservations!$G:$G,Reservations!$D:$D,A11,Reservations!$E:$E,E11,Reservations!$H:$H,"Active"))</f>
        <v/>
      </c>
      <c r="K11">
        <f>IF(E11="","",MAX(0,H11-I11-J11))</f>
        <v/>
      </c>
      <c r="L11">
        <f>IF(E11="","",IF(K11&gt;0,"SHORTAGE",IF(J11&gt;=H11,"RESERVED","READY TO RESERVE")))</f>
        <v/>
      </c>
    </row>
    <row r="12">
      <c r="A12">
        <f>IF('Job Cards'!$A$4="","",'Job Cards'!$A$4)</f>
        <v/>
      </c>
      <c r="B12">
        <f>IF(A12="","",'Job Cards'!$B$4)</f>
        <v/>
      </c>
      <c r="C12">
        <f>IF(A12="","",'Job Cards'!$D$4)</f>
        <v/>
      </c>
      <c r="D12">
        <f>IF(A12="","",'BOM Mapping'!$A$12)</f>
        <v/>
      </c>
      <c r="E12">
        <f>IF(C12="Longitude",'BOM Mapping'!$C$12,IF(C12="Latitude",'BOM Mapping'!$D$12,IF(C12="Altitude",'BOM Mapping'!$E$12,"")))</f>
        <v/>
      </c>
      <c r="F12">
        <f>IF(C12="Longitude",'BOM Mapping'!$J$12,IF(C12="Latitude",'BOM Mapping'!$K$12,IF(C12="Altitude",'BOM Mapping'!$L$12,0)))</f>
        <v/>
      </c>
      <c r="G12">
        <f>IF(A12="","",'Job Cards'!$E$4)</f>
        <v/>
      </c>
      <c r="H12">
        <f>IF(E12="","",F12*G12)</f>
        <v/>
      </c>
      <c r="I12">
        <f>IF(E12="","",IFERROR(VLOOKUP(E12,'Master Inventory'!$A:$N,10,FALSE),0))</f>
        <v/>
      </c>
      <c r="J12">
        <f>IF(E12="","",SUMIFS(Reservations!$G:$G,Reservations!$D:$D,A12,Reservations!$E:$E,E12,Reservations!$H:$H,"Active"))</f>
        <v/>
      </c>
      <c r="K12">
        <f>IF(E12="","",MAX(0,H12-I12-J12))</f>
        <v/>
      </c>
      <c r="L12">
        <f>IF(E12="","",IF(K12&gt;0,"SHORTAGE",IF(J12&gt;=H12,"RESERVED","READY TO RESERVE")))</f>
        <v/>
      </c>
    </row>
    <row r="13">
      <c r="A13">
        <f>IF('Job Cards'!$A$4="","",'Job Cards'!$A$4)</f>
        <v/>
      </c>
      <c r="B13">
        <f>IF(A13="","",'Job Cards'!$B$4)</f>
        <v/>
      </c>
      <c r="C13">
        <f>IF(A13="","",'Job Cards'!$D$4)</f>
        <v/>
      </c>
      <c r="D13">
        <f>IF(A13="","",'BOM Mapping'!$A$13)</f>
        <v/>
      </c>
      <c r="E13">
        <f>IF(C13="Longitude",'BOM Mapping'!$C$13,IF(C13="Latitude",'BOM Mapping'!$D$13,IF(C13="Altitude",'BOM Mapping'!$E$13,"")))</f>
        <v/>
      </c>
      <c r="F13">
        <f>IF(C13="Longitude",'BOM Mapping'!$J$13,IF(C13="Latitude",'BOM Mapping'!$K$13,IF(C13="Altitude",'BOM Mapping'!$L$13,0)))</f>
        <v/>
      </c>
      <c r="G13">
        <f>IF(A13="","",'Job Cards'!$E$4)</f>
        <v/>
      </c>
      <c r="H13">
        <f>IF(E13="","",F13*G13)</f>
        <v/>
      </c>
      <c r="I13">
        <f>IF(E13="","",IFERROR(VLOOKUP(E13,'Master Inventory'!$A:$N,10,FALSE),0))</f>
        <v/>
      </c>
      <c r="J13">
        <f>IF(E13="","",SUMIFS(Reservations!$G:$G,Reservations!$D:$D,A13,Reservations!$E:$E,E13,Reservations!$H:$H,"Active"))</f>
        <v/>
      </c>
      <c r="K13">
        <f>IF(E13="","",MAX(0,H13-I13-J13))</f>
        <v/>
      </c>
      <c r="L13">
        <f>IF(E13="","",IF(K13&gt;0,"SHORTAGE",IF(J13&gt;=H13,"RESERVED","READY TO RESERVE")))</f>
        <v/>
      </c>
    </row>
    <row r="14">
      <c r="A14">
        <f>IF('Job Cards'!$A$4="","",'Job Cards'!$A$4)</f>
        <v/>
      </c>
      <c r="B14">
        <f>IF(A14="","",'Job Cards'!$B$4)</f>
        <v/>
      </c>
      <c r="C14">
        <f>IF(A14="","",'Job Cards'!$D$4)</f>
        <v/>
      </c>
      <c r="D14">
        <f>IF(A14="","",'BOM Mapping'!$A$14)</f>
        <v/>
      </c>
      <c r="E14">
        <f>IF(C14="Longitude",'BOM Mapping'!$C$14,IF(C14="Latitude",'BOM Mapping'!$D$14,IF(C14="Altitude",'BOM Mapping'!$E$14,"")))</f>
        <v/>
      </c>
      <c r="F14">
        <f>IF(C14="Longitude",'BOM Mapping'!$J$14,IF(C14="Latitude",'BOM Mapping'!$K$14,IF(C14="Altitude",'BOM Mapping'!$L$14,0)))</f>
        <v/>
      </c>
      <c r="G14">
        <f>IF(A14="","",'Job Cards'!$E$4)</f>
        <v/>
      </c>
      <c r="H14">
        <f>IF(E14="","",F14*G14)</f>
        <v/>
      </c>
      <c r="I14">
        <f>IF(E14="","",IFERROR(VLOOKUP(E14,'Master Inventory'!$A:$N,10,FALSE),0))</f>
        <v/>
      </c>
      <c r="J14">
        <f>IF(E14="","",SUMIFS(Reservations!$G:$G,Reservations!$D:$D,A14,Reservations!$E:$E,E14,Reservations!$H:$H,"Active"))</f>
        <v/>
      </c>
      <c r="K14">
        <f>IF(E14="","",MAX(0,H14-I14-J14))</f>
        <v/>
      </c>
      <c r="L14">
        <f>IF(E14="","",IF(K14&gt;0,"SHORTAGE",IF(J14&gt;=H14,"RESERVED","READY TO RESERVE")))</f>
        <v/>
      </c>
    </row>
    <row r="15">
      <c r="A15">
        <f>IF('Job Cards'!$A$4="","",'Job Cards'!$A$4)</f>
        <v/>
      </c>
      <c r="B15">
        <f>IF(A15="","",'Job Cards'!$B$4)</f>
        <v/>
      </c>
      <c r="C15">
        <f>IF(A15="","",'Job Cards'!$D$4)</f>
        <v/>
      </c>
      <c r="D15">
        <f>IF(A15="","",'BOM Mapping'!$A$15)</f>
        <v/>
      </c>
      <c r="E15">
        <f>IF(C15="Longitude",'BOM Mapping'!$C$15,IF(C15="Latitude",'BOM Mapping'!$D$15,IF(C15="Altitude",'BOM Mapping'!$E$15,"")))</f>
        <v/>
      </c>
      <c r="F15">
        <f>IF(C15="Longitude",'BOM Mapping'!$J$15,IF(C15="Latitude",'BOM Mapping'!$K$15,IF(C15="Altitude",'BOM Mapping'!$L$15,0)))</f>
        <v/>
      </c>
      <c r="G15">
        <f>IF(A15="","",'Job Cards'!$E$4)</f>
        <v/>
      </c>
      <c r="H15">
        <f>IF(E15="","",F15*G15)</f>
        <v/>
      </c>
      <c r="I15">
        <f>IF(E15="","",IFERROR(VLOOKUP(E15,'Master Inventory'!$A:$N,10,FALSE),0))</f>
        <v/>
      </c>
      <c r="J15">
        <f>IF(E15="","",SUMIFS(Reservations!$G:$G,Reservations!$D:$D,A15,Reservations!$E:$E,E15,Reservations!$H:$H,"Active"))</f>
        <v/>
      </c>
      <c r="K15">
        <f>IF(E15="","",MAX(0,H15-I15-J15))</f>
        <v/>
      </c>
      <c r="L15">
        <f>IF(E15="","",IF(K15&gt;0,"SHORTAGE",IF(J15&gt;=H15,"RESERVED","READY TO RESERVE")))</f>
        <v/>
      </c>
    </row>
    <row r="16">
      <c r="A16">
        <f>IF('Job Cards'!$A$4="","",'Job Cards'!$A$4)</f>
        <v/>
      </c>
      <c r="B16">
        <f>IF(A16="","",'Job Cards'!$B$4)</f>
        <v/>
      </c>
      <c r="C16">
        <f>IF(A16="","",'Job Cards'!$D$4)</f>
        <v/>
      </c>
      <c r="D16">
        <f>IF(A16="","",'BOM Mapping'!$A$16)</f>
        <v/>
      </c>
      <c r="E16">
        <f>IF(C16="Longitude",'BOM Mapping'!$C$16,IF(C16="Latitude",'BOM Mapping'!$D$16,IF(C16="Altitude",'BOM Mapping'!$E$16,"")))</f>
        <v/>
      </c>
      <c r="F16">
        <f>IF(C16="Longitude",'BOM Mapping'!$J$16,IF(C16="Latitude",'BOM Mapping'!$K$16,IF(C16="Altitude",'BOM Mapping'!$L$16,0)))</f>
        <v/>
      </c>
      <c r="G16">
        <f>IF(A16="","",'Job Cards'!$E$4)</f>
        <v/>
      </c>
      <c r="H16">
        <f>IF(E16="","",F16*G16)</f>
        <v/>
      </c>
      <c r="I16">
        <f>IF(E16="","",IFERROR(VLOOKUP(E16,'Master Inventory'!$A:$N,10,FALSE),0))</f>
        <v/>
      </c>
      <c r="J16">
        <f>IF(E16="","",SUMIFS(Reservations!$G:$G,Reservations!$D:$D,A16,Reservations!$E:$E,E16,Reservations!$H:$H,"Active"))</f>
        <v/>
      </c>
      <c r="K16">
        <f>IF(E16="","",MAX(0,H16-I16-J16))</f>
        <v/>
      </c>
      <c r="L16">
        <f>IF(E16="","",IF(K16&gt;0,"SHORTAGE",IF(J16&gt;=H16,"RESERVED","READY TO RESERVE")))</f>
        <v/>
      </c>
    </row>
    <row r="17">
      <c r="A17">
        <f>IF('Job Cards'!$A$4="","",'Job Cards'!$A$4)</f>
        <v/>
      </c>
      <c r="B17">
        <f>IF(A17="","",'Job Cards'!$B$4)</f>
        <v/>
      </c>
      <c r="C17">
        <f>IF(A17="","",'Job Cards'!$D$4)</f>
        <v/>
      </c>
      <c r="D17">
        <f>IF(A17="","",'BOM Mapping'!$A$17)</f>
        <v/>
      </c>
      <c r="E17">
        <f>IF(C17="Longitude",'BOM Mapping'!$C$17,IF(C17="Latitude",'BOM Mapping'!$D$17,IF(C17="Altitude",'BOM Mapping'!$E$17,"")))</f>
        <v/>
      </c>
      <c r="F17">
        <f>IF(C17="Longitude",'BOM Mapping'!$J$17,IF(C17="Latitude",'BOM Mapping'!$K$17,IF(C17="Altitude",'BOM Mapping'!$L$17,0)))</f>
        <v/>
      </c>
      <c r="G17">
        <f>IF(A17="","",'Job Cards'!$E$4)</f>
        <v/>
      </c>
      <c r="H17">
        <f>IF(E17="","",F17*G17)</f>
        <v/>
      </c>
      <c r="I17">
        <f>IF(E17="","",IFERROR(VLOOKUP(E17,'Master Inventory'!$A:$N,10,FALSE),0))</f>
        <v/>
      </c>
      <c r="J17">
        <f>IF(E17="","",SUMIFS(Reservations!$G:$G,Reservations!$D:$D,A17,Reservations!$E:$E,E17,Reservations!$H:$H,"Active"))</f>
        <v/>
      </c>
      <c r="K17">
        <f>IF(E17="","",MAX(0,H17-I17-J17))</f>
        <v/>
      </c>
      <c r="L17">
        <f>IF(E17="","",IF(K17&gt;0,"SHORTAGE",IF(J17&gt;=H17,"RESERVED","READY TO RESERVE")))</f>
        <v/>
      </c>
    </row>
    <row r="18">
      <c r="A18">
        <f>IF('Job Cards'!$A$4="","",'Job Cards'!$A$4)</f>
        <v/>
      </c>
      <c r="B18">
        <f>IF(A18="","",'Job Cards'!$B$4)</f>
        <v/>
      </c>
      <c r="C18">
        <f>IF(A18="","",'Job Cards'!$D$4)</f>
        <v/>
      </c>
      <c r="D18">
        <f>IF(A18="","",'BOM Mapping'!$A$18)</f>
        <v/>
      </c>
      <c r="E18">
        <f>IF(C18="Longitude",'BOM Mapping'!$C$18,IF(C18="Latitude",'BOM Mapping'!$D$18,IF(C18="Altitude",'BOM Mapping'!$E$18,"")))</f>
        <v/>
      </c>
      <c r="F18">
        <f>IF(C18="Longitude",'BOM Mapping'!$J$18,IF(C18="Latitude",'BOM Mapping'!$K$18,IF(C18="Altitude",'BOM Mapping'!$L$18,0)))</f>
        <v/>
      </c>
      <c r="G18">
        <f>IF(A18="","",'Job Cards'!$E$4)</f>
        <v/>
      </c>
      <c r="H18">
        <f>IF(E18="","",F18*G18)</f>
        <v/>
      </c>
      <c r="I18">
        <f>IF(E18="","",IFERROR(VLOOKUP(E18,'Master Inventory'!$A:$N,10,FALSE),0))</f>
        <v/>
      </c>
      <c r="J18">
        <f>IF(E18="","",SUMIFS(Reservations!$G:$G,Reservations!$D:$D,A18,Reservations!$E:$E,E18,Reservations!$H:$H,"Active"))</f>
        <v/>
      </c>
      <c r="K18">
        <f>IF(E18="","",MAX(0,H18-I18-J18))</f>
        <v/>
      </c>
      <c r="L18">
        <f>IF(E18="","",IF(K18&gt;0,"SHORTAGE",IF(J18&gt;=H18,"RESERVED","READY TO RESERVE")))</f>
        <v/>
      </c>
    </row>
    <row r="19">
      <c r="A19">
        <f>IF('Job Cards'!$A$4="","",'Job Cards'!$A$4)</f>
        <v/>
      </c>
      <c r="B19">
        <f>IF(A19="","",'Job Cards'!$B$4)</f>
        <v/>
      </c>
      <c r="C19">
        <f>IF(A19="","",'Job Cards'!$D$4)</f>
        <v/>
      </c>
      <c r="D19">
        <f>IF(A19="","",'BOM Mapping'!$A$19)</f>
        <v/>
      </c>
      <c r="E19">
        <f>IF(C19="Longitude",'BOM Mapping'!$C$19,IF(C19="Latitude",'BOM Mapping'!$D$19,IF(C19="Altitude",'BOM Mapping'!$E$19,"")))</f>
        <v/>
      </c>
      <c r="F19">
        <f>IF(C19="Longitude",'BOM Mapping'!$J$19,IF(C19="Latitude",'BOM Mapping'!$K$19,IF(C19="Altitude",'BOM Mapping'!$L$19,0)))</f>
        <v/>
      </c>
      <c r="G19">
        <f>IF(A19="","",'Job Cards'!$E$4)</f>
        <v/>
      </c>
      <c r="H19">
        <f>IF(E19="","",F19*G19)</f>
        <v/>
      </c>
      <c r="I19">
        <f>IF(E19="","",IFERROR(VLOOKUP(E19,'Master Inventory'!$A:$N,10,FALSE),0))</f>
        <v/>
      </c>
      <c r="J19">
        <f>IF(E19="","",SUMIFS(Reservations!$G:$G,Reservations!$D:$D,A19,Reservations!$E:$E,E19,Reservations!$H:$H,"Active"))</f>
        <v/>
      </c>
      <c r="K19">
        <f>IF(E19="","",MAX(0,H19-I19-J19))</f>
        <v/>
      </c>
      <c r="L19">
        <f>IF(E19="","",IF(K19&gt;0,"SHORTAGE",IF(J19&gt;=H19,"RESERVED","READY TO RESERVE")))</f>
        <v/>
      </c>
    </row>
    <row r="20">
      <c r="A20">
        <f>IF('Job Cards'!$A$4="","",'Job Cards'!$A$4)</f>
        <v/>
      </c>
      <c r="B20">
        <f>IF(A20="","",'Job Cards'!$B$4)</f>
        <v/>
      </c>
      <c r="C20">
        <f>IF(A20="","",'Job Cards'!$D$4)</f>
        <v/>
      </c>
      <c r="D20">
        <f>IF(A20="","",'BOM Mapping'!$A$20)</f>
        <v/>
      </c>
      <c r="E20">
        <f>IF(C20="Longitude",'BOM Mapping'!$C$20,IF(C20="Latitude",'BOM Mapping'!$D$20,IF(C20="Altitude",'BOM Mapping'!$E$20,"")))</f>
        <v/>
      </c>
      <c r="F20">
        <f>IF(C20="Longitude",'BOM Mapping'!$J$20,IF(C20="Latitude",'BOM Mapping'!$K$20,IF(C20="Altitude",'BOM Mapping'!$L$20,0)))</f>
        <v/>
      </c>
      <c r="G20">
        <f>IF(A20="","",'Job Cards'!$E$4)</f>
        <v/>
      </c>
      <c r="H20">
        <f>IF(E20="","",F20*G20)</f>
        <v/>
      </c>
      <c r="I20">
        <f>IF(E20="","",IFERROR(VLOOKUP(E20,'Master Inventory'!$A:$N,10,FALSE),0))</f>
        <v/>
      </c>
      <c r="J20">
        <f>IF(E20="","",SUMIFS(Reservations!$G:$G,Reservations!$D:$D,A20,Reservations!$E:$E,E20,Reservations!$H:$H,"Active"))</f>
        <v/>
      </c>
      <c r="K20">
        <f>IF(E20="","",MAX(0,H20-I20-J20))</f>
        <v/>
      </c>
      <c r="L20">
        <f>IF(E20="","",IF(K20&gt;0,"SHORTAGE",IF(J20&gt;=H20,"RESERVED","READY TO RESERVE")))</f>
        <v/>
      </c>
    </row>
    <row r="21">
      <c r="A21">
        <f>IF('Job Cards'!$A$4="","",'Job Cards'!$A$4)</f>
        <v/>
      </c>
      <c r="B21">
        <f>IF(A21="","",'Job Cards'!$B$4)</f>
        <v/>
      </c>
      <c r="C21">
        <f>IF(A21="","",'Job Cards'!$D$4)</f>
        <v/>
      </c>
      <c r="D21">
        <f>IF(A21="","",'BOM Mapping'!$A$21)</f>
        <v/>
      </c>
      <c r="E21">
        <f>IF(C21="Longitude",'BOM Mapping'!$C$21,IF(C21="Latitude",'BOM Mapping'!$D$21,IF(C21="Altitude",'BOM Mapping'!$E$21,"")))</f>
        <v/>
      </c>
      <c r="F21">
        <f>IF(C21="Longitude",'BOM Mapping'!$J$21,IF(C21="Latitude",'BOM Mapping'!$K$21,IF(C21="Altitude",'BOM Mapping'!$L$21,0)))</f>
        <v/>
      </c>
      <c r="G21">
        <f>IF(A21="","",'Job Cards'!$E$4)</f>
        <v/>
      </c>
      <c r="H21">
        <f>IF(E21="","",F21*G21)</f>
        <v/>
      </c>
      <c r="I21">
        <f>IF(E21="","",IFERROR(VLOOKUP(E21,'Master Inventory'!$A:$N,10,FALSE),0))</f>
        <v/>
      </c>
      <c r="J21">
        <f>IF(E21="","",SUMIFS(Reservations!$G:$G,Reservations!$D:$D,A21,Reservations!$E:$E,E21,Reservations!$H:$H,"Active"))</f>
        <v/>
      </c>
      <c r="K21">
        <f>IF(E21="","",MAX(0,H21-I21-J21))</f>
        <v/>
      </c>
      <c r="L21">
        <f>IF(E21="","",IF(K21&gt;0,"SHORTAGE",IF(J21&gt;=H21,"RESERVED","READY TO RESERVE")))</f>
        <v/>
      </c>
    </row>
    <row r="22">
      <c r="A22">
        <f>IF('Job Cards'!$A$4="","",'Job Cards'!$A$4)</f>
        <v/>
      </c>
      <c r="B22">
        <f>IF(A22="","",'Job Cards'!$B$4)</f>
        <v/>
      </c>
      <c r="C22">
        <f>IF(A22="","",'Job Cards'!$D$4)</f>
        <v/>
      </c>
      <c r="D22">
        <f>IF(A22="","",'BOM Mapping'!$A$22)</f>
        <v/>
      </c>
      <c r="E22">
        <f>IF(C22="Longitude",'BOM Mapping'!$C$22,IF(C22="Latitude",'BOM Mapping'!$D$22,IF(C22="Altitude",'BOM Mapping'!$E$22,"")))</f>
        <v/>
      </c>
      <c r="F22">
        <f>IF(C22="Longitude",'BOM Mapping'!$J$22,IF(C22="Latitude",'BOM Mapping'!$K$22,IF(C22="Altitude",'BOM Mapping'!$L$22,0)))</f>
        <v/>
      </c>
      <c r="G22">
        <f>IF(A22="","",'Job Cards'!$E$4)</f>
        <v/>
      </c>
      <c r="H22">
        <f>IF(E22="","",F22*G22)</f>
        <v/>
      </c>
      <c r="I22">
        <f>IF(E22="","",IFERROR(VLOOKUP(E22,'Master Inventory'!$A:$N,10,FALSE),0))</f>
        <v/>
      </c>
      <c r="J22">
        <f>IF(E22="","",SUMIFS(Reservations!$G:$G,Reservations!$D:$D,A22,Reservations!$E:$E,E22,Reservations!$H:$H,"Active"))</f>
        <v/>
      </c>
      <c r="K22">
        <f>IF(E22="","",MAX(0,H22-I22-J22))</f>
        <v/>
      </c>
      <c r="L22">
        <f>IF(E22="","",IF(K22&gt;0,"SHORTAGE",IF(J22&gt;=H22,"RESERVED","READY TO RESERVE")))</f>
        <v/>
      </c>
    </row>
    <row r="23">
      <c r="A23">
        <f>IF('Job Cards'!$A$4="","",'Job Cards'!$A$4)</f>
        <v/>
      </c>
      <c r="B23">
        <f>IF(A23="","",'Job Cards'!$B$4)</f>
        <v/>
      </c>
      <c r="C23">
        <f>IF(A23="","",'Job Cards'!$D$4)</f>
        <v/>
      </c>
      <c r="D23">
        <f>IF(A23="","",'BOM Mapping'!$A$23)</f>
        <v/>
      </c>
      <c r="E23">
        <f>IF(C23="Longitude",'BOM Mapping'!$C$23,IF(C23="Latitude",'BOM Mapping'!$D$23,IF(C23="Altitude",'BOM Mapping'!$E$23,"")))</f>
        <v/>
      </c>
      <c r="F23">
        <f>IF(C23="Longitude",'BOM Mapping'!$J$23,IF(C23="Latitude",'BOM Mapping'!$K$23,IF(C23="Altitude",'BOM Mapping'!$L$23,0)))</f>
        <v/>
      </c>
      <c r="G23">
        <f>IF(A23="","",'Job Cards'!$E$4)</f>
        <v/>
      </c>
      <c r="H23">
        <f>IF(E23="","",F23*G23)</f>
        <v/>
      </c>
      <c r="I23">
        <f>IF(E23="","",IFERROR(VLOOKUP(E23,'Master Inventory'!$A:$N,10,FALSE),0))</f>
        <v/>
      </c>
      <c r="J23">
        <f>IF(E23="","",SUMIFS(Reservations!$G:$G,Reservations!$D:$D,A23,Reservations!$E:$E,E23,Reservations!$H:$H,"Active"))</f>
        <v/>
      </c>
      <c r="K23">
        <f>IF(E23="","",MAX(0,H23-I23-J23))</f>
        <v/>
      </c>
      <c r="L23">
        <f>IF(E23="","",IF(K23&gt;0,"SHORTAGE",IF(J23&gt;=H23,"RESERVED","READY TO RESERVE")))</f>
        <v/>
      </c>
    </row>
    <row r="24">
      <c r="A24">
        <f>IF('Job Cards'!$A$5="","",'Job Cards'!$A$5)</f>
        <v/>
      </c>
      <c r="B24">
        <f>IF(A24="","",'Job Cards'!$B$5)</f>
        <v/>
      </c>
      <c r="C24">
        <f>IF(A24="","",'Job Cards'!$D$5)</f>
        <v/>
      </c>
      <c r="D24">
        <f>IF(A24="","",'BOM Mapping'!$A$4)</f>
        <v/>
      </c>
      <c r="E24">
        <f>IF(C24="Longitude",'BOM Mapping'!$C$4,IF(C24="Latitude",'BOM Mapping'!$D$4,IF(C24="Altitude",'BOM Mapping'!$E$4,"")))</f>
        <v/>
      </c>
      <c r="F24">
        <f>IF(C24="Longitude",'BOM Mapping'!$J$4,IF(C24="Latitude",'BOM Mapping'!$K$4,IF(C24="Altitude",'BOM Mapping'!$L$4,0)))</f>
        <v/>
      </c>
      <c r="G24">
        <f>IF(A24="","",'Job Cards'!$E$5)</f>
        <v/>
      </c>
      <c r="H24">
        <f>IF(E24="","",F24*G24)</f>
        <v/>
      </c>
      <c r="I24">
        <f>IF(E24="","",IFERROR(VLOOKUP(E24,'Master Inventory'!$A:$N,10,FALSE),0))</f>
        <v/>
      </c>
      <c r="J24">
        <f>IF(E24="","",SUMIFS(Reservations!$G:$G,Reservations!$D:$D,A24,Reservations!$E:$E,E24,Reservations!$H:$H,"Active"))</f>
        <v/>
      </c>
      <c r="K24">
        <f>IF(E24="","",MAX(0,H24-I24-J24))</f>
        <v/>
      </c>
      <c r="L24">
        <f>IF(E24="","",IF(K24&gt;0,"SHORTAGE",IF(J24&gt;=H24,"RESERVED","READY TO RESERVE")))</f>
        <v/>
      </c>
    </row>
    <row r="25">
      <c r="A25">
        <f>IF('Job Cards'!$A$5="","",'Job Cards'!$A$5)</f>
        <v/>
      </c>
      <c r="B25">
        <f>IF(A25="","",'Job Cards'!$B$5)</f>
        <v/>
      </c>
      <c r="C25">
        <f>IF(A25="","",'Job Cards'!$D$5)</f>
        <v/>
      </c>
      <c r="D25">
        <f>IF(A25="","",'BOM Mapping'!$A$5)</f>
        <v/>
      </c>
      <c r="E25">
        <f>IF(C25="Longitude",'BOM Mapping'!$C$5,IF(C25="Latitude",'BOM Mapping'!$D$5,IF(C25="Altitude",'BOM Mapping'!$E$5,"")))</f>
        <v/>
      </c>
      <c r="F25">
        <f>IF(C25="Longitude",'BOM Mapping'!$J$5,IF(C25="Latitude",'BOM Mapping'!$K$5,IF(C25="Altitude",'BOM Mapping'!$L$5,0)))</f>
        <v/>
      </c>
      <c r="G25">
        <f>IF(A25="","",'Job Cards'!$E$5)</f>
        <v/>
      </c>
      <c r="H25">
        <f>IF(E25="","",F25*G25)</f>
        <v/>
      </c>
      <c r="I25">
        <f>IF(E25="","",IFERROR(VLOOKUP(E25,'Master Inventory'!$A:$N,10,FALSE),0))</f>
        <v/>
      </c>
      <c r="J25">
        <f>IF(E25="","",SUMIFS(Reservations!$G:$G,Reservations!$D:$D,A25,Reservations!$E:$E,E25,Reservations!$H:$H,"Active"))</f>
        <v/>
      </c>
      <c r="K25">
        <f>IF(E25="","",MAX(0,H25-I25-J25))</f>
        <v/>
      </c>
      <c r="L25">
        <f>IF(E25="","",IF(K25&gt;0,"SHORTAGE",IF(J25&gt;=H25,"RESERVED","READY TO RESERVE")))</f>
        <v/>
      </c>
    </row>
    <row r="26">
      <c r="A26">
        <f>IF('Job Cards'!$A$5="","",'Job Cards'!$A$5)</f>
        <v/>
      </c>
      <c r="B26">
        <f>IF(A26="","",'Job Cards'!$B$5)</f>
        <v/>
      </c>
      <c r="C26">
        <f>IF(A26="","",'Job Cards'!$D$5)</f>
        <v/>
      </c>
      <c r="D26">
        <f>IF(A26="","",'BOM Mapping'!$A$6)</f>
        <v/>
      </c>
      <c r="E26">
        <f>IF(C26="Longitude",'BOM Mapping'!$C$6,IF(C26="Latitude",'BOM Mapping'!$D$6,IF(C26="Altitude",'BOM Mapping'!$E$6,"")))</f>
        <v/>
      </c>
      <c r="F26">
        <f>IF(C26="Longitude",'BOM Mapping'!$J$6,IF(C26="Latitude",'BOM Mapping'!$K$6,IF(C26="Altitude",'BOM Mapping'!$L$6,0)))</f>
        <v/>
      </c>
      <c r="G26">
        <f>IF(A26="","",'Job Cards'!$E$5)</f>
        <v/>
      </c>
      <c r="H26">
        <f>IF(E26="","",F26*G26)</f>
        <v/>
      </c>
      <c r="I26">
        <f>IF(E26="","",IFERROR(VLOOKUP(E26,'Master Inventory'!$A:$N,10,FALSE),0))</f>
        <v/>
      </c>
      <c r="J26">
        <f>IF(E26="","",SUMIFS(Reservations!$G:$G,Reservations!$D:$D,A26,Reservations!$E:$E,E26,Reservations!$H:$H,"Active"))</f>
        <v/>
      </c>
      <c r="K26">
        <f>IF(E26="","",MAX(0,H26-I26-J26))</f>
        <v/>
      </c>
      <c r="L26">
        <f>IF(E26="","",IF(K26&gt;0,"SHORTAGE",IF(J26&gt;=H26,"RESERVED","READY TO RESERVE")))</f>
        <v/>
      </c>
    </row>
    <row r="27">
      <c r="A27">
        <f>IF('Job Cards'!$A$5="","",'Job Cards'!$A$5)</f>
        <v/>
      </c>
      <c r="B27">
        <f>IF(A27="","",'Job Cards'!$B$5)</f>
        <v/>
      </c>
      <c r="C27">
        <f>IF(A27="","",'Job Cards'!$D$5)</f>
        <v/>
      </c>
      <c r="D27">
        <f>IF(A27="","",'BOM Mapping'!$A$7)</f>
        <v/>
      </c>
      <c r="E27">
        <f>IF(C27="Longitude",'BOM Mapping'!$C$7,IF(C27="Latitude",'BOM Mapping'!$D$7,IF(C27="Altitude",'BOM Mapping'!$E$7,"")))</f>
        <v/>
      </c>
      <c r="F27">
        <f>IF(C27="Longitude",'BOM Mapping'!$J$7,IF(C27="Latitude",'BOM Mapping'!$K$7,IF(C27="Altitude",'BOM Mapping'!$L$7,0)))</f>
        <v/>
      </c>
      <c r="G27">
        <f>IF(A27="","",'Job Cards'!$E$5)</f>
        <v/>
      </c>
      <c r="H27">
        <f>IF(E27="","",F27*G27)</f>
        <v/>
      </c>
      <c r="I27">
        <f>IF(E27="","",IFERROR(VLOOKUP(E27,'Master Inventory'!$A:$N,10,FALSE),0))</f>
        <v/>
      </c>
      <c r="J27">
        <f>IF(E27="","",SUMIFS(Reservations!$G:$G,Reservations!$D:$D,A27,Reservations!$E:$E,E27,Reservations!$H:$H,"Active"))</f>
        <v/>
      </c>
      <c r="K27">
        <f>IF(E27="","",MAX(0,H27-I27-J27))</f>
        <v/>
      </c>
      <c r="L27">
        <f>IF(E27="","",IF(K27&gt;0,"SHORTAGE",IF(J27&gt;=H27,"RESERVED","READY TO RESERVE")))</f>
        <v/>
      </c>
    </row>
    <row r="28">
      <c r="A28">
        <f>IF('Job Cards'!$A$5="","",'Job Cards'!$A$5)</f>
        <v/>
      </c>
      <c r="B28">
        <f>IF(A28="","",'Job Cards'!$B$5)</f>
        <v/>
      </c>
      <c r="C28">
        <f>IF(A28="","",'Job Cards'!$D$5)</f>
        <v/>
      </c>
      <c r="D28">
        <f>IF(A28="","",'BOM Mapping'!$A$8)</f>
        <v/>
      </c>
      <c r="E28">
        <f>IF(C28="Longitude",'BOM Mapping'!$C$8,IF(C28="Latitude",'BOM Mapping'!$D$8,IF(C28="Altitude",'BOM Mapping'!$E$8,"")))</f>
        <v/>
      </c>
      <c r="F28">
        <f>IF(C28="Longitude",'BOM Mapping'!$J$8,IF(C28="Latitude",'BOM Mapping'!$K$8,IF(C28="Altitude",'BOM Mapping'!$L$8,0)))</f>
        <v/>
      </c>
      <c r="G28">
        <f>IF(A28="","",'Job Cards'!$E$5)</f>
        <v/>
      </c>
      <c r="H28">
        <f>IF(E28="","",F28*G28)</f>
        <v/>
      </c>
      <c r="I28">
        <f>IF(E28="","",IFERROR(VLOOKUP(E28,'Master Inventory'!$A:$N,10,FALSE),0))</f>
        <v/>
      </c>
      <c r="J28">
        <f>IF(E28="","",SUMIFS(Reservations!$G:$G,Reservations!$D:$D,A28,Reservations!$E:$E,E28,Reservations!$H:$H,"Active"))</f>
        <v/>
      </c>
      <c r="K28">
        <f>IF(E28="","",MAX(0,H28-I28-J28))</f>
        <v/>
      </c>
      <c r="L28">
        <f>IF(E28="","",IF(K28&gt;0,"SHORTAGE",IF(J28&gt;=H28,"RESERVED","READY TO RESERVE")))</f>
        <v/>
      </c>
    </row>
    <row r="29">
      <c r="A29">
        <f>IF('Job Cards'!$A$5="","",'Job Cards'!$A$5)</f>
        <v/>
      </c>
      <c r="B29">
        <f>IF(A29="","",'Job Cards'!$B$5)</f>
        <v/>
      </c>
      <c r="C29">
        <f>IF(A29="","",'Job Cards'!$D$5)</f>
        <v/>
      </c>
      <c r="D29">
        <f>IF(A29="","",'BOM Mapping'!$A$9)</f>
        <v/>
      </c>
      <c r="E29">
        <f>IF(C29="Longitude",'BOM Mapping'!$C$9,IF(C29="Latitude",'BOM Mapping'!$D$9,IF(C29="Altitude",'BOM Mapping'!$E$9,"")))</f>
        <v/>
      </c>
      <c r="F29">
        <f>IF(C29="Longitude",'BOM Mapping'!$J$9,IF(C29="Latitude",'BOM Mapping'!$K$9,IF(C29="Altitude",'BOM Mapping'!$L$9,0)))</f>
        <v/>
      </c>
      <c r="G29">
        <f>IF(A29="","",'Job Cards'!$E$5)</f>
        <v/>
      </c>
      <c r="H29">
        <f>IF(E29="","",F29*G29)</f>
        <v/>
      </c>
      <c r="I29">
        <f>IF(E29="","",IFERROR(VLOOKUP(E29,'Master Inventory'!$A:$N,10,FALSE),0))</f>
        <v/>
      </c>
      <c r="J29">
        <f>IF(E29="","",SUMIFS(Reservations!$G:$G,Reservations!$D:$D,A29,Reservations!$E:$E,E29,Reservations!$H:$H,"Active"))</f>
        <v/>
      </c>
      <c r="K29">
        <f>IF(E29="","",MAX(0,H29-I29-J29))</f>
        <v/>
      </c>
      <c r="L29">
        <f>IF(E29="","",IF(K29&gt;0,"SHORTAGE",IF(J29&gt;=H29,"RESERVED","READY TO RESERVE")))</f>
        <v/>
      </c>
    </row>
    <row r="30">
      <c r="A30">
        <f>IF('Job Cards'!$A$5="","",'Job Cards'!$A$5)</f>
        <v/>
      </c>
      <c r="B30">
        <f>IF(A30="","",'Job Cards'!$B$5)</f>
        <v/>
      </c>
      <c r="C30">
        <f>IF(A30="","",'Job Cards'!$D$5)</f>
        <v/>
      </c>
      <c r="D30">
        <f>IF(A30="","",'BOM Mapping'!$A$10)</f>
        <v/>
      </c>
      <c r="E30">
        <f>IF(C30="Longitude",'BOM Mapping'!$C$10,IF(C30="Latitude",'BOM Mapping'!$D$10,IF(C30="Altitude",'BOM Mapping'!$E$10,"")))</f>
        <v/>
      </c>
      <c r="F30">
        <f>IF(C30="Longitude",'BOM Mapping'!$J$10,IF(C30="Latitude",'BOM Mapping'!$K$10,IF(C30="Altitude",'BOM Mapping'!$L$10,0)))</f>
        <v/>
      </c>
      <c r="G30">
        <f>IF(A30="","",'Job Cards'!$E$5)</f>
        <v/>
      </c>
      <c r="H30">
        <f>IF(E30="","",F30*G30)</f>
        <v/>
      </c>
      <c r="I30">
        <f>IF(E30="","",IFERROR(VLOOKUP(E30,'Master Inventory'!$A:$N,10,FALSE),0))</f>
        <v/>
      </c>
      <c r="J30">
        <f>IF(E30="","",SUMIFS(Reservations!$G:$G,Reservations!$D:$D,A30,Reservations!$E:$E,E30,Reservations!$H:$H,"Active"))</f>
        <v/>
      </c>
      <c r="K30">
        <f>IF(E30="","",MAX(0,H30-I30-J30))</f>
        <v/>
      </c>
      <c r="L30">
        <f>IF(E30="","",IF(K30&gt;0,"SHORTAGE",IF(J30&gt;=H30,"RESERVED","READY TO RESERVE")))</f>
        <v/>
      </c>
    </row>
    <row r="31">
      <c r="A31">
        <f>IF('Job Cards'!$A$5="","",'Job Cards'!$A$5)</f>
        <v/>
      </c>
      <c r="B31">
        <f>IF(A31="","",'Job Cards'!$B$5)</f>
        <v/>
      </c>
      <c r="C31">
        <f>IF(A31="","",'Job Cards'!$D$5)</f>
        <v/>
      </c>
      <c r="D31">
        <f>IF(A31="","",'BOM Mapping'!$A$11)</f>
        <v/>
      </c>
      <c r="E31">
        <f>IF(C31="Longitude",'BOM Mapping'!$C$11,IF(C31="Latitude",'BOM Mapping'!$D$11,IF(C31="Altitude",'BOM Mapping'!$E$11,"")))</f>
        <v/>
      </c>
      <c r="F31">
        <f>IF(C31="Longitude",'BOM Mapping'!$J$11,IF(C31="Latitude",'BOM Mapping'!$K$11,IF(C31="Altitude",'BOM Mapping'!$L$11,0)))</f>
        <v/>
      </c>
      <c r="G31">
        <f>IF(A31="","",'Job Cards'!$E$5)</f>
        <v/>
      </c>
      <c r="H31">
        <f>IF(E31="","",F31*G31)</f>
        <v/>
      </c>
      <c r="I31">
        <f>IF(E31="","",IFERROR(VLOOKUP(E31,'Master Inventory'!$A:$N,10,FALSE),0))</f>
        <v/>
      </c>
      <c r="J31">
        <f>IF(E31="","",SUMIFS(Reservations!$G:$G,Reservations!$D:$D,A31,Reservations!$E:$E,E31,Reservations!$H:$H,"Active"))</f>
        <v/>
      </c>
      <c r="K31">
        <f>IF(E31="","",MAX(0,H31-I31-J31))</f>
        <v/>
      </c>
      <c r="L31">
        <f>IF(E31="","",IF(K31&gt;0,"SHORTAGE",IF(J31&gt;=H31,"RESERVED","READY TO RESERVE")))</f>
        <v/>
      </c>
    </row>
    <row r="32">
      <c r="A32">
        <f>IF('Job Cards'!$A$5="","",'Job Cards'!$A$5)</f>
        <v/>
      </c>
      <c r="B32">
        <f>IF(A32="","",'Job Cards'!$B$5)</f>
        <v/>
      </c>
      <c r="C32">
        <f>IF(A32="","",'Job Cards'!$D$5)</f>
        <v/>
      </c>
      <c r="D32">
        <f>IF(A32="","",'BOM Mapping'!$A$12)</f>
        <v/>
      </c>
      <c r="E32">
        <f>IF(C32="Longitude",'BOM Mapping'!$C$12,IF(C32="Latitude",'BOM Mapping'!$D$12,IF(C32="Altitude",'BOM Mapping'!$E$12,"")))</f>
        <v/>
      </c>
      <c r="F32">
        <f>IF(C32="Longitude",'BOM Mapping'!$J$12,IF(C32="Latitude",'BOM Mapping'!$K$12,IF(C32="Altitude",'BOM Mapping'!$L$12,0)))</f>
        <v/>
      </c>
      <c r="G32">
        <f>IF(A32="","",'Job Cards'!$E$5)</f>
        <v/>
      </c>
      <c r="H32">
        <f>IF(E32="","",F32*G32)</f>
        <v/>
      </c>
      <c r="I32">
        <f>IF(E32="","",IFERROR(VLOOKUP(E32,'Master Inventory'!$A:$N,10,FALSE),0))</f>
        <v/>
      </c>
      <c r="J32">
        <f>IF(E32="","",SUMIFS(Reservations!$G:$G,Reservations!$D:$D,A32,Reservations!$E:$E,E32,Reservations!$H:$H,"Active"))</f>
        <v/>
      </c>
      <c r="K32">
        <f>IF(E32="","",MAX(0,H32-I32-J32))</f>
        <v/>
      </c>
      <c r="L32">
        <f>IF(E32="","",IF(K32&gt;0,"SHORTAGE",IF(J32&gt;=H32,"RESERVED","READY TO RESERVE")))</f>
        <v/>
      </c>
    </row>
    <row r="33">
      <c r="A33">
        <f>IF('Job Cards'!$A$5="","",'Job Cards'!$A$5)</f>
        <v/>
      </c>
      <c r="B33">
        <f>IF(A33="","",'Job Cards'!$B$5)</f>
        <v/>
      </c>
      <c r="C33">
        <f>IF(A33="","",'Job Cards'!$D$5)</f>
        <v/>
      </c>
      <c r="D33">
        <f>IF(A33="","",'BOM Mapping'!$A$13)</f>
        <v/>
      </c>
      <c r="E33">
        <f>IF(C33="Longitude",'BOM Mapping'!$C$13,IF(C33="Latitude",'BOM Mapping'!$D$13,IF(C33="Altitude",'BOM Mapping'!$E$13,"")))</f>
        <v/>
      </c>
      <c r="F33">
        <f>IF(C33="Longitude",'BOM Mapping'!$J$13,IF(C33="Latitude",'BOM Mapping'!$K$13,IF(C33="Altitude",'BOM Mapping'!$L$13,0)))</f>
        <v/>
      </c>
      <c r="G33">
        <f>IF(A33="","",'Job Cards'!$E$5)</f>
        <v/>
      </c>
      <c r="H33">
        <f>IF(E33="","",F33*G33)</f>
        <v/>
      </c>
      <c r="I33">
        <f>IF(E33="","",IFERROR(VLOOKUP(E33,'Master Inventory'!$A:$N,10,FALSE),0))</f>
        <v/>
      </c>
      <c r="J33">
        <f>IF(E33="","",SUMIFS(Reservations!$G:$G,Reservations!$D:$D,A33,Reservations!$E:$E,E33,Reservations!$H:$H,"Active"))</f>
        <v/>
      </c>
      <c r="K33">
        <f>IF(E33="","",MAX(0,H33-I33-J33))</f>
        <v/>
      </c>
      <c r="L33">
        <f>IF(E33="","",IF(K33&gt;0,"SHORTAGE",IF(J33&gt;=H33,"RESERVED","READY TO RESERVE")))</f>
        <v/>
      </c>
    </row>
    <row r="34">
      <c r="A34">
        <f>IF('Job Cards'!$A$5="","",'Job Cards'!$A$5)</f>
        <v/>
      </c>
      <c r="B34">
        <f>IF(A34="","",'Job Cards'!$B$5)</f>
        <v/>
      </c>
      <c r="C34">
        <f>IF(A34="","",'Job Cards'!$D$5)</f>
        <v/>
      </c>
      <c r="D34">
        <f>IF(A34="","",'BOM Mapping'!$A$14)</f>
        <v/>
      </c>
      <c r="E34">
        <f>IF(C34="Longitude",'BOM Mapping'!$C$14,IF(C34="Latitude",'BOM Mapping'!$D$14,IF(C34="Altitude",'BOM Mapping'!$E$14,"")))</f>
        <v/>
      </c>
      <c r="F34">
        <f>IF(C34="Longitude",'BOM Mapping'!$J$14,IF(C34="Latitude",'BOM Mapping'!$K$14,IF(C34="Altitude",'BOM Mapping'!$L$14,0)))</f>
        <v/>
      </c>
      <c r="G34">
        <f>IF(A34="","",'Job Cards'!$E$5)</f>
        <v/>
      </c>
      <c r="H34">
        <f>IF(E34="","",F34*G34)</f>
        <v/>
      </c>
      <c r="I34">
        <f>IF(E34="","",IFERROR(VLOOKUP(E34,'Master Inventory'!$A:$N,10,FALSE),0))</f>
        <v/>
      </c>
      <c r="J34">
        <f>IF(E34="","",SUMIFS(Reservations!$G:$G,Reservations!$D:$D,A34,Reservations!$E:$E,E34,Reservations!$H:$H,"Active"))</f>
        <v/>
      </c>
      <c r="K34">
        <f>IF(E34="","",MAX(0,H34-I34-J34))</f>
        <v/>
      </c>
      <c r="L34">
        <f>IF(E34="","",IF(K34&gt;0,"SHORTAGE",IF(J34&gt;=H34,"RESERVED","READY TO RESERVE")))</f>
        <v/>
      </c>
    </row>
    <row r="35">
      <c r="A35">
        <f>IF('Job Cards'!$A$5="","",'Job Cards'!$A$5)</f>
        <v/>
      </c>
      <c r="B35">
        <f>IF(A35="","",'Job Cards'!$B$5)</f>
        <v/>
      </c>
      <c r="C35">
        <f>IF(A35="","",'Job Cards'!$D$5)</f>
        <v/>
      </c>
      <c r="D35">
        <f>IF(A35="","",'BOM Mapping'!$A$15)</f>
        <v/>
      </c>
      <c r="E35">
        <f>IF(C35="Longitude",'BOM Mapping'!$C$15,IF(C35="Latitude",'BOM Mapping'!$D$15,IF(C35="Altitude",'BOM Mapping'!$E$15,"")))</f>
        <v/>
      </c>
      <c r="F35">
        <f>IF(C35="Longitude",'BOM Mapping'!$J$15,IF(C35="Latitude",'BOM Mapping'!$K$15,IF(C35="Altitude",'BOM Mapping'!$L$15,0)))</f>
        <v/>
      </c>
      <c r="G35">
        <f>IF(A35="","",'Job Cards'!$E$5)</f>
        <v/>
      </c>
      <c r="H35">
        <f>IF(E35="","",F35*G35)</f>
        <v/>
      </c>
      <c r="I35">
        <f>IF(E35="","",IFERROR(VLOOKUP(E35,'Master Inventory'!$A:$N,10,FALSE),0))</f>
        <v/>
      </c>
      <c r="J35">
        <f>IF(E35="","",SUMIFS(Reservations!$G:$G,Reservations!$D:$D,A35,Reservations!$E:$E,E35,Reservations!$H:$H,"Active"))</f>
        <v/>
      </c>
      <c r="K35">
        <f>IF(E35="","",MAX(0,H35-I35-J35))</f>
        <v/>
      </c>
      <c r="L35">
        <f>IF(E35="","",IF(K35&gt;0,"SHORTAGE",IF(J35&gt;=H35,"RESERVED","READY TO RESERVE")))</f>
        <v/>
      </c>
    </row>
    <row r="36">
      <c r="A36">
        <f>IF('Job Cards'!$A$5="","",'Job Cards'!$A$5)</f>
        <v/>
      </c>
      <c r="B36">
        <f>IF(A36="","",'Job Cards'!$B$5)</f>
        <v/>
      </c>
      <c r="C36">
        <f>IF(A36="","",'Job Cards'!$D$5)</f>
        <v/>
      </c>
      <c r="D36">
        <f>IF(A36="","",'BOM Mapping'!$A$16)</f>
        <v/>
      </c>
      <c r="E36">
        <f>IF(C36="Longitude",'BOM Mapping'!$C$16,IF(C36="Latitude",'BOM Mapping'!$D$16,IF(C36="Altitude",'BOM Mapping'!$E$16,"")))</f>
        <v/>
      </c>
      <c r="F36">
        <f>IF(C36="Longitude",'BOM Mapping'!$J$16,IF(C36="Latitude",'BOM Mapping'!$K$16,IF(C36="Altitude",'BOM Mapping'!$L$16,0)))</f>
        <v/>
      </c>
      <c r="G36">
        <f>IF(A36="","",'Job Cards'!$E$5)</f>
        <v/>
      </c>
      <c r="H36">
        <f>IF(E36="","",F36*G36)</f>
        <v/>
      </c>
      <c r="I36">
        <f>IF(E36="","",IFERROR(VLOOKUP(E36,'Master Inventory'!$A:$N,10,FALSE),0))</f>
        <v/>
      </c>
      <c r="J36">
        <f>IF(E36="","",SUMIFS(Reservations!$G:$G,Reservations!$D:$D,A36,Reservations!$E:$E,E36,Reservations!$H:$H,"Active"))</f>
        <v/>
      </c>
      <c r="K36">
        <f>IF(E36="","",MAX(0,H36-I36-J36))</f>
        <v/>
      </c>
      <c r="L36">
        <f>IF(E36="","",IF(K36&gt;0,"SHORTAGE",IF(J36&gt;=H36,"RESERVED","READY TO RESERVE")))</f>
        <v/>
      </c>
    </row>
    <row r="37">
      <c r="A37">
        <f>IF('Job Cards'!$A$5="","",'Job Cards'!$A$5)</f>
        <v/>
      </c>
      <c r="B37">
        <f>IF(A37="","",'Job Cards'!$B$5)</f>
        <v/>
      </c>
      <c r="C37">
        <f>IF(A37="","",'Job Cards'!$D$5)</f>
        <v/>
      </c>
      <c r="D37">
        <f>IF(A37="","",'BOM Mapping'!$A$17)</f>
        <v/>
      </c>
      <c r="E37">
        <f>IF(C37="Longitude",'BOM Mapping'!$C$17,IF(C37="Latitude",'BOM Mapping'!$D$17,IF(C37="Altitude",'BOM Mapping'!$E$17,"")))</f>
        <v/>
      </c>
      <c r="F37">
        <f>IF(C37="Longitude",'BOM Mapping'!$J$17,IF(C37="Latitude",'BOM Mapping'!$K$17,IF(C37="Altitude",'BOM Mapping'!$L$17,0)))</f>
        <v/>
      </c>
      <c r="G37">
        <f>IF(A37="","",'Job Cards'!$E$5)</f>
        <v/>
      </c>
      <c r="H37">
        <f>IF(E37="","",F37*G37)</f>
        <v/>
      </c>
      <c r="I37">
        <f>IF(E37="","",IFERROR(VLOOKUP(E37,'Master Inventory'!$A:$N,10,FALSE),0))</f>
        <v/>
      </c>
      <c r="J37">
        <f>IF(E37="","",SUMIFS(Reservations!$G:$G,Reservations!$D:$D,A37,Reservations!$E:$E,E37,Reservations!$H:$H,"Active"))</f>
        <v/>
      </c>
      <c r="K37">
        <f>IF(E37="","",MAX(0,H37-I37-J37))</f>
        <v/>
      </c>
      <c r="L37">
        <f>IF(E37="","",IF(K37&gt;0,"SHORTAGE",IF(J37&gt;=H37,"RESERVED","READY TO RESERVE")))</f>
        <v/>
      </c>
    </row>
    <row r="38">
      <c r="A38">
        <f>IF('Job Cards'!$A$5="","",'Job Cards'!$A$5)</f>
        <v/>
      </c>
      <c r="B38">
        <f>IF(A38="","",'Job Cards'!$B$5)</f>
        <v/>
      </c>
      <c r="C38">
        <f>IF(A38="","",'Job Cards'!$D$5)</f>
        <v/>
      </c>
      <c r="D38">
        <f>IF(A38="","",'BOM Mapping'!$A$18)</f>
        <v/>
      </c>
      <c r="E38">
        <f>IF(C38="Longitude",'BOM Mapping'!$C$18,IF(C38="Latitude",'BOM Mapping'!$D$18,IF(C38="Altitude",'BOM Mapping'!$E$18,"")))</f>
        <v/>
      </c>
      <c r="F38">
        <f>IF(C38="Longitude",'BOM Mapping'!$J$18,IF(C38="Latitude",'BOM Mapping'!$K$18,IF(C38="Altitude",'BOM Mapping'!$L$18,0)))</f>
        <v/>
      </c>
      <c r="G38">
        <f>IF(A38="","",'Job Cards'!$E$5)</f>
        <v/>
      </c>
      <c r="H38">
        <f>IF(E38="","",F38*G38)</f>
        <v/>
      </c>
      <c r="I38">
        <f>IF(E38="","",IFERROR(VLOOKUP(E38,'Master Inventory'!$A:$N,10,FALSE),0))</f>
        <v/>
      </c>
      <c r="J38">
        <f>IF(E38="","",SUMIFS(Reservations!$G:$G,Reservations!$D:$D,A38,Reservations!$E:$E,E38,Reservations!$H:$H,"Active"))</f>
        <v/>
      </c>
      <c r="K38">
        <f>IF(E38="","",MAX(0,H38-I38-J38))</f>
        <v/>
      </c>
      <c r="L38">
        <f>IF(E38="","",IF(K38&gt;0,"SHORTAGE",IF(J38&gt;=H38,"RESERVED","READY TO RESERVE")))</f>
        <v/>
      </c>
    </row>
    <row r="39">
      <c r="A39">
        <f>IF('Job Cards'!$A$5="","",'Job Cards'!$A$5)</f>
        <v/>
      </c>
      <c r="B39">
        <f>IF(A39="","",'Job Cards'!$B$5)</f>
        <v/>
      </c>
      <c r="C39">
        <f>IF(A39="","",'Job Cards'!$D$5)</f>
        <v/>
      </c>
      <c r="D39">
        <f>IF(A39="","",'BOM Mapping'!$A$19)</f>
        <v/>
      </c>
      <c r="E39">
        <f>IF(C39="Longitude",'BOM Mapping'!$C$19,IF(C39="Latitude",'BOM Mapping'!$D$19,IF(C39="Altitude",'BOM Mapping'!$E$19,"")))</f>
        <v/>
      </c>
      <c r="F39">
        <f>IF(C39="Longitude",'BOM Mapping'!$J$19,IF(C39="Latitude",'BOM Mapping'!$K$19,IF(C39="Altitude",'BOM Mapping'!$L$19,0)))</f>
        <v/>
      </c>
      <c r="G39">
        <f>IF(A39="","",'Job Cards'!$E$5)</f>
        <v/>
      </c>
      <c r="H39">
        <f>IF(E39="","",F39*G39)</f>
        <v/>
      </c>
      <c r="I39">
        <f>IF(E39="","",IFERROR(VLOOKUP(E39,'Master Inventory'!$A:$N,10,FALSE),0))</f>
        <v/>
      </c>
      <c r="J39">
        <f>IF(E39="","",SUMIFS(Reservations!$G:$G,Reservations!$D:$D,A39,Reservations!$E:$E,E39,Reservations!$H:$H,"Active"))</f>
        <v/>
      </c>
      <c r="K39">
        <f>IF(E39="","",MAX(0,H39-I39-J39))</f>
        <v/>
      </c>
      <c r="L39">
        <f>IF(E39="","",IF(K39&gt;0,"SHORTAGE",IF(J39&gt;=H39,"RESERVED","READY TO RESERVE")))</f>
        <v/>
      </c>
    </row>
    <row r="40">
      <c r="A40">
        <f>IF('Job Cards'!$A$5="","",'Job Cards'!$A$5)</f>
        <v/>
      </c>
      <c r="B40">
        <f>IF(A40="","",'Job Cards'!$B$5)</f>
        <v/>
      </c>
      <c r="C40">
        <f>IF(A40="","",'Job Cards'!$D$5)</f>
        <v/>
      </c>
      <c r="D40">
        <f>IF(A40="","",'BOM Mapping'!$A$20)</f>
        <v/>
      </c>
      <c r="E40">
        <f>IF(C40="Longitude",'BOM Mapping'!$C$20,IF(C40="Latitude",'BOM Mapping'!$D$20,IF(C40="Altitude",'BOM Mapping'!$E$20,"")))</f>
        <v/>
      </c>
      <c r="F40">
        <f>IF(C40="Longitude",'BOM Mapping'!$J$20,IF(C40="Latitude",'BOM Mapping'!$K$20,IF(C40="Altitude",'BOM Mapping'!$L$20,0)))</f>
        <v/>
      </c>
      <c r="G40">
        <f>IF(A40="","",'Job Cards'!$E$5)</f>
        <v/>
      </c>
      <c r="H40">
        <f>IF(E40="","",F40*G40)</f>
        <v/>
      </c>
      <c r="I40">
        <f>IF(E40="","",IFERROR(VLOOKUP(E40,'Master Inventory'!$A:$N,10,FALSE),0))</f>
        <v/>
      </c>
      <c r="J40">
        <f>IF(E40="","",SUMIFS(Reservations!$G:$G,Reservations!$D:$D,A40,Reservations!$E:$E,E40,Reservations!$H:$H,"Active"))</f>
        <v/>
      </c>
      <c r="K40">
        <f>IF(E40="","",MAX(0,H40-I40-J40))</f>
        <v/>
      </c>
      <c r="L40">
        <f>IF(E40="","",IF(K40&gt;0,"SHORTAGE",IF(J40&gt;=H40,"RESERVED","READY TO RESERVE")))</f>
        <v/>
      </c>
    </row>
    <row r="41">
      <c r="A41">
        <f>IF('Job Cards'!$A$5="","",'Job Cards'!$A$5)</f>
        <v/>
      </c>
      <c r="B41">
        <f>IF(A41="","",'Job Cards'!$B$5)</f>
        <v/>
      </c>
      <c r="C41">
        <f>IF(A41="","",'Job Cards'!$D$5)</f>
        <v/>
      </c>
      <c r="D41">
        <f>IF(A41="","",'BOM Mapping'!$A$21)</f>
        <v/>
      </c>
      <c r="E41">
        <f>IF(C41="Longitude",'BOM Mapping'!$C$21,IF(C41="Latitude",'BOM Mapping'!$D$21,IF(C41="Altitude",'BOM Mapping'!$E$21,"")))</f>
        <v/>
      </c>
      <c r="F41">
        <f>IF(C41="Longitude",'BOM Mapping'!$J$21,IF(C41="Latitude",'BOM Mapping'!$K$21,IF(C41="Altitude",'BOM Mapping'!$L$21,0)))</f>
        <v/>
      </c>
      <c r="G41">
        <f>IF(A41="","",'Job Cards'!$E$5)</f>
        <v/>
      </c>
      <c r="H41">
        <f>IF(E41="","",F41*G41)</f>
        <v/>
      </c>
      <c r="I41">
        <f>IF(E41="","",IFERROR(VLOOKUP(E41,'Master Inventory'!$A:$N,10,FALSE),0))</f>
        <v/>
      </c>
      <c r="J41">
        <f>IF(E41="","",SUMIFS(Reservations!$G:$G,Reservations!$D:$D,A41,Reservations!$E:$E,E41,Reservations!$H:$H,"Active"))</f>
        <v/>
      </c>
      <c r="K41">
        <f>IF(E41="","",MAX(0,H41-I41-J41))</f>
        <v/>
      </c>
      <c r="L41">
        <f>IF(E41="","",IF(K41&gt;0,"SHORTAGE",IF(J41&gt;=H41,"RESERVED","READY TO RESERVE")))</f>
        <v/>
      </c>
    </row>
    <row r="42">
      <c r="A42">
        <f>IF('Job Cards'!$A$5="","",'Job Cards'!$A$5)</f>
        <v/>
      </c>
      <c r="B42">
        <f>IF(A42="","",'Job Cards'!$B$5)</f>
        <v/>
      </c>
      <c r="C42">
        <f>IF(A42="","",'Job Cards'!$D$5)</f>
        <v/>
      </c>
      <c r="D42">
        <f>IF(A42="","",'BOM Mapping'!$A$22)</f>
        <v/>
      </c>
      <c r="E42">
        <f>IF(C42="Longitude",'BOM Mapping'!$C$22,IF(C42="Latitude",'BOM Mapping'!$D$22,IF(C42="Altitude",'BOM Mapping'!$E$22,"")))</f>
        <v/>
      </c>
      <c r="F42">
        <f>IF(C42="Longitude",'BOM Mapping'!$J$22,IF(C42="Latitude",'BOM Mapping'!$K$22,IF(C42="Altitude",'BOM Mapping'!$L$22,0)))</f>
        <v/>
      </c>
      <c r="G42">
        <f>IF(A42="","",'Job Cards'!$E$5)</f>
        <v/>
      </c>
      <c r="H42">
        <f>IF(E42="","",F42*G42)</f>
        <v/>
      </c>
      <c r="I42">
        <f>IF(E42="","",IFERROR(VLOOKUP(E42,'Master Inventory'!$A:$N,10,FALSE),0))</f>
        <v/>
      </c>
      <c r="J42">
        <f>IF(E42="","",SUMIFS(Reservations!$G:$G,Reservations!$D:$D,A42,Reservations!$E:$E,E42,Reservations!$H:$H,"Active"))</f>
        <v/>
      </c>
      <c r="K42">
        <f>IF(E42="","",MAX(0,H42-I42-J42))</f>
        <v/>
      </c>
      <c r="L42">
        <f>IF(E42="","",IF(K42&gt;0,"SHORTAGE",IF(J42&gt;=H42,"RESERVED","READY TO RESERVE")))</f>
        <v/>
      </c>
    </row>
    <row r="43">
      <c r="A43">
        <f>IF('Job Cards'!$A$5="","",'Job Cards'!$A$5)</f>
        <v/>
      </c>
      <c r="B43">
        <f>IF(A43="","",'Job Cards'!$B$5)</f>
        <v/>
      </c>
      <c r="C43">
        <f>IF(A43="","",'Job Cards'!$D$5)</f>
        <v/>
      </c>
      <c r="D43">
        <f>IF(A43="","",'BOM Mapping'!$A$23)</f>
        <v/>
      </c>
      <c r="E43">
        <f>IF(C43="Longitude",'BOM Mapping'!$C$23,IF(C43="Latitude",'BOM Mapping'!$D$23,IF(C43="Altitude",'BOM Mapping'!$E$23,"")))</f>
        <v/>
      </c>
      <c r="F43">
        <f>IF(C43="Longitude",'BOM Mapping'!$J$23,IF(C43="Latitude",'BOM Mapping'!$K$23,IF(C43="Altitude",'BOM Mapping'!$L$23,0)))</f>
        <v/>
      </c>
      <c r="G43">
        <f>IF(A43="","",'Job Cards'!$E$5)</f>
        <v/>
      </c>
      <c r="H43">
        <f>IF(E43="","",F43*G43)</f>
        <v/>
      </c>
      <c r="I43">
        <f>IF(E43="","",IFERROR(VLOOKUP(E43,'Master Inventory'!$A:$N,10,FALSE),0))</f>
        <v/>
      </c>
      <c r="J43">
        <f>IF(E43="","",SUMIFS(Reservations!$G:$G,Reservations!$D:$D,A43,Reservations!$E:$E,E43,Reservations!$H:$H,"Active"))</f>
        <v/>
      </c>
      <c r="K43">
        <f>IF(E43="","",MAX(0,H43-I43-J43))</f>
        <v/>
      </c>
      <c r="L43">
        <f>IF(E43="","",IF(K43&gt;0,"SHORTAGE",IF(J43&gt;=H43,"RESERVED","READY TO RESERVE")))</f>
        <v/>
      </c>
    </row>
    <row r="44">
      <c r="A44">
        <f>IF('Job Cards'!$A$6="","",'Job Cards'!$A$6)</f>
        <v/>
      </c>
      <c r="B44">
        <f>IF(A44="","",'Job Cards'!$B$6)</f>
        <v/>
      </c>
      <c r="C44">
        <f>IF(A44="","",'Job Cards'!$D$6)</f>
        <v/>
      </c>
      <c r="D44">
        <f>IF(A44="","",'BOM Mapping'!$A$4)</f>
        <v/>
      </c>
      <c r="E44">
        <f>IF(C44="Longitude",'BOM Mapping'!$C$4,IF(C44="Latitude",'BOM Mapping'!$D$4,IF(C44="Altitude",'BOM Mapping'!$E$4,"")))</f>
        <v/>
      </c>
      <c r="F44">
        <f>IF(C44="Longitude",'BOM Mapping'!$J$4,IF(C44="Latitude",'BOM Mapping'!$K$4,IF(C44="Altitude",'BOM Mapping'!$L$4,0)))</f>
        <v/>
      </c>
      <c r="G44">
        <f>IF(A44="","",'Job Cards'!$E$6)</f>
        <v/>
      </c>
      <c r="H44">
        <f>IF(E44="","",F44*G44)</f>
        <v/>
      </c>
      <c r="I44">
        <f>IF(E44="","",IFERROR(VLOOKUP(E44,'Master Inventory'!$A:$N,10,FALSE),0))</f>
        <v/>
      </c>
      <c r="J44">
        <f>IF(E44="","",SUMIFS(Reservations!$G:$G,Reservations!$D:$D,A44,Reservations!$E:$E,E44,Reservations!$H:$H,"Active"))</f>
        <v/>
      </c>
      <c r="K44">
        <f>IF(E44="","",MAX(0,H44-I44-J44))</f>
        <v/>
      </c>
      <c r="L44">
        <f>IF(E44="","",IF(K44&gt;0,"SHORTAGE",IF(J44&gt;=H44,"RESERVED","READY TO RESERVE")))</f>
        <v/>
      </c>
    </row>
    <row r="45">
      <c r="A45">
        <f>IF('Job Cards'!$A$6="","",'Job Cards'!$A$6)</f>
        <v/>
      </c>
      <c r="B45">
        <f>IF(A45="","",'Job Cards'!$B$6)</f>
        <v/>
      </c>
      <c r="C45">
        <f>IF(A45="","",'Job Cards'!$D$6)</f>
        <v/>
      </c>
      <c r="D45">
        <f>IF(A45="","",'BOM Mapping'!$A$5)</f>
        <v/>
      </c>
      <c r="E45">
        <f>IF(C45="Longitude",'BOM Mapping'!$C$5,IF(C45="Latitude",'BOM Mapping'!$D$5,IF(C45="Altitude",'BOM Mapping'!$E$5,"")))</f>
        <v/>
      </c>
      <c r="F45">
        <f>IF(C45="Longitude",'BOM Mapping'!$J$5,IF(C45="Latitude",'BOM Mapping'!$K$5,IF(C45="Altitude",'BOM Mapping'!$L$5,0)))</f>
        <v/>
      </c>
      <c r="G45">
        <f>IF(A45="","",'Job Cards'!$E$6)</f>
        <v/>
      </c>
      <c r="H45">
        <f>IF(E45="","",F45*G45)</f>
        <v/>
      </c>
      <c r="I45">
        <f>IF(E45="","",IFERROR(VLOOKUP(E45,'Master Inventory'!$A:$N,10,FALSE),0))</f>
        <v/>
      </c>
      <c r="J45">
        <f>IF(E45="","",SUMIFS(Reservations!$G:$G,Reservations!$D:$D,A45,Reservations!$E:$E,E45,Reservations!$H:$H,"Active"))</f>
        <v/>
      </c>
      <c r="K45">
        <f>IF(E45="","",MAX(0,H45-I45-J45))</f>
        <v/>
      </c>
      <c r="L45">
        <f>IF(E45="","",IF(K45&gt;0,"SHORTAGE",IF(J45&gt;=H45,"RESERVED","READY TO RESERVE")))</f>
        <v/>
      </c>
    </row>
    <row r="46">
      <c r="A46">
        <f>IF('Job Cards'!$A$6="","",'Job Cards'!$A$6)</f>
        <v/>
      </c>
      <c r="B46">
        <f>IF(A46="","",'Job Cards'!$B$6)</f>
        <v/>
      </c>
      <c r="C46">
        <f>IF(A46="","",'Job Cards'!$D$6)</f>
        <v/>
      </c>
      <c r="D46">
        <f>IF(A46="","",'BOM Mapping'!$A$6)</f>
        <v/>
      </c>
      <c r="E46">
        <f>IF(C46="Longitude",'BOM Mapping'!$C$6,IF(C46="Latitude",'BOM Mapping'!$D$6,IF(C46="Altitude",'BOM Mapping'!$E$6,"")))</f>
        <v/>
      </c>
      <c r="F46">
        <f>IF(C46="Longitude",'BOM Mapping'!$J$6,IF(C46="Latitude",'BOM Mapping'!$K$6,IF(C46="Altitude",'BOM Mapping'!$L$6,0)))</f>
        <v/>
      </c>
      <c r="G46">
        <f>IF(A46="","",'Job Cards'!$E$6)</f>
        <v/>
      </c>
      <c r="H46">
        <f>IF(E46="","",F46*G46)</f>
        <v/>
      </c>
      <c r="I46">
        <f>IF(E46="","",IFERROR(VLOOKUP(E46,'Master Inventory'!$A:$N,10,FALSE),0))</f>
        <v/>
      </c>
      <c r="J46">
        <f>IF(E46="","",SUMIFS(Reservations!$G:$G,Reservations!$D:$D,A46,Reservations!$E:$E,E46,Reservations!$H:$H,"Active"))</f>
        <v/>
      </c>
      <c r="K46">
        <f>IF(E46="","",MAX(0,H46-I46-J46))</f>
        <v/>
      </c>
      <c r="L46">
        <f>IF(E46="","",IF(K46&gt;0,"SHORTAGE",IF(J46&gt;=H46,"RESERVED","READY TO RESERVE")))</f>
        <v/>
      </c>
    </row>
    <row r="47">
      <c r="A47">
        <f>IF('Job Cards'!$A$6="","",'Job Cards'!$A$6)</f>
        <v/>
      </c>
      <c r="B47">
        <f>IF(A47="","",'Job Cards'!$B$6)</f>
        <v/>
      </c>
      <c r="C47">
        <f>IF(A47="","",'Job Cards'!$D$6)</f>
        <v/>
      </c>
      <c r="D47">
        <f>IF(A47="","",'BOM Mapping'!$A$7)</f>
        <v/>
      </c>
      <c r="E47">
        <f>IF(C47="Longitude",'BOM Mapping'!$C$7,IF(C47="Latitude",'BOM Mapping'!$D$7,IF(C47="Altitude",'BOM Mapping'!$E$7,"")))</f>
        <v/>
      </c>
      <c r="F47">
        <f>IF(C47="Longitude",'BOM Mapping'!$J$7,IF(C47="Latitude",'BOM Mapping'!$K$7,IF(C47="Altitude",'BOM Mapping'!$L$7,0)))</f>
        <v/>
      </c>
      <c r="G47">
        <f>IF(A47="","",'Job Cards'!$E$6)</f>
        <v/>
      </c>
      <c r="H47">
        <f>IF(E47="","",F47*G47)</f>
        <v/>
      </c>
      <c r="I47">
        <f>IF(E47="","",IFERROR(VLOOKUP(E47,'Master Inventory'!$A:$N,10,FALSE),0))</f>
        <v/>
      </c>
      <c r="J47">
        <f>IF(E47="","",SUMIFS(Reservations!$G:$G,Reservations!$D:$D,A47,Reservations!$E:$E,E47,Reservations!$H:$H,"Active"))</f>
        <v/>
      </c>
      <c r="K47">
        <f>IF(E47="","",MAX(0,H47-I47-J47))</f>
        <v/>
      </c>
      <c r="L47">
        <f>IF(E47="","",IF(K47&gt;0,"SHORTAGE",IF(J47&gt;=H47,"RESERVED","READY TO RESERVE")))</f>
        <v/>
      </c>
    </row>
    <row r="48">
      <c r="A48">
        <f>IF('Job Cards'!$A$6="","",'Job Cards'!$A$6)</f>
        <v/>
      </c>
      <c r="B48">
        <f>IF(A48="","",'Job Cards'!$B$6)</f>
        <v/>
      </c>
      <c r="C48">
        <f>IF(A48="","",'Job Cards'!$D$6)</f>
        <v/>
      </c>
      <c r="D48">
        <f>IF(A48="","",'BOM Mapping'!$A$8)</f>
        <v/>
      </c>
      <c r="E48">
        <f>IF(C48="Longitude",'BOM Mapping'!$C$8,IF(C48="Latitude",'BOM Mapping'!$D$8,IF(C48="Altitude",'BOM Mapping'!$E$8,"")))</f>
        <v/>
      </c>
      <c r="F48">
        <f>IF(C48="Longitude",'BOM Mapping'!$J$8,IF(C48="Latitude",'BOM Mapping'!$K$8,IF(C48="Altitude",'BOM Mapping'!$L$8,0)))</f>
        <v/>
      </c>
      <c r="G48">
        <f>IF(A48="","",'Job Cards'!$E$6)</f>
        <v/>
      </c>
      <c r="H48">
        <f>IF(E48="","",F48*G48)</f>
        <v/>
      </c>
      <c r="I48">
        <f>IF(E48="","",IFERROR(VLOOKUP(E48,'Master Inventory'!$A:$N,10,FALSE),0))</f>
        <v/>
      </c>
      <c r="J48">
        <f>IF(E48="","",SUMIFS(Reservations!$G:$G,Reservations!$D:$D,A48,Reservations!$E:$E,E48,Reservations!$H:$H,"Active"))</f>
        <v/>
      </c>
      <c r="K48">
        <f>IF(E48="","",MAX(0,H48-I48-J48))</f>
        <v/>
      </c>
      <c r="L48">
        <f>IF(E48="","",IF(K48&gt;0,"SHORTAGE",IF(J48&gt;=H48,"RESERVED","READY TO RESERVE")))</f>
        <v/>
      </c>
    </row>
    <row r="49">
      <c r="A49">
        <f>IF('Job Cards'!$A$6="","",'Job Cards'!$A$6)</f>
        <v/>
      </c>
      <c r="B49">
        <f>IF(A49="","",'Job Cards'!$B$6)</f>
        <v/>
      </c>
      <c r="C49">
        <f>IF(A49="","",'Job Cards'!$D$6)</f>
        <v/>
      </c>
      <c r="D49">
        <f>IF(A49="","",'BOM Mapping'!$A$9)</f>
        <v/>
      </c>
      <c r="E49">
        <f>IF(C49="Longitude",'BOM Mapping'!$C$9,IF(C49="Latitude",'BOM Mapping'!$D$9,IF(C49="Altitude",'BOM Mapping'!$E$9,"")))</f>
        <v/>
      </c>
      <c r="F49">
        <f>IF(C49="Longitude",'BOM Mapping'!$J$9,IF(C49="Latitude",'BOM Mapping'!$K$9,IF(C49="Altitude",'BOM Mapping'!$L$9,0)))</f>
        <v/>
      </c>
      <c r="G49">
        <f>IF(A49="","",'Job Cards'!$E$6)</f>
        <v/>
      </c>
      <c r="H49">
        <f>IF(E49="","",F49*G49)</f>
        <v/>
      </c>
      <c r="I49">
        <f>IF(E49="","",IFERROR(VLOOKUP(E49,'Master Inventory'!$A:$N,10,FALSE),0))</f>
        <v/>
      </c>
      <c r="J49">
        <f>IF(E49="","",SUMIFS(Reservations!$G:$G,Reservations!$D:$D,A49,Reservations!$E:$E,E49,Reservations!$H:$H,"Active"))</f>
        <v/>
      </c>
      <c r="K49">
        <f>IF(E49="","",MAX(0,H49-I49-J49))</f>
        <v/>
      </c>
      <c r="L49">
        <f>IF(E49="","",IF(K49&gt;0,"SHORTAGE",IF(J49&gt;=H49,"RESERVED","READY TO RESERVE")))</f>
        <v/>
      </c>
    </row>
    <row r="50">
      <c r="A50">
        <f>IF('Job Cards'!$A$6="","",'Job Cards'!$A$6)</f>
        <v/>
      </c>
      <c r="B50">
        <f>IF(A50="","",'Job Cards'!$B$6)</f>
        <v/>
      </c>
      <c r="C50">
        <f>IF(A50="","",'Job Cards'!$D$6)</f>
        <v/>
      </c>
      <c r="D50">
        <f>IF(A50="","",'BOM Mapping'!$A$10)</f>
        <v/>
      </c>
      <c r="E50">
        <f>IF(C50="Longitude",'BOM Mapping'!$C$10,IF(C50="Latitude",'BOM Mapping'!$D$10,IF(C50="Altitude",'BOM Mapping'!$E$10,"")))</f>
        <v/>
      </c>
      <c r="F50">
        <f>IF(C50="Longitude",'BOM Mapping'!$J$10,IF(C50="Latitude",'BOM Mapping'!$K$10,IF(C50="Altitude",'BOM Mapping'!$L$10,0)))</f>
        <v/>
      </c>
      <c r="G50">
        <f>IF(A50="","",'Job Cards'!$E$6)</f>
        <v/>
      </c>
      <c r="H50">
        <f>IF(E50="","",F50*G50)</f>
        <v/>
      </c>
      <c r="I50">
        <f>IF(E50="","",IFERROR(VLOOKUP(E50,'Master Inventory'!$A:$N,10,FALSE),0))</f>
        <v/>
      </c>
      <c r="J50">
        <f>IF(E50="","",SUMIFS(Reservations!$G:$G,Reservations!$D:$D,A50,Reservations!$E:$E,E50,Reservations!$H:$H,"Active"))</f>
        <v/>
      </c>
      <c r="K50">
        <f>IF(E50="","",MAX(0,H50-I50-J50))</f>
        <v/>
      </c>
      <c r="L50">
        <f>IF(E50="","",IF(K50&gt;0,"SHORTAGE",IF(J50&gt;=H50,"RESERVED","READY TO RESERVE")))</f>
        <v/>
      </c>
    </row>
    <row r="51">
      <c r="A51">
        <f>IF('Job Cards'!$A$6="","",'Job Cards'!$A$6)</f>
        <v/>
      </c>
      <c r="B51">
        <f>IF(A51="","",'Job Cards'!$B$6)</f>
        <v/>
      </c>
      <c r="C51">
        <f>IF(A51="","",'Job Cards'!$D$6)</f>
        <v/>
      </c>
      <c r="D51">
        <f>IF(A51="","",'BOM Mapping'!$A$11)</f>
        <v/>
      </c>
      <c r="E51">
        <f>IF(C51="Longitude",'BOM Mapping'!$C$11,IF(C51="Latitude",'BOM Mapping'!$D$11,IF(C51="Altitude",'BOM Mapping'!$E$11,"")))</f>
        <v/>
      </c>
      <c r="F51">
        <f>IF(C51="Longitude",'BOM Mapping'!$J$11,IF(C51="Latitude",'BOM Mapping'!$K$11,IF(C51="Altitude",'BOM Mapping'!$L$11,0)))</f>
        <v/>
      </c>
      <c r="G51">
        <f>IF(A51="","",'Job Cards'!$E$6)</f>
        <v/>
      </c>
      <c r="H51">
        <f>IF(E51="","",F51*G51)</f>
        <v/>
      </c>
      <c r="I51">
        <f>IF(E51="","",IFERROR(VLOOKUP(E51,'Master Inventory'!$A:$N,10,FALSE),0))</f>
        <v/>
      </c>
      <c r="J51">
        <f>IF(E51="","",SUMIFS(Reservations!$G:$G,Reservations!$D:$D,A51,Reservations!$E:$E,E51,Reservations!$H:$H,"Active"))</f>
        <v/>
      </c>
      <c r="K51">
        <f>IF(E51="","",MAX(0,H51-I51-J51))</f>
        <v/>
      </c>
      <c r="L51">
        <f>IF(E51="","",IF(K51&gt;0,"SHORTAGE",IF(J51&gt;=H51,"RESERVED","READY TO RESERVE")))</f>
        <v/>
      </c>
    </row>
    <row r="52">
      <c r="A52">
        <f>IF('Job Cards'!$A$6="","",'Job Cards'!$A$6)</f>
        <v/>
      </c>
      <c r="B52">
        <f>IF(A52="","",'Job Cards'!$B$6)</f>
        <v/>
      </c>
      <c r="C52">
        <f>IF(A52="","",'Job Cards'!$D$6)</f>
        <v/>
      </c>
      <c r="D52">
        <f>IF(A52="","",'BOM Mapping'!$A$12)</f>
        <v/>
      </c>
      <c r="E52">
        <f>IF(C52="Longitude",'BOM Mapping'!$C$12,IF(C52="Latitude",'BOM Mapping'!$D$12,IF(C52="Altitude",'BOM Mapping'!$E$12,"")))</f>
        <v/>
      </c>
      <c r="F52">
        <f>IF(C52="Longitude",'BOM Mapping'!$J$12,IF(C52="Latitude",'BOM Mapping'!$K$12,IF(C52="Altitude",'BOM Mapping'!$L$12,0)))</f>
        <v/>
      </c>
      <c r="G52">
        <f>IF(A52="","",'Job Cards'!$E$6)</f>
        <v/>
      </c>
      <c r="H52">
        <f>IF(E52="","",F52*G52)</f>
        <v/>
      </c>
      <c r="I52">
        <f>IF(E52="","",IFERROR(VLOOKUP(E52,'Master Inventory'!$A:$N,10,FALSE),0))</f>
        <v/>
      </c>
      <c r="J52">
        <f>IF(E52="","",SUMIFS(Reservations!$G:$G,Reservations!$D:$D,A52,Reservations!$E:$E,E52,Reservations!$H:$H,"Active"))</f>
        <v/>
      </c>
      <c r="K52">
        <f>IF(E52="","",MAX(0,H52-I52-J52))</f>
        <v/>
      </c>
      <c r="L52">
        <f>IF(E52="","",IF(K52&gt;0,"SHORTAGE",IF(J52&gt;=H52,"RESERVED","READY TO RESERVE")))</f>
        <v/>
      </c>
    </row>
    <row r="53">
      <c r="A53">
        <f>IF('Job Cards'!$A$6="","",'Job Cards'!$A$6)</f>
        <v/>
      </c>
      <c r="B53">
        <f>IF(A53="","",'Job Cards'!$B$6)</f>
        <v/>
      </c>
      <c r="C53">
        <f>IF(A53="","",'Job Cards'!$D$6)</f>
        <v/>
      </c>
      <c r="D53">
        <f>IF(A53="","",'BOM Mapping'!$A$13)</f>
        <v/>
      </c>
      <c r="E53">
        <f>IF(C53="Longitude",'BOM Mapping'!$C$13,IF(C53="Latitude",'BOM Mapping'!$D$13,IF(C53="Altitude",'BOM Mapping'!$E$13,"")))</f>
        <v/>
      </c>
      <c r="F53">
        <f>IF(C53="Longitude",'BOM Mapping'!$J$13,IF(C53="Latitude",'BOM Mapping'!$K$13,IF(C53="Altitude",'BOM Mapping'!$L$13,0)))</f>
        <v/>
      </c>
      <c r="G53">
        <f>IF(A53="","",'Job Cards'!$E$6)</f>
        <v/>
      </c>
      <c r="H53">
        <f>IF(E53="","",F53*G53)</f>
        <v/>
      </c>
      <c r="I53">
        <f>IF(E53="","",IFERROR(VLOOKUP(E53,'Master Inventory'!$A:$N,10,FALSE),0))</f>
        <v/>
      </c>
      <c r="J53">
        <f>IF(E53="","",SUMIFS(Reservations!$G:$G,Reservations!$D:$D,A53,Reservations!$E:$E,E53,Reservations!$H:$H,"Active"))</f>
        <v/>
      </c>
      <c r="K53">
        <f>IF(E53="","",MAX(0,H53-I53-J53))</f>
        <v/>
      </c>
      <c r="L53">
        <f>IF(E53="","",IF(K53&gt;0,"SHORTAGE",IF(J53&gt;=H53,"RESERVED","READY TO RESERVE")))</f>
        <v/>
      </c>
    </row>
    <row r="54">
      <c r="A54">
        <f>IF('Job Cards'!$A$6="","",'Job Cards'!$A$6)</f>
        <v/>
      </c>
      <c r="B54">
        <f>IF(A54="","",'Job Cards'!$B$6)</f>
        <v/>
      </c>
      <c r="C54">
        <f>IF(A54="","",'Job Cards'!$D$6)</f>
        <v/>
      </c>
      <c r="D54">
        <f>IF(A54="","",'BOM Mapping'!$A$14)</f>
        <v/>
      </c>
      <c r="E54">
        <f>IF(C54="Longitude",'BOM Mapping'!$C$14,IF(C54="Latitude",'BOM Mapping'!$D$14,IF(C54="Altitude",'BOM Mapping'!$E$14,"")))</f>
        <v/>
      </c>
      <c r="F54">
        <f>IF(C54="Longitude",'BOM Mapping'!$J$14,IF(C54="Latitude",'BOM Mapping'!$K$14,IF(C54="Altitude",'BOM Mapping'!$L$14,0)))</f>
        <v/>
      </c>
      <c r="G54">
        <f>IF(A54="","",'Job Cards'!$E$6)</f>
        <v/>
      </c>
      <c r="H54">
        <f>IF(E54="","",F54*G54)</f>
        <v/>
      </c>
      <c r="I54">
        <f>IF(E54="","",IFERROR(VLOOKUP(E54,'Master Inventory'!$A:$N,10,FALSE),0))</f>
        <v/>
      </c>
      <c r="J54">
        <f>IF(E54="","",SUMIFS(Reservations!$G:$G,Reservations!$D:$D,A54,Reservations!$E:$E,E54,Reservations!$H:$H,"Active"))</f>
        <v/>
      </c>
      <c r="K54">
        <f>IF(E54="","",MAX(0,H54-I54-J54))</f>
        <v/>
      </c>
      <c r="L54">
        <f>IF(E54="","",IF(K54&gt;0,"SHORTAGE",IF(J54&gt;=H54,"RESERVED","READY TO RESERVE")))</f>
        <v/>
      </c>
    </row>
    <row r="55">
      <c r="A55">
        <f>IF('Job Cards'!$A$6="","",'Job Cards'!$A$6)</f>
        <v/>
      </c>
      <c r="B55">
        <f>IF(A55="","",'Job Cards'!$B$6)</f>
        <v/>
      </c>
      <c r="C55">
        <f>IF(A55="","",'Job Cards'!$D$6)</f>
        <v/>
      </c>
      <c r="D55">
        <f>IF(A55="","",'BOM Mapping'!$A$15)</f>
        <v/>
      </c>
      <c r="E55">
        <f>IF(C55="Longitude",'BOM Mapping'!$C$15,IF(C55="Latitude",'BOM Mapping'!$D$15,IF(C55="Altitude",'BOM Mapping'!$E$15,"")))</f>
        <v/>
      </c>
      <c r="F55">
        <f>IF(C55="Longitude",'BOM Mapping'!$J$15,IF(C55="Latitude",'BOM Mapping'!$K$15,IF(C55="Altitude",'BOM Mapping'!$L$15,0)))</f>
        <v/>
      </c>
      <c r="G55">
        <f>IF(A55="","",'Job Cards'!$E$6)</f>
        <v/>
      </c>
      <c r="H55">
        <f>IF(E55="","",F55*G55)</f>
        <v/>
      </c>
      <c r="I55">
        <f>IF(E55="","",IFERROR(VLOOKUP(E55,'Master Inventory'!$A:$N,10,FALSE),0))</f>
        <v/>
      </c>
      <c r="J55">
        <f>IF(E55="","",SUMIFS(Reservations!$G:$G,Reservations!$D:$D,A55,Reservations!$E:$E,E55,Reservations!$H:$H,"Active"))</f>
        <v/>
      </c>
      <c r="K55">
        <f>IF(E55="","",MAX(0,H55-I55-J55))</f>
        <v/>
      </c>
      <c r="L55">
        <f>IF(E55="","",IF(K55&gt;0,"SHORTAGE",IF(J55&gt;=H55,"RESERVED","READY TO RESERVE")))</f>
        <v/>
      </c>
    </row>
    <row r="56">
      <c r="A56">
        <f>IF('Job Cards'!$A$6="","",'Job Cards'!$A$6)</f>
        <v/>
      </c>
      <c r="B56">
        <f>IF(A56="","",'Job Cards'!$B$6)</f>
        <v/>
      </c>
      <c r="C56">
        <f>IF(A56="","",'Job Cards'!$D$6)</f>
        <v/>
      </c>
      <c r="D56">
        <f>IF(A56="","",'BOM Mapping'!$A$16)</f>
        <v/>
      </c>
      <c r="E56">
        <f>IF(C56="Longitude",'BOM Mapping'!$C$16,IF(C56="Latitude",'BOM Mapping'!$D$16,IF(C56="Altitude",'BOM Mapping'!$E$16,"")))</f>
        <v/>
      </c>
      <c r="F56">
        <f>IF(C56="Longitude",'BOM Mapping'!$J$16,IF(C56="Latitude",'BOM Mapping'!$K$16,IF(C56="Altitude",'BOM Mapping'!$L$16,0)))</f>
        <v/>
      </c>
      <c r="G56">
        <f>IF(A56="","",'Job Cards'!$E$6)</f>
        <v/>
      </c>
      <c r="H56">
        <f>IF(E56="","",F56*G56)</f>
        <v/>
      </c>
      <c r="I56">
        <f>IF(E56="","",IFERROR(VLOOKUP(E56,'Master Inventory'!$A:$N,10,FALSE),0))</f>
        <v/>
      </c>
      <c r="J56">
        <f>IF(E56="","",SUMIFS(Reservations!$G:$G,Reservations!$D:$D,A56,Reservations!$E:$E,E56,Reservations!$H:$H,"Active"))</f>
        <v/>
      </c>
      <c r="K56">
        <f>IF(E56="","",MAX(0,H56-I56-J56))</f>
        <v/>
      </c>
      <c r="L56">
        <f>IF(E56="","",IF(K56&gt;0,"SHORTAGE",IF(J56&gt;=H56,"RESERVED","READY TO RESERVE")))</f>
        <v/>
      </c>
    </row>
    <row r="57">
      <c r="A57">
        <f>IF('Job Cards'!$A$6="","",'Job Cards'!$A$6)</f>
        <v/>
      </c>
      <c r="B57">
        <f>IF(A57="","",'Job Cards'!$B$6)</f>
        <v/>
      </c>
      <c r="C57">
        <f>IF(A57="","",'Job Cards'!$D$6)</f>
        <v/>
      </c>
      <c r="D57">
        <f>IF(A57="","",'BOM Mapping'!$A$17)</f>
        <v/>
      </c>
      <c r="E57">
        <f>IF(C57="Longitude",'BOM Mapping'!$C$17,IF(C57="Latitude",'BOM Mapping'!$D$17,IF(C57="Altitude",'BOM Mapping'!$E$17,"")))</f>
        <v/>
      </c>
      <c r="F57">
        <f>IF(C57="Longitude",'BOM Mapping'!$J$17,IF(C57="Latitude",'BOM Mapping'!$K$17,IF(C57="Altitude",'BOM Mapping'!$L$17,0)))</f>
        <v/>
      </c>
      <c r="G57">
        <f>IF(A57="","",'Job Cards'!$E$6)</f>
        <v/>
      </c>
      <c r="H57">
        <f>IF(E57="","",F57*G57)</f>
        <v/>
      </c>
      <c r="I57">
        <f>IF(E57="","",IFERROR(VLOOKUP(E57,'Master Inventory'!$A:$N,10,FALSE),0))</f>
        <v/>
      </c>
      <c r="J57">
        <f>IF(E57="","",SUMIFS(Reservations!$G:$G,Reservations!$D:$D,A57,Reservations!$E:$E,E57,Reservations!$H:$H,"Active"))</f>
        <v/>
      </c>
      <c r="K57">
        <f>IF(E57="","",MAX(0,H57-I57-J57))</f>
        <v/>
      </c>
      <c r="L57">
        <f>IF(E57="","",IF(K57&gt;0,"SHORTAGE",IF(J57&gt;=H57,"RESERVED","READY TO RESERVE")))</f>
        <v/>
      </c>
    </row>
    <row r="58">
      <c r="A58">
        <f>IF('Job Cards'!$A$6="","",'Job Cards'!$A$6)</f>
        <v/>
      </c>
      <c r="B58">
        <f>IF(A58="","",'Job Cards'!$B$6)</f>
        <v/>
      </c>
      <c r="C58">
        <f>IF(A58="","",'Job Cards'!$D$6)</f>
        <v/>
      </c>
      <c r="D58">
        <f>IF(A58="","",'BOM Mapping'!$A$18)</f>
        <v/>
      </c>
      <c r="E58">
        <f>IF(C58="Longitude",'BOM Mapping'!$C$18,IF(C58="Latitude",'BOM Mapping'!$D$18,IF(C58="Altitude",'BOM Mapping'!$E$18,"")))</f>
        <v/>
      </c>
      <c r="F58">
        <f>IF(C58="Longitude",'BOM Mapping'!$J$18,IF(C58="Latitude",'BOM Mapping'!$K$18,IF(C58="Altitude",'BOM Mapping'!$L$18,0)))</f>
        <v/>
      </c>
      <c r="G58">
        <f>IF(A58="","",'Job Cards'!$E$6)</f>
        <v/>
      </c>
      <c r="H58">
        <f>IF(E58="","",F58*G58)</f>
        <v/>
      </c>
      <c r="I58">
        <f>IF(E58="","",IFERROR(VLOOKUP(E58,'Master Inventory'!$A:$N,10,FALSE),0))</f>
        <v/>
      </c>
      <c r="J58">
        <f>IF(E58="","",SUMIFS(Reservations!$G:$G,Reservations!$D:$D,A58,Reservations!$E:$E,E58,Reservations!$H:$H,"Active"))</f>
        <v/>
      </c>
      <c r="K58">
        <f>IF(E58="","",MAX(0,H58-I58-J58))</f>
        <v/>
      </c>
      <c r="L58">
        <f>IF(E58="","",IF(K58&gt;0,"SHORTAGE",IF(J58&gt;=H58,"RESERVED","READY TO RESERVE")))</f>
        <v/>
      </c>
    </row>
    <row r="59">
      <c r="A59">
        <f>IF('Job Cards'!$A$6="","",'Job Cards'!$A$6)</f>
        <v/>
      </c>
      <c r="B59">
        <f>IF(A59="","",'Job Cards'!$B$6)</f>
        <v/>
      </c>
      <c r="C59">
        <f>IF(A59="","",'Job Cards'!$D$6)</f>
        <v/>
      </c>
      <c r="D59">
        <f>IF(A59="","",'BOM Mapping'!$A$19)</f>
        <v/>
      </c>
      <c r="E59">
        <f>IF(C59="Longitude",'BOM Mapping'!$C$19,IF(C59="Latitude",'BOM Mapping'!$D$19,IF(C59="Altitude",'BOM Mapping'!$E$19,"")))</f>
        <v/>
      </c>
      <c r="F59">
        <f>IF(C59="Longitude",'BOM Mapping'!$J$19,IF(C59="Latitude",'BOM Mapping'!$K$19,IF(C59="Altitude",'BOM Mapping'!$L$19,0)))</f>
        <v/>
      </c>
      <c r="G59">
        <f>IF(A59="","",'Job Cards'!$E$6)</f>
        <v/>
      </c>
      <c r="H59">
        <f>IF(E59="","",F59*G59)</f>
        <v/>
      </c>
      <c r="I59">
        <f>IF(E59="","",IFERROR(VLOOKUP(E59,'Master Inventory'!$A:$N,10,FALSE),0))</f>
        <v/>
      </c>
      <c r="J59">
        <f>IF(E59="","",SUMIFS(Reservations!$G:$G,Reservations!$D:$D,A59,Reservations!$E:$E,E59,Reservations!$H:$H,"Active"))</f>
        <v/>
      </c>
      <c r="K59">
        <f>IF(E59="","",MAX(0,H59-I59-J59))</f>
        <v/>
      </c>
      <c r="L59">
        <f>IF(E59="","",IF(K59&gt;0,"SHORTAGE",IF(J59&gt;=H59,"RESERVED","READY TO RESERVE")))</f>
        <v/>
      </c>
    </row>
    <row r="60">
      <c r="A60">
        <f>IF('Job Cards'!$A$6="","",'Job Cards'!$A$6)</f>
        <v/>
      </c>
      <c r="B60">
        <f>IF(A60="","",'Job Cards'!$B$6)</f>
        <v/>
      </c>
      <c r="C60">
        <f>IF(A60="","",'Job Cards'!$D$6)</f>
        <v/>
      </c>
      <c r="D60">
        <f>IF(A60="","",'BOM Mapping'!$A$20)</f>
        <v/>
      </c>
      <c r="E60">
        <f>IF(C60="Longitude",'BOM Mapping'!$C$20,IF(C60="Latitude",'BOM Mapping'!$D$20,IF(C60="Altitude",'BOM Mapping'!$E$20,"")))</f>
        <v/>
      </c>
      <c r="F60">
        <f>IF(C60="Longitude",'BOM Mapping'!$J$20,IF(C60="Latitude",'BOM Mapping'!$K$20,IF(C60="Altitude",'BOM Mapping'!$L$20,0)))</f>
        <v/>
      </c>
      <c r="G60">
        <f>IF(A60="","",'Job Cards'!$E$6)</f>
        <v/>
      </c>
      <c r="H60">
        <f>IF(E60="","",F60*G60)</f>
        <v/>
      </c>
      <c r="I60">
        <f>IF(E60="","",IFERROR(VLOOKUP(E60,'Master Inventory'!$A:$N,10,FALSE),0))</f>
        <v/>
      </c>
      <c r="J60">
        <f>IF(E60="","",SUMIFS(Reservations!$G:$G,Reservations!$D:$D,A60,Reservations!$E:$E,E60,Reservations!$H:$H,"Active"))</f>
        <v/>
      </c>
      <c r="K60">
        <f>IF(E60="","",MAX(0,H60-I60-J60))</f>
        <v/>
      </c>
      <c r="L60">
        <f>IF(E60="","",IF(K60&gt;0,"SHORTAGE",IF(J60&gt;=H60,"RESERVED","READY TO RESERVE")))</f>
        <v/>
      </c>
    </row>
    <row r="61">
      <c r="A61">
        <f>IF('Job Cards'!$A$6="","",'Job Cards'!$A$6)</f>
        <v/>
      </c>
      <c r="B61">
        <f>IF(A61="","",'Job Cards'!$B$6)</f>
        <v/>
      </c>
      <c r="C61">
        <f>IF(A61="","",'Job Cards'!$D$6)</f>
        <v/>
      </c>
      <c r="D61">
        <f>IF(A61="","",'BOM Mapping'!$A$21)</f>
        <v/>
      </c>
      <c r="E61">
        <f>IF(C61="Longitude",'BOM Mapping'!$C$21,IF(C61="Latitude",'BOM Mapping'!$D$21,IF(C61="Altitude",'BOM Mapping'!$E$21,"")))</f>
        <v/>
      </c>
      <c r="F61">
        <f>IF(C61="Longitude",'BOM Mapping'!$J$21,IF(C61="Latitude",'BOM Mapping'!$K$21,IF(C61="Altitude",'BOM Mapping'!$L$21,0)))</f>
        <v/>
      </c>
      <c r="G61">
        <f>IF(A61="","",'Job Cards'!$E$6)</f>
        <v/>
      </c>
      <c r="H61">
        <f>IF(E61="","",F61*G61)</f>
        <v/>
      </c>
      <c r="I61">
        <f>IF(E61="","",IFERROR(VLOOKUP(E61,'Master Inventory'!$A:$N,10,FALSE),0))</f>
        <v/>
      </c>
      <c r="J61">
        <f>IF(E61="","",SUMIFS(Reservations!$G:$G,Reservations!$D:$D,A61,Reservations!$E:$E,E61,Reservations!$H:$H,"Active"))</f>
        <v/>
      </c>
      <c r="K61">
        <f>IF(E61="","",MAX(0,H61-I61-J61))</f>
        <v/>
      </c>
      <c r="L61">
        <f>IF(E61="","",IF(K61&gt;0,"SHORTAGE",IF(J61&gt;=H61,"RESERVED","READY TO RESERVE")))</f>
        <v/>
      </c>
    </row>
    <row r="62">
      <c r="A62">
        <f>IF('Job Cards'!$A$6="","",'Job Cards'!$A$6)</f>
        <v/>
      </c>
      <c r="B62">
        <f>IF(A62="","",'Job Cards'!$B$6)</f>
        <v/>
      </c>
      <c r="C62">
        <f>IF(A62="","",'Job Cards'!$D$6)</f>
        <v/>
      </c>
      <c r="D62">
        <f>IF(A62="","",'BOM Mapping'!$A$22)</f>
        <v/>
      </c>
      <c r="E62">
        <f>IF(C62="Longitude",'BOM Mapping'!$C$22,IF(C62="Latitude",'BOM Mapping'!$D$22,IF(C62="Altitude",'BOM Mapping'!$E$22,"")))</f>
        <v/>
      </c>
      <c r="F62">
        <f>IF(C62="Longitude",'BOM Mapping'!$J$22,IF(C62="Latitude",'BOM Mapping'!$K$22,IF(C62="Altitude",'BOM Mapping'!$L$22,0)))</f>
        <v/>
      </c>
      <c r="G62">
        <f>IF(A62="","",'Job Cards'!$E$6)</f>
        <v/>
      </c>
      <c r="H62">
        <f>IF(E62="","",F62*G62)</f>
        <v/>
      </c>
      <c r="I62">
        <f>IF(E62="","",IFERROR(VLOOKUP(E62,'Master Inventory'!$A:$N,10,FALSE),0))</f>
        <v/>
      </c>
      <c r="J62">
        <f>IF(E62="","",SUMIFS(Reservations!$G:$G,Reservations!$D:$D,A62,Reservations!$E:$E,E62,Reservations!$H:$H,"Active"))</f>
        <v/>
      </c>
      <c r="K62">
        <f>IF(E62="","",MAX(0,H62-I62-J62))</f>
        <v/>
      </c>
      <c r="L62">
        <f>IF(E62="","",IF(K62&gt;0,"SHORTAGE",IF(J62&gt;=H62,"RESERVED","READY TO RESERVE")))</f>
        <v/>
      </c>
    </row>
    <row r="63">
      <c r="A63">
        <f>IF('Job Cards'!$A$6="","",'Job Cards'!$A$6)</f>
        <v/>
      </c>
      <c r="B63">
        <f>IF(A63="","",'Job Cards'!$B$6)</f>
        <v/>
      </c>
      <c r="C63">
        <f>IF(A63="","",'Job Cards'!$D$6)</f>
        <v/>
      </c>
      <c r="D63">
        <f>IF(A63="","",'BOM Mapping'!$A$23)</f>
        <v/>
      </c>
      <c r="E63">
        <f>IF(C63="Longitude",'BOM Mapping'!$C$23,IF(C63="Latitude",'BOM Mapping'!$D$23,IF(C63="Altitude",'BOM Mapping'!$E$23,"")))</f>
        <v/>
      </c>
      <c r="F63">
        <f>IF(C63="Longitude",'BOM Mapping'!$J$23,IF(C63="Latitude",'BOM Mapping'!$K$23,IF(C63="Altitude",'BOM Mapping'!$L$23,0)))</f>
        <v/>
      </c>
      <c r="G63">
        <f>IF(A63="","",'Job Cards'!$E$6)</f>
        <v/>
      </c>
      <c r="H63">
        <f>IF(E63="","",F63*G63)</f>
        <v/>
      </c>
      <c r="I63">
        <f>IF(E63="","",IFERROR(VLOOKUP(E63,'Master Inventory'!$A:$N,10,FALSE),0))</f>
        <v/>
      </c>
      <c r="J63">
        <f>IF(E63="","",SUMIFS(Reservations!$G:$G,Reservations!$D:$D,A63,Reservations!$E:$E,E63,Reservations!$H:$H,"Active"))</f>
        <v/>
      </c>
      <c r="K63">
        <f>IF(E63="","",MAX(0,H63-I63-J63))</f>
        <v/>
      </c>
      <c r="L63">
        <f>IF(E63="","",IF(K63&gt;0,"SHORTAGE",IF(J63&gt;=H63,"RESERVED","READY TO RESERVE")))</f>
        <v/>
      </c>
    </row>
    <row r="64">
      <c r="A64">
        <f>IF('Job Cards'!$A$7="","",'Job Cards'!$A$7)</f>
        <v/>
      </c>
      <c r="B64">
        <f>IF(A64="","",'Job Cards'!$B$7)</f>
        <v/>
      </c>
      <c r="C64">
        <f>IF(A64="","",'Job Cards'!$D$7)</f>
        <v/>
      </c>
      <c r="D64">
        <f>IF(A64="","",'BOM Mapping'!$A$4)</f>
        <v/>
      </c>
      <c r="E64">
        <f>IF(C64="Longitude",'BOM Mapping'!$C$4,IF(C64="Latitude",'BOM Mapping'!$D$4,IF(C64="Altitude",'BOM Mapping'!$E$4,"")))</f>
        <v/>
      </c>
      <c r="F64">
        <f>IF(C64="Longitude",'BOM Mapping'!$J$4,IF(C64="Latitude",'BOM Mapping'!$K$4,IF(C64="Altitude",'BOM Mapping'!$L$4,0)))</f>
        <v/>
      </c>
      <c r="G64">
        <f>IF(A64="","",'Job Cards'!$E$7)</f>
        <v/>
      </c>
      <c r="H64">
        <f>IF(E64="","",F64*G64)</f>
        <v/>
      </c>
      <c r="I64">
        <f>IF(E64="","",IFERROR(VLOOKUP(E64,'Master Inventory'!$A:$N,10,FALSE),0))</f>
        <v/>
      </c>
      <c r="J64">
        <f>IF(E64="","",SUMIFS(Reservations!$G:$G,Reservations!$D:$D,A64,Reservations!$E:$E,E64,Reservations!$H:$H,"Active"))</f>
        <v/>
      </c>
      <c r="K64">
        <f>IF(E64="","",MAX(0,H64-I64-J64))</f>
        <v/>
      </c>
      <c r="L64">
        <f>IF(E64="","",IF(K64&gt;0,"SHORTAGE",IF(J64&gt;=H64,"RESERVED","READY TO RESERVE")))</f>
        <v/>
      </c>
    </row>
    <row r="65">
      <c r="A65">
        <f>IF('Job Cards'!$A$7="","",'Job Cards'!$A$7)</f>
        <v/>
      </c>
      <c r="B65">
        <f>IF(A65="","",'Job Cards'!$B$7)</f>
        <v/>
      </c>
      <c r="C65">
        <f>IF(A65="","",'Job Cards'!$D$7)</f>
        <v/>
      </c>
      <c r="D65">
        <f>IF(A65="","",'BOM Mapping'!$A$5)</f>
        <v/>
      </c>
      <c r="E65">
        <f>IF(C65="Longitude",'BOM Mapping'!$C$5,IF(C65="Latitude",'BOM Mapping'!$D$5,IF(C65="Altitude",'BOM Mapping'!$E$5,"")))</f>
        <v/>
      </c>
      <c r="F65">
        <f>IF(C65="Longitude",'BOM Mapping'!$J$5,IF(C65="Latitude",'BOM Mapping'!$K$5,IF(C65="Altitude",'BOM Mapping'!$L$5,0)))</f>
        <v/>
      </c>
      <c r="G65">
        <f>IF(A65="","",'Job Cards'!$E$7)</f>
        <v/>
      </c>
      <c r="H65">
        <f>IF(E65="","",F65*G65)</f>
        <v/>
      </c>
      <c r="I65">
        <f>IF(E65="","",IFERROR(VLOOKUP(E65,'Master Inventory'!$A:$N,10,FALSE),0))</f>
        <v/>
      </c>
      <c r="J65">
        <f>IF(E65="","",SUMIFS(Reservations!$G:$G,Reservations!$D:$D,A65,Reservations!$E:$E,E65,Reservations!$H:$H,"Active"))</f>
        <v/>
      </c>
      <c r="K65">
        <f>IF(E65="","",MAX(0,H65-I65-J65))</f>
        <v/>
      </c>
      <c r="L65">
        <f>IF(E65="","",IF(K65&gt;0,"SHORTAGE",IF(J65&gt;=H65,"RESERVED","READY TO RESERVE")))</f>
        <v/>
      </c>
    </row>
    <row r="66">
      <c r="A66">
        <f>IF('Job Cards'!$A$7="","",'Job Cards'!$A$7)</f>
        <v/>
      </c>
      <c r="B66">
        <f>IF(A66="","",'Job Cards'!$B$7)</f>
        <v/>
      </c>
      <c r="C66">
        <f>IF(A66="","",'Job Cards'!$D$7)</f>
        <v/>
      </c>
      <c r="D66">
        <f>IF(A66="","",'BOM Mapping'!$A$6)</f>
        <v/>
      </c>
      <c r="E66">
        <f>IF(C66="Longitude",'BOM Mapping'!$C$6,IF(C66="Latitude",'BOM Mapping'!$D$6,IF(C66="Altitude",'BOM Mapping'!$E$6,"")))</f>
        <v/>
      </c>
      <c r="F66">
        <f>IF(C66="Longitude",'BOM Mapping'!$J$6,IF(C66="Latitude",'BOM Mapping'!$K$6,IF(C66="Altitude",'BOM Mapping'!$L$6,0)))</f>
        <v/>
      </c>
      <c r="G66">
        <f>IF(A66="","",'Job Cards'!$E$7)</f>
        <v/>
      </c>
      <c r="H66">
        <f>IF(E66="","",F66*G66)</f>
        <v/>
      </c>
      <c r="I66">
        <f>IF(E66="","",IFERROR(VLOOKUP(E66,'Master Inventory'!$A:$N,10,FALSE),0))</f>
        <v/>
      </c>
      <c r="J66">
        <f>IF(E66="","",SUMIFS(Reservations!$G:$G,Reservations!$D:$D,A66,Reservations!$E:$E,E66,Reservations!$H:$H,"Active"))</f>
        <v/>
      </c>
      <c r="K66">
        <f>IF(E66="","",MAX(0,H66-I66-J66))</f>
        <v/>
      </c>
      <c r="L66">
        <f>IF(E66="","",IF(K66&gt;0,"SHORTAGE",IF(J66&gt;=H66,"RESERVED","READY TO RESERVE")))</f>
        <v/>
      </c>
    </row>
    <row r="67">
      <c r="A67">
        <f>IF('Job Cards'!$A$7="","",'Job Cards'!$A$7)</f>
        <v/>
      </c>
      <c r="B67">
        <f>IF(A67="","",'Job Cards'!$B$7)</f>
        <v/>
      </c>
      <c r="C67">
        <f>IF(A67="","",'Job Cards'!$D$7)</f>
        <v/>
      </c>
      <c r="D67">
        <f>IF(A67="","",'BOM Mapping'!$A$7)</f>
        <v/>
      </c>
      <c r="E67">
        <f>IF(C67="Longitude",'BOM Mapping'!$C$7,IF(C67="Latitude",'BOM Mapping'!$D$7,IF(C67="Altitude",'BOM Mapping'!$E$7,"")))</f>
        <v/>
      </c>
      <c r="F67">
        <f>IF(C67="Longitude",'BOM Mapping'!$J$7,IF(C67="Latitude",'BOM Mapping'!$K$7,IF(C67="Altitude",'BOM Mapping'!$L$7,0)))</f>
        <v/>
      </c>
      <c r="G67">
        <f>IF(A67="","",'Job Cards'!$E$7)</f>
        <v/>
      </c>
      <c r="H67">
        <f>IF(E67="","",F67*G67)</f>
        <v/>
      </c>
      <c r="I67">
        <f>IF(E67="","",IFERROR(VLOOKUP(E67,'Master Inventory'!$A:$N,10,FALSE),0))</f>
        <v/>
      </c>
      <c r="J67">
        <f>IF(E67="","",SUMIFS(Reservations!$G:$G,Reservations!$D:$D,A67,Reservations!$E:$E,E67,Reservations!$H:$H,"Active"))</f>
        <v/>
      </c>
      <c r="K67">
        <f>IF(E67="","",MAX(0,H67-I67-J67))</f>
        <v/>
      </c>
      <c r="L67">
        <f>IF(E67="","",IF(K67&gt;0,"SHORTAGE",IF(J67&gt;=H67,"RESERVED","READY TO RESERVE")))</f>
        <v/>
      </c>
    </row>
    <row r="68">
      <c r="A68">
        <f>IF('Job Cards'!$A$7="","",'Job Cards'!$A$7)</f>
        <v/>
      </c>
      <c r="B68">
        <f>IF(A68="","",'Job Cards'!$B$7)</f>
        <v/>
      </c>
      <c r="C68">
        <f>IF(A68="","",'Job Cards'!$D$7)</f>
        <v/>
      </c>
      <c r="D68">
        <f>IF(A68="","",'BOM Mapping'!$A$8)</f>
        <v/>
      </c>
      <c r="E68">
        <f>IF(C68="Longitude",'BOM Mapping'!$C$8,IF(C68="Latitude",'BOM Mapping'!$D$8,IF(C68="Altitude",'BOM Mapping'!$E$8,"")))</f>
        <v/>
      </c>
      <c r="F68">
        <f>IF(C68="Longitude",'BOM Mapping'!$J$8,IF(C68="Latitude",'BOM Mapping'!$K$8,IF(C68="Altitude",'BOM Mapping'!$L$8,0)))</f>
        <v/>
      </c>
      <c r="G68">
        <f>IF(A68="","",'Job Cards'!$E$7)</f>
        <v/>
      </c>
      <c r="H68">
        <f>IF(E68="","",F68*G68)</f>
        <v/>
      </c>
      <c r="I68">
        <f>IF(E68="","",IFERROR(VLOOKUP(E68,'Master Inventory'!$A:$N,10,FALSE),0))</f>
        <v/>
      </c>
      <c r="J68">
        <f>IF(E68="","",SUMIFS(Reservations!$G:$G,Reservations!$D:$D,A68,Reservations!$E:$E,E68,Reservations!$H:$H,"Active"))</f>
        <v/>
      </c>
      <c r="K68">
        <f>IF(E68="","",MAX(0,H68-I68-J68))</f>
        <v/>
      </c>
      <c r="L68">
        <f>IF(E68="","",IF(K68&gt;0,"SHORTAGE",IF(J68&gt;=H68,"RESERVED","READY TO RESERVE")))</f>
        <v/>
      </c>
    </row>
    <row r="69">
      <c r="A69">
        <f>IF('Job Cards'!$A$7="","",'Job Cards'!$A$7)</f>
        <v/>
      </c>
      <c r="B69">
        <f>IF(A69="","",'Job Cards'!$B$7)</f>
        <v/>
      </c>
      <c r="C69">
        <f>IF(A69="","",'Job Cards'!$D$7)</f>
        <v/>
      </c>
      <c r="D69">
        <f>IF(A69="","",'BOM Mapping'!$A$9)</f>
        <v/>
      </c>
      <c r="E69">
        <f>IF(C69="Longitude",'BOM Mapping'!$C$9,IF(C69="Latitude",'BOM Mapping'!$D$9,IF(C69="Altitude",'BOM Mapping'!$E$9,"")))</f>
        <v/>
      </c>
      <c r="F69">
        <f>IF(C69="Longitude",'BOM Mapping'!$J$9,IF(C69="Latitude",'BOM Mapping'!$K$9,IF(C69="Altitude",'BOM Mapping'!$L$9,0)))</f>
        <v/>
      </c>
      <c r="G69">
        <f>IF(A69="","",'Job Cards'!$E$7)</f>
        <v/>
      </c>
      <c r="H69">
        <f>IF(E69="","",F69*G69)</f>
        <v/>
      </c>
      <c r="I69">
        <f>IF(E69="","",IFERROR(VLOOKUP(E69,'Master Inventory'!$A:$N,10,FALSE),0))</f>
        <v/>
      </c>
      <c r="J69">
        <f>IF(E69="","",SUMIFS(Reservations!$G:$G,Reservations!$D:$D,A69,Reservations!$E:$E,E69,Reservations!$H:$H,"Active"))</f>
        <v/>
      </c>
      <c r="K69">
        <f>IF(E69="","",MAX(0,H69-I69-J69))</f>
        <v/>
      </c>
      <c r="L69">
        <f>IF(E69="","",IF(K69&gt;0,"SHORTAGE",IF(J69&gt;=H69,"RESERVED","READY TO RESERVE")))</f>
        <v/>
      </c>
    </row>
    <row r="70">
      <c r="A70">
        <f>IF('Job Cards'!$A$7="","",'Job Cards'!$A$7)</f>
        <v/>
      </c>
      <c r="B70">
        <f>IF(A70="","",'Job Cards'!$B$7)</f>
        <v/>
      </c>
      <c r="C70">
        <f>IF(A70="","",'Job Cards'!$D$7)</f>
        <v/>
      </c>
      <c r="D70">
        <f>IF(A70="","",'BOM Mapping'!$A$10)</f>
        <v/>
      </c>
      <c r="E70">
        <f>IF(C70="Longitude",'BOM Mapping'!$C$10,IF(C70="Latitude",'BOM Mapping'!$D$10,IF(C70="Altitude",'BOM Mapping'!$E$10,"")))</f>
        <v/>
      </c>
      <c r="F70">
        <f>IF(C70="Longitude",'BOM Mapping'!$J$10,IF(C70="Latitude",'BOM Mapping'!$K$10,IF(C70="Altitude",'BOM Mapping'!$L$10,0)))</f>
        <v/>
      </c>
      <c r="G70">
        <f>IF(A70="","",'Job Cards'!$E$7)</f>
        <v/>
      </c>
      <c r="H70">
        <f>IF(E70="","",F70*G70)</f>
        <v/>
      </c>
      <c r="I70">
        <f>IF(E70="","",IFERROR(VLOOKUP(E70,'Master Inventory'!$A:$N,10,FALSE),0))</f>
        <v/>
      </c>
      <c r="J70">
        <f>IF(E70="","",SUMIFS(Reservations!$G:$G,Reservations!$D:$D,A70,Reservations!$E:$E,E70,Reservations!$H:$H,"Active"))</f>
        <v/>
      </c>
      <c r="K70">
        <f>IF(E70="","",MAX(0,H70-I70-J70))</f>
        <v/>
      </c>
      <c r="L70">
        <f>IF(E70="","",IF(K70&gt;0,"SHORTAGE",IF(J70&gt;=H70,"RESERVED","READY TO RESERVE")))</f>
        <v/>
      </c>
    </row>
    <row r="71">
      <c r="A71">
        <f>IF('Job Cards'!$A$7="","",'Job Cards'!$A$7)</f>
        <v/>
      </c>
      <c r="B71">
        <f>IF(A71="","",'Job Cards'!$B$7)</f>
        <v/>
      </c>
      <c r="C71">
        <f>IF(A71="","",'Job Cards'!$D$7)</f>
        <v/>
      </c>
      <c r="D71">
        <f>IF(A71="","",'BOM Mapping'!$A$11)</f>
        <v/>
      </c>
      <c r="E71">
        <f>IF(C71="Longitude",'BOM Mapping'!$C$11,IF(C71="Latitude",'BOM Mapping'!$D$11,IF(C71="Altitude",'BOM Mapping'!$E$11,"")))</f>
        <v/>
      </c>
      <c r="F71">
        <f>IF(C71="Longitude",'BOM Mapping'!$J$11,IF(C71="Latitude",'BOM Mapping'!$K$11,IF(C71="Altitude",'BOM Mapping'!$L$11,0)))</f>
        <v/>
      </c>
      <c r="G71">
        <f>IF(A71="","",'Job Cards'!$E$7)</f>
        <v/>
      </c>
      <c r="H71">
        <f>IF(E71="","",F71*G71)</f>
        <v/>
      </c>
      <c r="I71">
        <f>IF(E71="","",IFERROR(VLOOKUP(E71,'Master Inventory'!$A:$N,10,FALSE),0))</f>
        <v/>
      </c>
      <c r="J71">
        <f>IF(E71="","",SUMIFS(Reservations!$G:$G,Reservations!$D:$D,A71,Reservations!$E:$E,E71,Reservations!$H:$H,"Active"))</f>
        <v/>
      </c>
      <c r="K71">
        <f>IF(E71="","",MAX(0,H71-I71-J71))</f>
        <v/>
      </c>
      <c r="L71">
        <f>IF(E71="","",IF(K71&gt;0,"SHORTAGE",IF(J71&gt;=H71,"RESERVED","READY TO RESERVE")))</f>
        <v/>
      </c>
    </row>
    <row r="72">
      <c r="A72">
        <f>IF('Job Cards'!$A$7="","",'Job Cards'!$A$7)</f>
        <v/>
      </c>
      <c r="B72">
        <f>IF(A72="","",'Job Cards'!$B$7)</f>
        <v/>
      </c>
      <c r="C72">
        <f>IF(A72="","",'Job Cards'!$D$7)</f>
        <v/>
      </c>
      <c r="D72">
        <f>IF(A72="","",'BOM Mapping'!$A$12)</f>
        <v/>
      </c>
      <c r="E72">
        <f>IF(C72="Longitude",'BOM Mapping'!$C$12,IF(C72="Latitude",'BOM Mapping'!$D$12,IF(C72="Altitude",'BOM Mapping'!$E$12,"")))</f>
        <v/>
      </c>
      <c r="F72">
        <f>IF(C72="Longitude",'BOM Mapping'!$J$12,IF(C72="Latitude",'BOM Mapping'!$K$12,IF(C72="Altitude",'BOM Mapping'!$L$12,0)))</f>
        <v/>
      </c>
      <c r="G72">
        <f>IF(A72="","",'Job Cards'!$E$7)</f>
        <v/>
      </c>
      <c r="H72">
        <f>IF(E72="","",F72*G72)</f>
        <v/>
      </c>
      <c r="I72">
        <f>IF(E72="","",IFERROR(VLOOKUP(E72,'Master Inventory'!$A:$N,10,FALSE),0))</f>
        <v/>
      </c>
      <c r="J72">
        <f>IF(E72="","",SUMIFS(Reservations!$G:$G,Reservations!$D:$D,A72,Reservations!$E:$E,E72,Reservations!$H:$H,"Active"))</f>
        <v/>
      </c>
      <c r="K72">
        <f>IF(E72="","",MAX(0,H72-I72-J72))</f>
        <v/>
      </c>
      <c r="L72">
        <f>IF(E72="","",IF(K72&gt;0,"SHORTAGE",IF(J72&gt;=H72,"RESERVED","READY TO RESERVE")))</f>
        <v/>
      </c>
    </row>
    <row r="73">
      <c r="A73">
        <f>IF('Job Cards'!$A$7="","",'Job Cards'!$A$7)</f>
        <v/>
      </c>
      <c r="B73">
        <f>IF(A73="","",'Job Cards'!$B$7)</f>
        <v/>
      </c>
      <c r="C73">
        <f>IF(A73="","",'Job Cards'!$D$7)</f>
        <v/>
      </c>
      <c r="D73">
        <f>IF(A73="","",'BOM Mapping'!$A$13)</f>
        <v/>
      </c>
      <c r="E73">
        <f>IF(C73="Longitude",'BOM Mapping'!$C$13,IF(C73="Latitude",'BOM Mapping'!$D$13,IF(C73="Altitude",'BOM Mapping'!$E$13,"")))</f>
        <v/>
      </c>
      <c r="F73">
        <f>IF(C73="Longitude",'BOM Mapping'!$J$13,IF(C73="Latitude",'BOM Mapping'!$K$13,IF(C73="Altitude",'BOM Mapping'!$L$13,0)))</f>
        <v/>
      </c>
      <c r="G73">
        <f>IF(A73="","",'Job Cards'!$E$7)</f>
        <v/>
      </c>
      <c r="H73">
        <f>IF(E73="","",F73*G73)</f>
        <v/>
      </c>
      <c r="I73">
        <f>IF(E73="","",IFERROR(VLOOKUP(E73,'Master Inventory'!$A:$N,10,FALSE),0))</f>
        <v/>
      </c>
      <c r="J73">
        <f>IF(E73="","",SUMIFS(Reservations!$G:$G,Reservations!$D:$D,A73,Reservations!$E:$E,E73,Reservations!$H:$H,"Active"))</f>
        <v/>
      </c>
      <c r="K73">
        <f>IF(E73="","",MAX(0,H73-I73-J73))</f>
        <v/>
      </c>
      <c r="L73">
        <f>IF(E73="","",IF(K73&gt;0,"SHORTAGE",IF(J73&gt;=H73,"RESERVED","READY TO RESERVE")))</f>
        <v/>
      </c>
    </row>
    <row r="74">
      <c r="A74">
        <f>IF('Job Cards'!$A$7="","",'Job Cards'!$A$7)</f>
        <v/>
      </c>
      <c r="B74">
        <f>IF(A74="","",'Job Cards'!$B$7)</f>
        <v/>
      </c>
      <c r="C74">
        <f>IF(A74="","",'Job Cards'!$D$7)</f>
        <v/>
      </c>
      <c r="D74">
        <f>IF(A74="","",'BOM Mapping'!$A$14)</f>
        <v/>
      </c>
      <c r="E74">
        <f>IF(C74="Longitude",'BOM Mapping'!$C$14,IF(C74="Latitude",'BOM Mapping'!$D$14,IF(C74="Altitude",'BOM Mapping'!$E$14,"")))</f>
        <v/>
      </c>
      <c r="F74">
        <f>IF(C74="Longitude",'BOM Mapping'!$J$14,IF(C74="Latitude",'BOM Mapping'!$K$14,IF(C74="Altitude",'BOM Mapping'!$L$14,0)))</f>
        <v/>
      </c>
      <c r="G74">
        <f>IF(A74="","",'Job Cards'!$E$7)</f>
        <v/>
      </c>
      <c r="H74">
        <f>IF(E74="","",F74*G74)</f>
        <v/>
      </c>
      <c r="I74">
        <f>IF(E74="","",IFERROR(VLOOKUP(E74,'Master Inventory'!$A:$N,10,FALSE),0))</f>
        <v/>
      </c>
      <c r="J74">
        <f>IF(E74="","",SUMIFS(Reservations!$G:$G,Reservations!$D:$D,A74,Reservations!$E:$E,E74,Reservations!$H:$H,"Active"))</f>
        <v/>
      </c>
      <c r="K74">
        <f>IF(E74="","",MAX(0,H74-I74-J74))</f>
        <v/>
      </c>
      <c r="L74">
        <f>IF(E74="","",IF(K74&gt;0,"SHORTAGE",IF(J74&gt;=H74,"RESERVED","READY TO RESERVE")))</f>
        <v/>
      </c>
    </row>
    <row r="75">
      <c r="A75">
        <f>IF('Job Cards'!$A$7="","",'Job Cards'!$A$7)</f>
        <v/>
      </c>
      <c r="B75">
        <f>IF(A75="","",'Job Cards'!$B$7)</f>
        <v/>
      </c>
      <c r="C75">
        <f>IF(A75="","",'Job Cards'!$D$7)</f>
        <v/>
      </c>
      <c r="D75">
        <f>IF(A75="","",'BOM Mapping'!$A$15)</f>
        <v/>
      </c>
      <c r="E75">
        <f>IF(C75="Longitude",'BOM Mapping'!$C$15,IF(C75="Latitude",'BOM Mapping'!$D$15,IF(C75="Altitude",'BOM Mapping'!$E$15,"")))</f>
        <v/>
      </c>
      <c r="F75">
        <f>IF(C75="Longitude",'BOM Mapping'!$J$15,IF(C75="Latitude",'BOM Mapping'!$K$15,IF(C75="Altitude",'BOM Mapping'!$L$15,0)))</f>
        <v/>
      </c>
      <c r="G75">
        <f>IF(A75="","",'Job Cards'!$E$7)</f>
        <v/>
      </c>
      <c r="H75">
        <f>IF(E75="","",F75*G75)</f>
        <v/>
      </c>
      <c r="I75">
        <f>IF(E75="","",IFERROR(VLOOKUP(E75,'Master Inventory'!$A:$N,10,FALSE),0))</f>
        <v/>
      </c>
      <c r="J75">
        <f>IF(E75="","",SUMIFS(Reservations!$G:$G,Reservations!$D:$D,A75,Reservations!$E:$E,E75,Reservations!$H:$H,"Active"))</f>
        <v/>
      </c>
      <c r="K75">
        <f>IF(E75="","",MAX(0,H75-I75-J75))</f>
        <v/>
      </c>
      <c r="L75">
        <f>IF(E75="","",IF(K75&gt;0,"SHORTAGE",IF(J75&gt;=H75,"RESERVED","READY TO RESERVE")))</f>
        <v/>
      </c>
    </row>
    <row r="76">
      <c r="A76">
        <f>IF('Job Cards'!$A$7="","",'Job Cards'!$A$7)</f>
        <v/>
      </c>
      <c r="B76">
        <f>IF(A76="","",'Job Cards'!$B$7)</f>
        <v/>
      </c>
      <c r="C76">
        <f>IF(A76="","",'Job Cards'!$D$7)</f>
        <v/>
      </c>
      <c r="D76">
        <f>IF(A76="","",'BOM Mapping'!$A$16)</f>
        <v/>
      </c>
      <c r="E76">
        <f>IF(C76="Longitude",'BOM Mapping'!$C$16,IF(C76="Latitude",'BOM Mapping'!$D$16,IF(C76="Altitude",'BOM Mapping'!$E$16,"")))</f>
        <v/>
      </c>
      <c r="F76">
        <f>IF(C76="Longitude",'BOM Mapping'!$J$16,IF(C76="Latitude",'BOM Mapping'!$K$16,IF(C76="Altitude",'BOM Mapping'!$L$16,0)))</f>
        <v/>
      </c>
      <c r="G76">
        <f>IF(A76="","",'Job Cards'!$E$7)</f>
        <v/>
      </c>
      <c r="H76">
        <f>IF(E76="","",F76*G76)</f>
        <v/>
      </c>
      <c r="I76">
        <f>IF(E76="","",IFERROR(VLOOKUP(E76,'Master Inventory'!$A:$N,10,FALSE),0))</f>
        <v/>
      </c>
      <c r="J76">
        <f>IF(E76="","",SUMIFS(Reservations!$G:$G,Reservations!$D:$D,A76,Reservations!$E:$E,E76,Reservations!$H:$H,"Active"))</f>
        <v/>
      </c>
      <c r="K76">
        <f>IF(E76="","",MAX(0,H76-I76-J76))</f>
        <v/>
      </c>
      <c r="L76">
        <f>IF(E76="","",IF(K76&gt;0,"SHORTAGE",IF(J76&gt;=H76,"RESERVED","READY TO RESERVE")))</f>
        <v/>
      </c>
    </row>
    <row r="77">
      <c r="A77">
        <f>IF('Job Cards'!$A$7="","",'Job Cards'!$A$7)</f>
        <v/>
      </c>
      <c r="B77">
        <f>IF(A77="","",'Job Cards'!$B$7)</f>
        <v/>
      </c>
      <c r="C77">
        <f>IF(A77="","",'Job Cards'!$D$7)</f>
        <v/>
      </c>
      <c r="D77">
        <f>IF(A77="","",'BOM Mapping'!$A$17)</f>
        <v/>
      </c>
      <c r="E77">
        <f>IF(C77="Longitude",'BOM Mapping'!$C$17,IF(C77="Latitude",'BOM Mapping'!$D$17,IF(C77="Altitude",'BOM Mapping'!$E$17,"")))</f>
        <v/>
      </c>
      <c r="F77">
        <f>IF(C77="Longitude",'BOM Mapping'!$J$17,IF(C77="Latitude",'BOM Mapping'!$K$17,IF(C77="Altitude",'BOM Mapping'!$L$17,0)))</f>
        <v/>
      </c>
      <c r="G77">
        <f>IF(A77="","",'Job Cards'!$E$7)</f>
        <v/>
      </c>
      <c r="H77">
        <f>IF(E77="","",F77*G77)</f>
        <v/>
      </c>
      <c r="I77">
        <f>IF(E77="","",IFERROR(VLOOKUP(E77,'Master Inventory'!$A:$N,10,FALSE),0))</f>
        <v/>
      </c>
      <c r="J77">
        <f>IF(E77="","",SUMIFS(Reservations!$G:$G,Reservations!$D:$D,A77,Reservations!$E:$E,E77,Reservations!$H:$H,"Active"))</f>
        <v/>
      </c>
      <c r="K77">
        <f>IF(E77="","",MAX(0,H77-I77-J77))</f>
        <v/>
      </c>
      <c r="L77">
        <f>IF(E77="","",IF(K77&gt;0,"SHORTAGE",IF(J77&gt;=H77,"RESERVED","READY TO RESERVE")))</f>
        <v/>
      </c>
    </row>
    <row r="78">
      <c r="A78">
        <f>IF('Job Cards'!$A$7="","",'Job Cards'!$A$7)</f>
        <v/>
      </c>
      <c r="B78">
        <f>IF(A78="","",'Job Cards'!$B$7)</f>
        <v/>
      </c>
      <c r="C78">
        <f>IF(A78="","",'Job Cards'!$D$7)</f>
        <v/>
      </c>
      <c r="D78">
        <f>IF(A78="","",'BOM Mapping'!$A$18)</f>
        <v/>
      </c>
      <c r="E78">
        <f>IF(C78="Longitude",'BOM Mapping'!$C$18,IF(C78="Latitude",'BOM Mapping'!$D$18,IF(C78="Altitude",'BOM Mapping'!$E$18,"")))</f>
        <v/>
      </c>
      <c r="F78">
        <f>IF(C78="Longitude",'BOM Mapping'!$J$18,IF(C78="Latitude",'BOM Mapping'!$K$18,IF(C78="Altitude",'BOM Mapping'!$L$18,0)))</f>
        <v/>
      </c>
      <c r="G78">
        <f>IF(A78="","",'Job Cards'!$E$7)</f>
        <v/>
      </c>
      <c r="H78">
        <f>IF(E78="","",F78*G78)</f>
        <v/>
      </c>
      <c r="I78">
        <f>IF(E78="","",IFERROR(VLOOKUP(E78,'Master Inventory'!$A:$N,10,FALSE),0))</f>
        <v/>
      </c>
      <c r="J78">
        <f>IF(E78="","",SUMIFS(Reservations!$G:$G,Reservations!$D:$D,A78,Reservations!$E:$E,E78,Reservations!$H:$H,"Active"))</f>
        <v/>
      </c>
      <c r="K78">
        <f>IF(E78="","",MAX(0,H78-I78-J78))</f>
        <v/>
      </c>
      <c r="L78">
        <f>IF(E78="","",IF(K78&gt;0,"SHORTAGE",IF(J78&gt;=H78,"RESERVED","READY TO RESERVE")))</f>
        <v/>
      </c>
    </row>
    <row r="79">
      <c r="A79">
        <f>IF('Job Cards'!$A$7="","",'Job Cards'!$A$7)</f>
        <v/>
      </c>
      <c r="B79">
        <f>IF(A79="","",'Job Cards'!$B$7)</f>
        <v/>
      </c>
      <c r="C79">
        <f>IF(A79="","",'Job Cards'!$D$7)</f>
        <v/>
      </c>
      <c r="D79">
        <f>IF(A79="","",'BOM Mapping'!$A$19)</f>
        <v/>
      </c>
      <c r="E79">
        <f>IF(C79="Longitude",'BOM Mapping'!$C$19,IF(C79="Latitude",'BOM Mapping'!$D$19,IF(C79="Altitude",'BOM Mapping'!$E$19,"")))</f>
        <v/>
      </c>
      <c r="F79">
        <f>IF(C79="Longitude",'BOM Mapping'!$J$19,IF(C79="Latitude",'BOM Mapping'!$K$19,IF(C79="Altitude",'BOM Mapping'!$L$19,0)))</f>
        <v/>
      </c>
      <c r="G79">
        <f>IF(A79="","",'Job Cards'!$E$7)</f>
        <v/>
      </c>
      <c r="H79">
        <f>IF(E79="","",F79*G79)</f>
        <v/>
      </c>
      <c r="I79">
        <f>IF(E79="","",IFERROR(VLOOKUP(E79,'Master Inventory'!$A:$N,10,FALSE),0))</f>
        <v/>
      </c>
      <c r="J79">
        <f>IF(E79="","",SUMIFS(Reservations!$G:$G,Reservations!$D:$D,A79,Reservations!$E:$E,E79,Reservations!$H:$H,"Active"))</f>
        <v/>
      </c>
      <c r="K79">
        <f>IF(E79="","",MAX(0,H79-I79-J79))</f>
        <v/>
      </c>
      <c r="L79">
        <f>IF(E79="","",IF(K79&gt;0,"SHORTAGE",IF(J79&gt;=H79,"RESERVED","READY TO RESERVE")))</f>
        <v/>
      </c>
    </row>
    <row r="80">
      <c r="A80">
        <f>IF('Job Cards'!$A$7="","",'Job Cards'!$A$7)</f>
        <v/>
      </c>
      <c r="B80">
        <f>IF(A80="","",'Job Cards'!$B$7)</f>
        <v/>
      </c>
      <c r="C80">
        <f>IF(A80="","",'Job Cards'!$D$7)</f>
        <v/>
      </c>
      <c r="D80">
        <f>IF(A80="","",'BOM Mapping'!$A$20)</f>
        <v/>
      </c>
      <c r="E80">
        <f>IF(C80="Longitude",'BOM Mapping'!$C$20,IF(C80="Latitude",'BOM Mapping'!$D$20,IF(C80="Altitude",'BOM Mapping'!$E$20,"")))</f>
        <v/>
      </c>
      <c r="F80">
        <f>IF(C80="Longitude",'BOM Mapping'!$J$20,IF(C80="Latitude",'BOM Mapping'!$K$20,IF(C80="Altitude",'BOM Mapping'!$L$20,0)))</f>
        <v/>
      </c>
      <c r="G80">
        <f>IF(A80="","",'Job Cards'!$E$7)</f>
        <v/>
      </c>
      <c r="H80">
        <f>IF(E80="","",F80*G80)</f>
        <v/>
      </c>
      <c r="I80">
        <f>IF(E80="","",IFERROR(VLOOKUP(E80,'Master Inventory'!$A:$N,10,FALSE),0))</f>
        <v/>
      </c>
      <c r="J80">
        <f>IF(E80="","",SUMIFS(Reservations!$G:$G,Reservations!$D:$D,A80,Reservations!$E:$E,E80,Reservations!$H:$H,"Active"))</f>
        <v/>
      </c>
      <c r="K80">
        <f>IF(E80="","",MAX(0,H80-I80-J80))</f>
        <v/>
      </c>
      <c r="L80">
        <f>IF(E80="","",IF(K80&gt;0,"SHORTAGE",IF(J80&gt;=H80,"RESERVED","READY TO RESERVE")))</f>
        <v/>
      </c>
    </row>
    <row r="81">
      <c r="A81">
        <f>IF('Job Cards'!$A$7="","",'Job Cards'!$A$7)</f>
        <v/>
      </c>
      <c r="B81">
        <f>IF(A81="","",'Job Cards'!$B$7)</f>
        <v/>
      </c>
      <c r="C81">
        <f>IF(A81="","",'Job Cards'!$D$7)</f>
        <v/>
      </c>
      <c r="D81">
        <f>IF(A81="","",'BOM Mapping'!$A$21)</f>
        <v/>
      </c>
      <c r="E81">
        <f>IF(C81="Longitude",'BOM Mapping'!$C$21,IF(C81="Latitude",'BOM Mapping'!$D$21,IF(C81="Altitude",'BOM Mapping'!$E$21,"")))</f>
        <v/>
      </c>
      <c r="F81">
        <f>IF(C81="Longitude",'BOM Mapping'!$J$21,IF(C81="Latitude",'BOM Mapping'!$K$21,IF(C81="Altitude",'BOM Mapping'!$L$21,0)))</f>
        <v/>
      </c>
      <c r="G81">
        <f>IF(A81="","",'Job Cards'!$E$7)</f>
        <v/>
      </c>
      <c r="H81">
        <f>IF(E81="","",F81*G81)</f>
        <v/>
      </c>
      <c r="I81">
        <f>IF(E81="","",IFERROR(VLOOKUP(E81,'Master Inventory'!$A:$N,10,FALSE),0))</f>
        <v/>
      </c>
      <c r="J81">
        <f>IF(E81="","",SUMIFS(Reservations!$G:$G,Reservations!$D:$D,A81,Reservations!$E:$E,E81,Reservations!$H:$H,"Active"))</f>
        <v/>
      </c>
      <c r="K81">
        <f>IF(E81="","",MAX(0,H81-I81-J81))</f>
        <v/>
      </c>
      <c r="L81">
        <f>IF(E81="","",IF(K81&gt;0,"SHORTAGE",IF(J81&gt;=H81,"RESERVED","READY TO RESERVE")))</f>
        <v/>
      </c>
    </row>
    <row r="82">
      <c r="A82">
        <f>IF('Job Cards'!$A$7="","",'Job Cards'!$A$7)</f>
        <v/>
      </c>
      <c r="B82">
        <f>IF(A82="","",'Job Cards'!$B$7)</f>
        <v/>
      </c>
      <c r="C82">
        <f>IF(A82="","",'Job Cards'!$D$7)</f>
        <v/>
      </c>
      <c r="D82">
        <f>IF(A82="","",'BOM Mapping'!$A$22)</f>
        <v/>
      </c>
      <c r="E82">
        <f>IF(C82="Longitude",'BOM Mapping'!$C$22,IF(C82="Latitude",'BOM Mapping'!$D$22,IF(C82="Altitude",'BOM Mapping'!$E$22,"")))</f>
        <v/>
      </c>
      <c r="F82">
        <f>IF(C82="Longitude",'BOM Mapping'!$J$22,IF(C82="Latitude",'BOM Mapping'!$K$22,IF(C82="Altitude",'BOM Mapping'!$L$22,0)))</f>
        <v/>
      </c>
      <c r="G82">
        <f>IF(A82="","",'Job Cards'!$E$7)</f>
        <v/>
      </c>
      <c r="H82">
        <f>IF(E82="","",F82*G82)</f>
        <v/>
      </c>
      <c r="I82">
        <f>IF(E82="","",IFERROR(VLOOKUP(E82,'Master Inventory'!$A:$N,10,FALSE),0))</f>
        <v/>
      </c>
      <c r="J82">
        <f>IF(E82="","",SUMIFS(Reservations!$G:$G,Reservations!$D:$D,A82,Reservations!$E:$E,E82,Reservations!$H:$H,"Active"))</f>
        <v/>
      </c>
      <c r="K82">
        <f>IF(E82="","",MAX(0,H82-I82-J82))</f>
        <v/>
      </c>
      <c r="L82">
        <f>IF(E82="","",IF(K82&gt;0,"SHORTAGE",IF(J82&gt;=H82,"RESERVED","READY TO RESERVE")))</f>
        <v/>
      </c>
    </row>
    <row r="83">
      <c r="A83">
        <f>IF('Job Cards'!$A$7="","",'Job Cards'!$A$7)</f>
        <v/>
      </c>
      <c r="B83">
        <f>IF(A83="","",'Job Cards'!$B$7)</f>
        <v/>
      </c>
      <c r="C83">
        <f>IF(A83="","",'Job Cards'!$D$7)</f>
        <v/>
      </c>
      <c r="D83">
        <f>IF(A83="","",'BOM Mapping'!$A$23)</f>
        <v/>
      </c>
      <c r="E83">
        <f>IF(C83="Longitude",'BOM Mapping'!$C$23,IF(C83="Latitude",'BOM Mapping'!$D$23,IF(C83="Altitude",'BOM Mapping'!$E$23,"")))</f>
        <v/>
      </c>
      <c r="F83">
        <f>IF(C83="Longitude",'BOM Mapping'!$J$23,IF(C83="Latitude",'BOM Mapping'!$K$23,IF(C83="Altitude",'BOM Mapping'!$L$23,0)))</f>
        <v/>
      </c>
      <c r="G83">
        <f>IF(A83="","",'Job Cards'!$E$7)</f>
        <v/>
      </c>
      <c r="H83">
        <f>IF(E83="","",F83*G83)</f>
        <v/>
      </c>
      <c r="I83">
        <f>IF(E83="","",IFERROR(VLOOKUP(E83,'Master Inventory'!$A:$N,10,FALSE),0))</f>
        <v/>
      </c>
      <c r="J83">
        <f>IF(E83="","",SUMIFS(Reservations!$G:$G,Reservations!$D:$D,A83,Reservations!$E:$E,E83,Reservations!$H:$H,"Active"))</f>
        <v/>
      </c>
      <c r="K83">
        <f>IF(E83="","",MAX(0,H83-I83-J83))</f>
        <v/>
      </c>
      <c r="L83">
        <f>IF(E83="","",IF(K83&gt;0,"SHORTAGE",IF(J83&gt;=H83,"RESERVED","READY TO RESERVE")))</f>
        <v/>
      </c>
    </row>
    <row r="84">
      <c r="A84">
        <f>IF('Job Cards'!$A$8="","",'Job Cards'!$A$8)</f>
        <v/>
      </c>
      <c r="B84">
        <f>IF(A84="","",'Job Cards'!$B$8)</f>
        <v/>
      </c>
      <c r="C84">
        <f>IF(A84="","",'Job Cards'!$D$8)</f>
        <v/>
      </c>
      <c r="D84">
        <f>IF(A84="","",'BOM Mapping'!$A$4)</f>
        <v/>
      </c>
      <c r="E84">
        <f>IF(C84="Longitude",'BOM Mapping'!$C$4,IF(C84="Latitude",'BOM Mapping'!$D$4,IF(C84="Altitude",'BOM Mapping'!$E$4,"")))</f>
        <v/>
      </c>
      <c r="F84">
        <f>IF(C84="Longitude",'BOM Mapping'!$J$4,IF(C84="Latitude",'BOM Mapping'!$K$4,IF(C84="Altitude",'BOM Mapping'!$L$4,0)))</f>
        <v/>
      </c>
      <c r="G84">
        <f>IF(A84="","",'Job Cards'!$E$8)</f>
        <v/>
      </c>
      <c r="H84">
        <f>IF(E84="","",F84*G84)</f>
        <v/>
      </c>
      <c r="I84">
        <f>IF(E84="","",IFERROR(VLOOKUP(E84,'Master Inventory'!$A:$N,10,FALSE),0))</f>
        <v/>
      </c>
      <c r="J84">
        <f>IF(E84="","",SUMIFS(Reservations!$G:$G,Reservations!$D:$D,A84,Reservations!$E:$E,E84,Reservations!$H:$H,"Active"))</f>
        <v/>
      </c>
      <c r="K84">
        <f>IF(E84="","",MAX(0,H84-I84-J84))</f>
        <v/>
      </c>
      <c r="L84">
        <f>IF(E84="","",IF(K84&gt;0,"SHORTAGE",IF(J84&gt;=H84,"RESERVED","READY TO RESERVE")))</f>
        <v/>
      </c>
    </row>
    <row r="85">
      <c r="A85">
        <f>IF('Job Cards'!$A$8="","",'Job Cards'!$A$8)</f>
        <v/>
      </c>
      <c r="B85">
        <f>IF(A85="","",'Job Cards'!$B$8)</f>
        <v/>
      </c>
      <c r="C85">
        <f>IF(A85="","",'Job Cards'!$D$8)</f>
        <v/>
      </c>
      <c r="D85">
        <f>IF(A85="","",'BOM Mapping'!$A$5)</f>
        <v/>
      </c>
      <c r="E85">
        <f>IF(C85="Longitude",'BOM Mapping'!$C$5,IF(C85="Latitude",'BOM Mapping'!$D$5,IF(C85="Altitude",'BOM Mapping'!$E$5,"")))</f>
        <v/>
      </c>
      <c r="F85">
        <f>IF(C85="Longitude",'BOM Mapping'!$J$5,IF(C85="Latitude",'BOM Mapping'!$K$5,IF(C85="Altitude",'BOM Mapping'!$L$5,0)))</f>
        <v/>
      </c>
      <c r="G85">
        <f>IF(A85="","",'Job Cards'!$E$8)</f>
        <v/>
      </c>
      <c r="H85">
        <f>IF(E85="","",F85*G85)</f>
        <v/>
      </c>
      <c r="I85">
        <f>IF(E85="","",IFERROR(VLOOKUP(E85,'Master Inventory'!$A:$N,10,FALSE),0))</f>
        <v/>
      </c>
      <c r="J85">
        <f>IF(E85="","",SUMIFS(Reservations!$G:$G,Reservations!$D:$D,A85,Reservations!$E:$E,E85,Reservations!$H:$H,"Active"))</f>
        <v/>
      </c>
      <c r="K85">
        <f>IF(E85="","",MAX(0,H85-I85-J85))</f>
        <v/>
      </c>
      <c r="L85">
        <f>IF(E85="","",IF(K85&gt;0,"SHORTAGE",IF(J85&gt;=H85,"RESERVED","READY TO RESERVE")))</f>
        <v/>
      </c>
    </row>
    <row r="86">
      <c r="A86">
        <f>IF('Job Cards'!$A$8="","",'Job Cards'!$A$8)</f>
        <v/>
      </c>
      <c r="B86">
        <f>IF(A86="","",'Job Cards'!$B$8)</f>
        <v/>
      </c>
      <c r="C86">
        <f>IF(A86="","",'Job Cards'!$D$8)</f>
        <v/>
      </c>
      <c r="D86">
        <f>IF(A86="","",'BOM Mapping'!$A$6)</f>
        <v/>
      </c>
      <c r="E86">
        <f>IF(C86="Longitude",'BOM Mapping'!$C$6,IF(C86="Latitude",'BOM Mapping'!$D$6,IF(C86="Altitude",'BOM Mapping'!$E$6,"")))</f>
        <v/>
      </c>
      <c r="F86">
        <f>IF(C86="Longitude",'BOM Mapping'!$J$6,IF(C86="Latitude",'BOM Mapping'!$K$6,IF(C86="Altitude",'BOM Mapping'!$L$6,0)))</f>
        <v/>
      </c>
      <c r="G86">
        <f>IF(A86="","",'Job Cards'!$E$8)</f>
        <v/>
      </c>
      <c r="H86">
        <f>IF(E86="","",F86*G86)</f>
        <v/>
      </c>
      <c r="I86">
        <f>IF(E86="","",IFERROR(VLOOKUP(E86,'Master Inventory'!$A:$N,10,FALSE),0))</f>
        <v/>
      </c>
      <c r="J86">
        <f>IF(E86="","",SUMIFS(Reservations!$G:$G,Reservations!$D:$D,A86,Reservations!$E:$E,E86,Reservations!$H:$H,"Active"))</f>
        <v/>
      </c>
      <c r="K86">
        <f>IF(E86="","",MAX(0,H86-I86-J86))</f>
        <v/>
      </c>
      <c r="L86">
        <f>IF(E86="","",IF(K86&gt;0,"SHORTAGE",IF(J86&gt;=H86,"RESERVED","READY TO RESERVE")))</f>
        <v/>
      </c>
    </row>
    <row r="87">
      <c r="A87">
        <f>IF('Job Cards'!$A$8="","",'Job Cards'!$A$8)</f>
        <v/>
      </c>
      <c r="B87">
        <f>IF(A87="","",'Job Cards'!$B$8)</f>
        <v/>
      </c>
      <c r="C87">
        <f>IF(A87="","",'Job Cards'!$D$8)</f>
        <v/>
      </c>
      <c r="D87">
        <f>IF(A87="","",'BOM Mapping'!$A$7)</f>
        <v/>
      </c>
      <c r="E87">
        <f>IF(C87="Longitude",'BOM Mapping'!$C$7,IF(C87="Latitude",'BOM Mapping'!$D$7,IF(C87="Altitude",'BOM Mapping'!$E$7,"")))</f>
        <v/>
      </c>
      <c r="F87">
        <f>IF(C87="Longitude",'BOM Mapping'!$J$7,IF(C87="Latitude",'BOM Mapping'!$K$7,IF(C87="Altitude",'BOM Mapping'!$L$7,0)))</f>
        <v/>
      </c>
      <c r="G87">
        <f>IF(A87="","",'Job Cards'!$E$8)</f>
        <v/>
      </c>
      <c r="H87">
        <f>IF(E87="","",F87*G87)</f>
        <v/>
      </c>
      <c r="I87">
        <f>IF(E87="","",IFERROR(VLOOKUP(E87,'Master Inventory'!$A:$N,10,FALSE),0))</f>
        <v/>
      </c>
      <c r="J87">
        <f>IF(E87="","",SUMIFS(Reservations!$G:$G,Reservations!$D:$D,A87,Reservations!$E:$E,E87,Reservations!$H:$H,"Active"))</f>
        <v/>
      </c>
      <c r="K87">
        <f>IF(E87="","",MAX(0,H87-I87-J87))</f>
        <v/>
      </c>
      <c r="L87">
        <f>IF(E87="","",IF(K87&gt;0,"SHORTAGE",IF(J87&gt;=H87,"RESERVED","READY TO RESERVE")))</f>
        <v/>
      </c>
    </row>
    <row r="88">
      <c r="A88">
        <f>IF('Job Cards'!$A$8="","",'Job Cards'!$A$8)</f>
        <v/>
      </c>
      <c r="B88">
        <f>IF(A88="","",'Job Cards'!$B$8)</f>
        <v/>
      </c>
      <c r="C88">
        <f>IF(A88="","",'Job Cards'!$D$8)</f>
        <v/>
      </c>
      <c r="D88">
        <f>IF(A88="","",'BOM Mapping'!$A$8)</f>
        <v/>
      </c>
      <c r="E88">
        <f>IF(C88="Longitude",'BOM Mapping'!$C$8,IF(C88="Latitude",'BOM Mapping'!$D$8,IF(C88="Altitude",'BOM Mapping'!$E$8,"")))</f>
        <v/>
      </c>
      <c r="F88">
        <f>IF(C88="Longitude",'BOM Mapping'!$J$8,IF(C88="Latitude",'BOM Mapping'!$K$8,IF(C88="Altitude",'BOM Mapping'!$L$8,0)))</f>
        <v/>
      </c>
      <c r="G88">
        <f>IF(A88="","",'Job Cards'!$E$8)</f>
        <v/>
      </c>
      <c r="H88">
        <f>IF(E88="","",F88*G88)</f>
        <v/>
      </c>
      <c r="I88">
        <f>IF(E88="","",IFERROR(VLOOKUP(E88,'Master Inventory'!$A:$N,10,FALSE),0))</f>
        <v/>
      </c>
      <c r="J88">
        <f>IF(E88="","",SUMIFS(Reservations!$G:$G,Reservations!$D:$D,A88,Reservations!$E:$E,E88,Reservations!$H:$H,"Active"))</f>
        <v/>
      </c>
      <c r="K88">
        <f>IF(E88="","",MAX(0,H88-I88-J88))</f>
        <v/>
      </c>
      <c r="L88">
        <f>IF(E88="","",IF(K88&gt;0,"SHORTAGE",IF(J88&gt;=H88,"RESERVED","READY TO RESERVE")))</f>
        <v/>
      </c>
    </row>
    <row r="89">
      <c r="A89">
        <f>IF('Job Cards'!$A$8="","",'Job Cards'!$A$8)</f>
        <v/>
      </c>
      <c r="B89">
        <f>IF(A89="","",'Job Cards'!$B$8)</f>
        <v/>
      </c>
      <c r="C89">
        <f>IF(A89="","",'Job Cards'!$D$8)</f>
        <v/>
      </c>
      <c r="D89">
        <f>IF(A89="","",'BOM Mapping'!$A$9)</f>
        <v/>
      </c>
      <c r="E89">
        <f>IF(C89="Longitude",'BOM Mapping'!$C$9,IF(C89="Latitude",'BOM Mapping'!$D$9,IF(C89="Altitude",'BOM Mapping'!$E$9,"")))</f>
        <v/>
      </c>
      <c r="F89">
        <f>IF(C89="Longitude",'BOM Mapping'!$J$9,IF(C89="Latitude",'BOM Mapping'!$K$9,IF(C89="Altitude",'BOM Mapping'!$L$9,0)))</f>
        <v/>
      </c>
      <c r="G89">
        <f>IF(A89="","",'Job Cards'!$E$8)</f>
        <v/>
      </c>
      <c r="H89">
        <f>IF(E89="","",F89*G89)</f>
        <v/>
      </c>
      <c r="I89">
        <f>IF(E89="","",IFERROR(VLOOKUP(E89,'Master Inventory'!$A:$N,10,FALSE),0))</f>
        <v/>
      </c>
      <c r="J89">
        <f>IF(E89="","",SUMIFS(Reservations!$G:$G,Reservations!$D:$D,A89,Reservations!$E:$E,E89,Reservations!$H:$H,"Active"))</f>
        <v/>
      </c>
      <c r="K89">
        <f>IF(E89="","",MAX(0,H89-I89-J89))</f>
        <v/>
      </c>
      <c r="L89">
        <f>IF(E89="","",IF(K89&gt;0,"SHORTAGE",IF(J89&gt;=H89,"RESERVED","READY TO RESERVE")))</f>
        <v/>
      </c>
    </row>
    <row r="90">
      <c r="A90">
        <f>IF('Job Cards'!$A$8="","",'Job Cards'!$A$8)</f>
        <v/>
      </c>
      <c r="B90">
        <f>IF(A90="","",'Job Cards'!$B$8)</f>
        <v/>
      </c>
      <c r="C90">
        <f>IF(A90="","",'Job Cards'!$D$8)</f>
        <v/>
      </c>
      <c r="D90">
        <f>IF(A90="","",'BOM Mapping'!$A$10)</f>
        <v/>
      </c>
      <c r="E90">
        <f>IF(C90="Longitude",'BOM Mapping'!$C$10,IF(C90="Latitude",'BOM Mapping'!$D$10,IF(C90="Altitude",'BOM Mapping'!$E$10,"")))</f>
        <v/>
      </c>
      <c r="F90">
        <f>IF(C90="Longitude",'BOM Mapping'!$J$10,IF(C90="Latitude",'BOM Mapping'!$K$10,IF(C90="Altitude",'BOM Mapping'!$L$10,0)))</f>
        <v/>
      </c>
      <c r="G90">
        <f>IF(A90="","",'Job Cards'!$E$8)</f>
        <v/>
      </c>
      <c r="H90">
        <f>IF(E90="","",F90*G90)</f>
        <v/>
      </c>
      <c r="I90">
        <f>IF(E90="","",IFERROR(VLOOKUP(E90,'Master Inventory'!$A:$N,10,FALSE),0))</f>
        <v/>
      </c>
      <c r="J90">
        <f>IF(E90="","",SUMIFS(Reservations!$G:$G,Reservations!$D:$D,A90,Reservations!$E:$E,E90,Reservations!$H:$H,"Active"))</f>
        <v/>
      </c>
      <c r="K90">
        <f>IF(E90="","",MAX(0,H90-I90-J90))</f>
        <v/>
      </c>
      <c r="L90">
        <f>IF(E90="","",IF(K90&gt;0,"SHORTAGE",IF(J90&gt;=H90,"RESERVED","READY TO RESERVE")))</f>
        <v/>
      </c>
    </row>
    <row r="91">
      <c r="A91">
        <f>IF('Job Cards'!$A$8="","",'Job Cards'!$A$8)</f>
        <v/>
      </c>
      <c r="B91">
        <f>IF(A91="","",'Job Cards'!$B$8)</f>
        <v/>
      </c>
      <c r="C91">
        <f>IF(A91="","",'Job Cards'!$D$8)</f>
        <v/>
      </c>
      <c r="D91">
        <f>IF(A91="","",'BOM Mapping'!$A$11)</f>
        <v/>
      </c>
      <c r="E91">
        <f>IF(C91="Longitude",'BOM Mapping'!$C$11,IF(C91="Latitude",'BOM Mapping'!$D$11,IF(C91="Altitude",'BOM Mapping'!$E$11,"")))</f>
        <v/>
      </c>
      <c r="F91">
        <f>IF(C91="Longitude",'BOM Mapping'!$J$11,IF(C91="Latitude",'BOM Mapping'!$K$11,IF(C91="Altitude",'BOM Mapping'!$L$11,0)))</f>
        <v/>
      </c>
      <c r="G91">
        <f>IF(A91="","",'Job Cards'!$E$8)</f>
        <v/>
      </c>
      <c r="H91">
        <f>IF(E91="","",F91*G91)</f>
        <v/>
      </c>
      <c r="I91">
        <f>IF(E91="","",IFERROR(VLOOKUP(E91,'Master Inventory'!$A:$N,10,FALSE),0))</f>
        <v/>
      </c>
      <c r="J91">
        <f>IF(E91="","",SUMIFS(Reservations!$G:$G,Reservations!$D:$D,A91,Reservations!$E:$E,E91,Reservations!$H:$H,"Active"))</f>
        <v/>
      </c>
      <c r="K91">
        <f>IF(E91="","",MAX(0,H91-I91-J91))</f>
        <v/>
      </c>
      <c r="L91">
        <f>IF(E91="","",IF(K91&gt;0,"SHORTAGE",IF(J91&gt;=H91,"RESERVED","READY TO RESERVE")))</f>
        <v/>
      </c>
    </row>
    <row r="92">
      <c r="A92">
        <f>IF('Job Cards'!$A$8="","",'Job Cards'!$A$8)</f>
        <v/>
      </c>
      <c r="B92">
        <f>IF(A92="","",'Job Cards'!$B$8)</f>
        <v/>
      </c>
      <c r="C92">
        <f>IF(A92="","",'Job Cards'!$D$8)</f>
        <v/>
      </c>
      <c r="D92">
        <f>IF(A92="","",'BOM Mapping'!$A$12)</f>
        <v/>
      </c>
      <c r="E92">
        <f>IF(C92="Longitude",'BOM Mapping'!$C$12,IF(C92="Latitude",'BOM Mapping'!$D$12,IF(C92="Altitude",'BOM Mapping'!$E$12,"")))</f>
        <v/>
      </c>
      <c r="F92">
        <f>IF(C92="Longitude",'BOM Mapping'!$J$12,IF(C92="Latitude",'BOM Mapping'!$K$12,IF(C92="Altitude",'BOM Mapping'!$L$12,0)))</f>
        <v/>
      </c>
      <c r="G92">
        <f>IF(A92="","",'Job Cards'!$E$8)</f>
        <v/>
      </c>
      <c r="H92">
        <f>IF(E92="","",F92*G92)</f>
        <v/>
      </c>
      <c r="I92">
        <f>IF(E92="","",IFERROR(VLOOKUP(E92,'Master Inventory'!$A:$N,10,FALSE),0))</f>
        <v/>
      </c>
      <c r="J92">
        <f>IF(E92="","",SUMIFS(Reservations!$G:$G,Reservations!$D:$D,A92,Reservations!$E:$E,E92,Reservations!$H:$H,"Active"))</f>
        <v/>
      </c>
      <c r="K92">
        <f>IF(E92="","",MAX(0,H92-I92-J92))</f>
        <v/>
      </c>
      <c r="L92">
        <f>IF(E92="","",IF(K92&gt;0,"SHORTAGE",IF(J92&gt;=H92,"RESERVED","READY TO RESERVE")))</f>
        <v/>
      </c>
    </row>
    <row r="93">
      <c r="A93">
        <f>IF('Job Cards'!$A$8="","",'Job Cards'!$A$8)</f>
        <v/>
      </c>
      <c r="B93">
        <f>IF(A93="","",'Job Cards'!$B$8)</f>
        <v/>
      </c>
      <c r="C93">
        <f>IF(A93="","",'Job Cards'!$D$8)</f>
        <v/>
      </c>
      <c r="D93">
        <f>IF(A93="","",'BOM Mapping'!$A$13)</f>
        <v/>
      </c>
      <c r="E93">
        <f>IF(C93="Longitude",'BOM Mapping'!$C$13,IF(C93="Latitude",'BOM Mapping'!$D$13,IF(C93="Altitude",'BOM Mapping'!$E$13,"")))</f>
        <v/>
      </c>
      <c r="F93">
        <f>IF(C93="Longitude",'BOM Mapping'!$J$13,IF(C93="Latitude",'BOM Mapping'!$K$13,IF(C93="Altitude",'BOM Mapping'!$L$13,0)))</f>
        <v/>
      </c>
      <c r="G93">
        <f>IF(A93="","",'Job Cards'!$E$8)</f>
        <v/>
      </c>
      <c r="H93">
        <f>IF(E93="","",F93*G93)</f>
        <v/>
      </c>
      <c r="I93">
        <f>IF(E93="","",IFERROR(VLOOKUP(E93,'Master Inventory'!$A:$N,10,FALSE),0))</f>
        <v/>
      </c>
      <c r="J93">
        <f>IF(E93="","",SUMIFS(Reservations!$G:$G,Reservations!$D:$D,A93,Reservations!$E:$E,E93,Reservations!$H:$H,"Active"))</f>
        <v/>
      </c>
      <c r="K93">
        <f>IF(E93="","",MAX(0,H93-I93-J93))</f>
        <v/>
      </c>
      <c r="L93">
        <f>IF(E93="","",IF(K93&gt;0,"SHORTAGE",IF(J93&gt;=H93,"RESERVED","READY TO RESERVE")))</f>
        <v/>
      </c>
    </row>
    <row r="94">
      <c r="A94">
        <f>IF('Job Cards'!$A$8="","",'Job Cards'!$A$8)</f>
        <v/>
      </c>
      <c r="B94">
        <f>IF(A94="","",'Job Cards'!$B$8)</f>
        <v/>
      </c>
      <c r="C94">
        <f>IF(A94="","",'Job Cards'!$D$8)</f>
        <v/>
      </c>
      <c r="D94">
        <f>IF(A94="","",'BOM Mapping'!$A$14)</f>
        <v/>
      </c>
      <c r="E94">
        <f>IF(C94="Longitude",'BOM Mapping'!$C$14,IF(C94="Latitude",'BOM Mapping'!$D$14,IF(C94="Altitude",'BOM Mapping'!$E$14,"")))</f>
        <v/>
      </c>
      <c r="F94">
        <f>IF(C94="Longitude",'BOM Mapping'!$J$14,IF(C94="Latitude",'BOM Mapping'!$K$14,IF(C94="Altitude",'BOM Mapping'!$L$14,0)))</f>
        <v/>
      </c>
      <c r="G94">
        <f>IF(A94="","",'Job Cards'!$E$8)</f>
        <v/>
      </c>
      <c r="H94">
        <f>IF(E94="","",F94*G94)</f>
        <v/>
      </c>
      <c r="I94">
        <f>IF(E94="","",IFERROR(VLOOKUP(E94,'Master Inventory'!$A:$N,10,FALSE),0))</f>
        <v/>
      </c>
      <c r="J94">
        <f>IF(E94="","",SUMIFS(Reservations!$G:$G,Reservations!$D:$D,A94,Reservations!$E:$E,E94,Reservations!$H:$H,"Active"))</f>
        <v/>
      </c>
      <c r="K94">
        <f>IF(E94="","",MAX(0,H94-I94-J94))</f>
        <v/>
      </c>
      <c r="L94">
        <f>IF(E94="","",IF(K94&gt;0,"SHORTAGE",IF(J94&gt;=H94,"RESERVED","READY TO RESERVE")))</f>
        <v/>
      </c>
    </row>
    <row r="95">
      <c r="A95">
        <f>IF('Job Cards'!$A$8="","",'Job Cards'!$A$8)</f>
        <v/>
      </c>
      <c r="B95">
        <f>IF(A95="","",'Job Cards'!$B$8)</f>
        <v/>
      </c>
      <c r="C95">
        <f>IF(A95="","",'Job Cards'!$D$8)</f>
        <v/>
      </c>
      <c r="D95">
        <f>IF(A95="","",'BOM Mapping'!$A$15)</f>
        <v/>
      </c>
      <c r="E95">
        <f>IF(C95="Longitude",'BOM Mapping'!$C$15,IF(C95="Latitude",'BOM Mapping'!$D$15,IF(C95="Altitude",'BOM Mapping'!$E$15,"")))</f>
        <v/>
      </c>
      <c r="F95">
        <f>IF(C95="Longitude",'BOM Mapping'!$J$15,IF(C95="Latitude",'BOM Mapping'!$K$15,IF(C95="Altitude",'BOM Mapping'!$L$15,0)))</f>
        <v/>
      </c>
      <c r="G95">
        <f>IF(A95="","",'Job Cards'!$E$8)</f>
        <v/>
      </c>
      <c r="H95">
        <f>IF(E95="","",F95*G95)</f>
        <v/>
      </c>
      <c r="I95">
        <f>IF(E95="","",IFERROR(VLOOKUP(E95,'Master Inventory'!$A:$N,10,FALSE),0))</f>
        <v/>
      </c>
      <c r="J95">
        <f>IF(E95="","",SUMIFS(Reservations!$G:$G,Reservations!$D:$D,A95,Reservations!$E:$E,E95,Reservations!$H:$H,"Active"))</f>
        <v/>
      </c>
      <c r="K95">
        <f>IF(E95="","",MAX(0,H95-I95-J95))</f>
        <v/>
      </c>
      <c r="L95">
        <f>IF(E95="","",IF(K95&gt;0,"SHORTAGE",IF(J95&gt;=H95,"RESERVED","READY TO RESERVE")))</f>
        <v/>
      </c>
    </row>
    <row r="96">
      <c r="A96">
        <f>IF('Job Cards'!$A$8="","",'Job Cards'!$A$8)</f>
        <v/>
      </c>
      <c r="B96">
        <f>IF(A96="","",'Job Cards'!$B$8)</f>
        <v/>
      </c>
      <c r="C96">
        <f>IF(A96="","",'Job Cards'!$D$8)</f>
        <v/>
      </c>
      <c r="D96">
        <f>IF(A96="","",'BOM Mapping'!$A$16)</f>
        <v/>
      </c>
      <c r="E96">
        <f>IF(C96="Longitude",'BOM Mapping'!$C$16,IF(C96="Latitude",'BOM Mapping'!$D$16,IF(C96="Altitude",'BOM Mapping'!$E$16,"")))</f>
        <v/>
      </c>
      <c r="F96">
        <f>IF(C96="Longitude",'BOM Mapping'!$J$16,IF(C96="Latitude",'BOM Mapping'!$K$16,IF(C96="Altitude",'BOM Mapping'!$L$16,0)))</f>
        <v/>
      </c>
      <c r="G96">
        <f>IF(A96="","",'Job Cards'!$E$8)</f>
        <v/>
      </c>
      <c r="H96">
        <f>IF(E96="","",F96*G96)</f>
        <v/>
      </c>
      <c r="I96">
        <f>IF(E96="","",IFERROR(VLOOKUP(E96,'Master Inventory'!$A:$N,10,FALSE),0))</f>
        <v/>
      </c>
      <c r="J96">
        <f>IF(E96="","",SUMIFS(Reservations!$G:$G,Reservations!$D:$D,A96,Reservations!$E:$E,E96,Reservations!$H:$H,"Active"))</f>
        <v/>
      </c>
      <c r="K96">
        <f>IF(E96="","",MAX(0,H96-I96-J96))</f>
        <v/>
      </c>
      <c r="L96">
        <f>IF(E96="","",IF(K96&gt;0,"SHORTAGE",IF(J96&gt;=H96,"RESERVED","READY TO RESERVE")))</f>
        <v/>
      </c>
    </row>
    <row r="97">
      <c r="A97">
        <f>IF('Job Cards'!$A$8="","",'Job Cards'!$A$8)</f>
        <v/>
      </c>
      <c r="B97">
        <f>IF(A97="","",'Job Cards'!$B$8)</f>
        <v/>
      </c>
      <c r="C97">
        <f>IF(A97="","",'Job Cards'!$D$8)</f>
        <v/>
      </c>
      <c r="D97">
        <f>IF(A97="","",'BOM Mapping'!$A$17)</f>
        <v/>
      </c>
      <c r="E97">
        <f>IF(C97="Longitude",'BOM Mapping'!$C$17,IF(C97="Latitude",'BOM Mapping'!$D$17,IF(C97="Altitude",'BOM Mapping'!$E$17,"")))</f>
        <v/>
      </c>
      <c r="F97">
        <f>IF(C97="Longitude",'BOM Mapping'!$J$17,IF(C97="Latitude",'BOM Mapping'!$K$17,IF(C97="Altitude",'BOM Mapping'!$L$17,0)))</f>
        <v/>
      </c>
      <c r="G97">
        <f>IF(A97="","",'Job Cards'!$E$8)</f>
        <v/>
      </c>
      <c r="H97">
        <f>IF(E97="","",F97*G97)</f>
        <v/>
      </c>
      <c r="I97">
        <f>IF(E97="","",IFERROR(VLOOKUP(E97,'Master Inventory'!$A:$N,10,FALSE),0))</f>
        <v/>
      </c>
      <c r="J97">
        <f>IF(E97="","",SUMIFS(Reservations!$G:$G,Reservations!$D:$D,A97,Reservations!$E:$E,E97,Reservations!$H:$H,"Active"))</f>
        <v/>
      </c>
      <c r="K97">
        <f>IF(E97="","",MAX(0,H97-I97-J97))</f>
        <v/>
      </c>
      <c r="L97">
        <f>IF(E97="","",IF(K97&gt;0,"SHORTAGE",IF(J97&gt;=H97,"RESERVED","READY TO RESERVE")))</f>
        <v/>
      </c>
    </row>
    <row r="98">
      <c r="A98">
        <f>IF('Job Cards'!$A$8="","",'Job Cards'!$A$8)</f>
        <v/>
      </c>
      <c r="B98">
        <f>IF(A98="","",'Job Cards'!$B$8)</f>
        <v/>
      </c>
      <c r="C98">
        <f>IF(A98="","",'Job Cards'!$D$8)</f>
        <v/>
      </c>
      <c r="D98">
        <f>IF(A98="","",'BOM Mapping'!$A$18)</f>
        <v/>
      </c>
      <c r="E98">
        <f>IF(C98="Longitude",'BOM Mapping'!$C$18,IF(C98="Latitude",'BOM Mapping'!$D$18,IF(C98="Altitude",'BOM Mapping'!$E$18,"")))</f>
        <v/>
      </c>
      <c r="F98">
        <f>IF(C98="Longitude",'BOM Mapping'!$J$18,IF(C98="Latitude",'BOM Mapping'!$K$18,IF(C98="Altitude",'BOM Mapping'!$L$18,0)))</f>
        <v/>
      </c>
      <c r="G98">
        <f>IF(A98="","",'Job Cards'!$E$8)</f>
        <v/>
      </c>
      <c r="H98">
        <f>IF(E98="","",F98*G98)</f>
        <v/>
      </c>
      <c r="I98">
        <f>IF(E98="","",IFERROR(VLOOKUP(E98,'Master Inventory'!$A:$N,10,FALSE),0))</f>
        <v/>
      </c>
      <c r="J98">
        <f>IF(E98="","",SUMIFS(Reservations!$G:$G,Reservations!$D:$D,A98,Reservations!$E:$E,E98,Reservations!$H:$H,"Active"))</f>
        <v/>
      </c>
      <c r="K98">
        <f>IF(E98="","",MAX(0,H98-I98-J98))</f>
        <v/>
      </c>
      <c r="L98">
        <f>IF(E98="","",IF(K98&gt;0,"SHORTAGE",IF(J98&gt;=H98,"RESERVED","READY TO RESERVE")))</f>
        <v/>
      </c>
    </row>
    <row r="99">
      <c r="A99">
        <f>IF('Job Cards'!$A$8="","",'Job Cards'!$A$8)</f>
        <v/>
      </c>
      <c r="B99">
        <f>IF(A99="","",'Job Cards'!$B$8)</f>
        <v/>
      </c>
      <c r="C99">
        <f>IF(A99="","",'Job Cards'!$D$8)</f>
        <v/>
      </c>
      <c r="D99">
        <f>IF(A99="","",'BOM Mapping'!$A$19)</f>
        <v/>
      </c>
      <c r="E99">
        <f>IF(C99="Longitude",'BOM Mapping'!$C$19,IF(C99="Latitude",'BOM Mapping'!$D$19,IF(C99="Altitude",'BOM Mapping'!$E$19,"")))</f>
        <v/>
      </c>
      <c r="F99">
        <f>IF(C99="Longitude",'BOM Mapping'!$J$19,IF(C99="Latitude",'BOM Mapping'!$K$19,IF(C99="Altitude",'BOM Mapping'!$L$19,0)))</f>
        <v/>
      </c>
      <c r="G99">
        <f>IF(A99="","",'Job Cards'!$E$8)</f>
        <v/>
      </c>
      <c r="H99">
        <f>IF(E99="","",F99*G99)</f>
        <v/>
      </c>
      <c r="I99">
        <f>IF(E99="","",IFERROR(VLOOKUP(E99,'Master Inventory'!$A:$N,10,FALSE),0))</f>
        <v/>
      </c>
      <c r="J99">
        <f>IF(E99="","",SUMIFS(Reservations!$G:$G,Reservations!$D:$D,A99,Reservations!$E:$E,E99,Reservations!$H:$H,"Active"))</f>
        <v/>
      </c>
      <c r="K99">
        <f>IF(E99="","",MAX(0,H99-I99-J99))</f>
        <v/>
      </c>
      <c r="L99">
        <f>IF(E99="","",IF(K99&gt;0,"SHORTAGE",IF(J99&gt;=H99,"RESERVED","READY TO RESERVE")))</f>
        <v/>
      </c>
    </row>
    <row r="100">
      <c r="A100">
        <f>IF('Job Cards'!$A$8="","",'Job Cards'!$A$8)</f>
        <v/>
      </c>
      <c r="B100">
        <f>IF(A100="","",'Job Cards'!$B$8)</f>
        <v/>
      </c>
      <c r="C100">
        <f>IF(A100="","",'Job Cards'!$D$8)</f>
        <v/>
      </c>
      <c r="D100">
        <f>IF(A100="","",'BOM Mapping'!$A$20)</f>
        <v/>
      </c>
      <c r="E100">
        <f>IF(C100="Longitude",'BOM Mapping'!$C$20,IF(C100="Latitude",'BOM Mapping'!$D$20,IF(C100="Altitude",'BOM Mapping'!$E$20,"")))</f>
        <v/>
      </c>
      <c r="F100">
        <f>IF(C100="Longitude",'BOM Mapping'!$J$20,IF(C100="Latitude",'BOM Mapping'!$K$20,IF(C100="Altitude",'BOM Mapping'!$L$20,0)))</f>
        <v/>
      </c>
      <c r="G100">
        <f>IF(A100="","",'Job Cards'!$E$8)</f>
        <v/>
      </c>
      <c r="H100">
        <f>IF(E100="","",F100*G100)</f>
        <v/>
      </c>
      <c r="I100">
        <f>IF(E100="","",IFERROR(VLOOKUP(E100,'Master Inventory'!$A:$N,10,FALSE),0))</f>
        <v/>
      </c>
      <c r="J100">
        <f>IF(E100="","",SUMIFS(Reservations!$G:$G,Reservations!$D:$D,A100,Reservations!$E:$E,E100,Reservations!$H:$H,"Active"))</f>
        <v/>
      </c>
      <c r="K100">
        <f>IF(E100="","",MAX(0,H100-I100-J100))</f>
        <v/>
      </c>
      <c r="L100">
        <f>IF(E100="","",IF(K100&gt;0,"SHORTAGE",IF(J100&gt;=H100,"RESERVED","READY TO RESERVE")))</f>
        <v/>
      </c>
    </row>
    <row r="101">
      <c r="A101">
        <f>IF('Job Cards'!$A$8="","",'Job Cards'!$A$8)</f>
        <v/>
      </c>
      <c r="B101">
        <f>IF(A101="","",'Job Cards'!$B$8)</f>
        <v/>
      </c>
      <c r="C101">
        <f>IF(A101="","",'Job Cards'!$D$8)</f>
        <v/>
      </c>
      <c r="D101">
        <f>IF(A101="","",'BOM Mapping'!$A$21)</f>
        <v/>
      </c>
      <c r="E101">
        <f>IF(C101="Longitude",'BOM Mapping'!$C$21,IF(C101="Latitude",'BOM Mapping'!$D$21,IF(C101="Altitude",'BOM Mapping'!$E$21,"")))</f>
        <v/>
      </c>
      <c r="F101">
        <f>IF(C101="Longitude",'BOM Mapping'!$J$21,IF(C101="Latitude",'BOM Mapping'!$K$21,IF(C101="Altitude",'BOM Mapping'!$L$21,0)))</f>
        <v/>
      </c>
      <c r="G101">
        <f>IF(A101="","",'Job Cards'!$E$8)</f>
        <v/>
      </c>
      <c r="H101">
        <f>IF(E101="","",F101*G101)</f>
        <v/>
      </c>
      <c r="I101">
        <f>IF(E101="","",IFERROR(VLOOKUP(E101,'Master Inventory'!$A:$N,10,FALSE),0))</f>
        <v/>
      </c>
      <c r="J101">
        <f>IF(E101="","",SUMIFS(Reservations!$G:$G,Reservations!$D:$D,A101,Reservations!$E:$E,E101,Reservations!$H:$H,"Active"))</f>
        <v/>
      </c>
      <c r="K101">
        <f>IF(E101="","",MAX(0,H101-I101-J101))</f>
        <v/>
      </c>
      <c r="L101">
        <f>IF(E101="","",IF(K101&gt;0,"SHORTAGE",IF(J101&gt;=H101,"RESERVED","READY TO RESERVE")))</f>
        <v/>
      </c>
    </row>
    <row r="102">
      <c r="A102">
        <f>IF('Job Cards'!$A$8="","",'Job Cards'!$A$8)</f>
        <v/>
      </c>
      <c r="B102">
        <f>IF(A102="","",'Job Cards'!$B$8)</f>
        <v/>
      </c>
      <c r="C102">
        <f>IF(A102="","",'Job Cards'!$D$8)</f>
        <v/>
      </c>
      <c r="D102">
        <f>IF(A102="","",'BOM Mapping'!$A$22)</f>
        <v/>
      </c>
      <c r="E102">
        <f>IF(C102="Longitude",'BOM Mapping'!$C$22,IF(C102="Latitude",'BOM Mapping'!$D$22,IF(C102="Altitude",'BOM Mapping'!$E$22,"")))</f>
        <v/>
      </c>
      <c r="F102">
        <f>IF(C102="Longitude",'BOM Mapping'!$J$22,IF(C102="Latitude",'BOM Mapping'!$K$22,IF(C102="Altitude",'BOM Mapping'!$L$22,0)))</f>
        <v/>
      </c>
      <c r="G102">
        <f>IF(A102="","",'Job Cards'!$E$8)</f>
        <v/>
      </c>
      <c r="H102">
        <f>IF(E102="","",F102*G102)</f>
        <v/>
      </c>
      <c r="I102">
        <f>IF(E102="","",IFERROR(VLOOKUP(E102,'Master Inventory'!$A:$N,10,FALSE),0))</f>
        <v/>
      </c>
      <c r="J102">
        <f>IF(E102="","",SUMIFS(Reservations!$G:$G,Reservations!$D:$D,A102,Reservations!$E:$E,E102,Reservations!$H:$H,"Active"))</f>
        <v/>
      </c>
      <c r="K102">
        <f>IF(E102="","",MAX(0,H102-I102-J102))</f>
        <v/>
      </c>
      <c r="L102">
        <f>IF(E102="","",IF(K102&gt;0,"SHORTAGE",IF(J102&gt;=H102,"RESERVED","READY TO RESERVE")))</f>
        <v/>
      </c>
    </row>
    <row r="103">
      <c r="A103">
        <f>IF('Job Cards'!$A$8="","",'Job Cards'!$A$8)</f>
        <v/>
      </c>
      <c r="B103">
        <f>IF(A103="","",'Job Cards'!$B$8)</f>
        <v/>
      </c>
      <c r="C103">
        <f>IF(A103="","",'Job Cards'!$D$8)</f>
        <v/>
      </c>
      <c r="D103">
        <f>IF(A103="","",'BOM Mapping'!$A$23)</f>
        <v/>
      </c>
      <c r="E103">
        <f>IF(C103="Longitude",'BOM Mapping'!$C$23,IF(C103="Latitude",'BOM Mapping'!$D$23,IF(C103="Altitude",'BOM Mapping'!$E$23,"")))</f>
        <v/>
      </c>
      <c r="F103">
        <f>IF(C103="Longitude",'BOM Mapping'!$J$23,IF(C103="Latitude",'BOM Mapping'!$K$23,IF(C103="Altitude",'BOM Mapping'!$L$23,0)))</f>
        <v/>
      </c>
      <c r="G103">
        <f>IF(A103="","",'Job Cards'!$E$8)</f>
        <v/>
      </c>
      <c r="H103">
        <f>IF(E103="","",F103*G103)</f>
        <v/>
      </c>
      <c r="I103">
        <f>IF(E103="","",IFERROR(VLOOKUP(E103,'Master Inventory'!$A:$N,10,FALSE),0))</f>
        <v/>
      </c>
      <c r="J103">
        <f>IF(E103="","",SUMIFS(Reservations!$G:$G,Reservations!$D:$D,A103,Reservations!$E:$E,E103,Reservations!$H:$H,"Active"))</f>
        <v/>
      </c>
      <c r="K103">
        <f>IF(E103="","",MAX(0,H103-I103-J103))</f>
        <v/>
      </c>
      <c r="L103">
        <f>IF(E103="","",IF(K103&gt;0,"SHORTAGE",IF(J103&gt;=H103,"RESERVED","READY TO RESERVE")))</f>
        <v/>
      </c>
    </row>
    <row r="104">
      <c r="A104">
        <f>IF('Job Cards'!$A$9="","",'Job Cards'!$A$9)</f>
        <v/>
      </c>
      <c r="B104">
        <f>IF(A104="","",'Job Cards'!$B$9)</f>
        <v/>
      </c>
      <c r="C104">
        <f>IF(A104="","",'Job Cards'!$D$9)</f>
        <v/>
      </c>
      <c r="D104">
        <f>IF(A104="","",'BOM Mapping'!$A$4)</f>
        <v/>
      </c>
      <c r="E104">
        <f>IF(C104="Longitude",'BOM Mapping'!$C$4,IF(C104="Latitude",'BOM Mapping'!$D$4,IF(C104="Altitude",'BOM Mapping'!$E$4,"")))</f>
        <v/>
      </c>
      <c r="F104">
        <f>IF(C104="Longitude",'BOM Mapping'!$J$4,IF(C104="Latitude",'BOM Mapping'!$K$4,IF(C104="Altitude",'BOM Mapping'!$L$4,0)))</f>
        <v/>
      </c>
      <c r="G104">
        <f>IF(A104="","",'Job Cards'!$E$9)</f>
        <v/>
      </c>
      <c r="H104">
        <f>IF(E104="","",F104*G104)</f>
        <v/>
      </c>
      <c r="I104">
        <f>IF(E104="","",IFERROR(VLOOKUP(E104,'Master Inventory'!$A:$N,10,FALSE),0))</f>
        <v/>
      </c>
      <c r="J104">
        <f>IF(E104="","",SUMIFS(Reservations!$G:$G,Reservations!$D:$D,A104,Reservations!$E:$E,E104,Reservations!$H:$H,"Active"))</f>
        <v/>
      </c>
      <c r="K104">
        <f>IF(E104="","",MAX(0,H104-I104-J104))</f>
        <v/>
      </c>
      <c r="L104">
        <f>IF(E104="","",IF(K104&gt;0,"SHORTAGE",IF(J104&gt;=H104,"RESERVED","READY TO RESERVE")))</f>
        <v/>
      </c>
    </row>
    <row r="105">
      <c r="A105">
        <f>IF('Job Cards'!$A$9="","",'Job Cards'!$A$9)</f>
        <v/>
      </c>
      <c r="B105">
        <f>IF(A105="","",'Job Cards'!$B$9)</f>
        <v/>
      </c>
      <c r="C105">
        <f>IF(A105="","",'Job Cards'!$D$9)</f>
        <v/>
      </c>
      <c r="D105">
        <f>IF(A105="","",'BOM Mapping'!$A$5)</f>
        <v/>
      </c>
      <c r="E105">
        <f>IF(C105="Longitude",'BOM Mapping'!$C$5,IF(C105="Latitude",'BOM Mapping'!$D$5,IF(C105="Altitude",'BOM Mapping'!$E$5,"")))</f>
        <v/>
      </c>
      <c r="F105">
        <f>IF(C105="Longitude",'BOM Mapping'!$J$5,IF(C105="Latitude",'BOM Mapping'!$K$5,IF(C105="Altitude",'BOM Mapping'!$L$5,0)))</f>
        <v/>
      </c>
      <c r="G105">
        <f>IF(A105="","",'Job Cards'!$E$9)</f>
        <v/>
      </c>
      <c r="H105">
        <f>IF(E105="","",F105*G105)</f>
        <v/>
      </c>
      <c r="I105">
        <f>IF(E105="","",IFERROR(VLOOKUP(E105,'Master Inventory'!$A:$N,10,FALSE),0))</f>
        <v/>
      </c>
      <c r="J105">
        <f>IF(E105="","",SUMIFS(Reservations!$G:$G,Reservations!$D:$D,A105,Reservations!$E:$E,E105,Reservations!$H:$H,"Active"))</f>
        <v/>
      </c>
      <c r="K105">
        <f>IF(E105="","",MAX(0,H105-I105-J105))</f>
        <v/>
      </c>
      <c r="L105">
        <f>IF(E105="","",IF(K105&gt;0,"SHORTAGE",IF(J105&gt;=H105,"RESERVED","READY TO RESERVE")))</f>
        <v/>
      </c>
    </row>
    <row r="106">
      <c r="A106">
        <f>IF('Job Cards'!$A$9="","",'Job Cards'!$A$9)</f>
        <v/>
      </c>
      <c r="B106">
        <f>IF(A106="","",'Job Cards'!$B$9)</f>
        <v/>
      </c>
      <c r="C106">
        <f>IF(A106="","",'Job Cards'!$D$9)</f>
        <v/>
      </c>
      <c r="D106">
        <f>IF(A106="","",'BOM Mapping'!$A$6)</f>
        <v/>
      </c>
      <c r="E106">
        <f>IF(C106="Longitude",'BOM Mapping'!$C$6,IF(C106="Latitude",'BOM Mapping'!$D$6,IF(C106="Altitude",'BOM Mapping'!$E$6,"")))</f>
        <v/>
      </c>
      <c r="F106">
        <f>IF(C106="Longitude",'BOM Mapping'!$J$6,IF(C106="Latitude",'BOM Mapping'!$K$6,IF(C106="Altitude",'BOM Mapping'!$L$6,0)))</f>
        <v/>
      </c>
      <c r="G106">
        <f>IF(A106="","",'Job Cards'!$E$9)</f>
        <v/>
      </c>
      <c r="H106">
        <f>IF(E106="","",F106*G106)</f>
        <v/>
      </c>
      <c r="I106">
        <f>IF(E106="","",IFERROR(VLOOKUP(E106,'Master Inventory'!$A:$N,10,FALSE),0))</f>
        <v/>
      </c>
      <c r="J106">
        <f>IF(E106="","",SUMIFS(Reservations!$G:$G,Reservations!$D:$D,A106,Reservations!$E:$E,E106,Reservations!$H:$H,"Active"))</f>
        <v/>
      </c>
      <c r="K106">
        <f>IF(E106="","",MAX(0,H106-I106-J106))</f>
        <v/>
      </c>
      <c r="L106">
        <f>IF(E106="","",IF(K106&gt;0,"SHORTAGE",IF(J106&gt;=H106,"RESERVED","READY TO RESERVE")))</f>
        <v/>
      </c>
    </row>
    <row r="107">
      <c r="A107">
        <f>IF('Job Cards'!$A$9="","",'Job Cards'!$A$9)</f>
        <v/>
      </c>
      <c r="B107">
        <f>IF(A107="","",'Job Cards'!$B$9)</f>
        <v/>
      </c>
      <c r="C107">
        <f>IF(A107="","",'Job Cards'!$D$9)</f>
        <v/>
      </c>
      <c r="D107">
        <f>IF(A107="","",'BOM Mapping'!$A$7)</f>
        <v/>
      </c>
      <c r="E107">
        <f>IF(C107="Longitude",'BOM Mapping'!$C$7,IF(C107="Latitude",'BOM Mapping'!$D$7,IF(C107="Altitude",'BOM Mapping'!$E$7,"")))</f>
        <v/>
      </c>
      <c r="F107">
        <f>IF(C107="Longitude",'BOM Mapping'!$J$7,IF(C107="Latitude",'BOM Mapping'!$K$7,IF(C107="Altitude",'BOM Mapping'!$L$7,0)))</f>
        <v/>
      </c>
      <c r="G107">
        <f>IF(A107="","",'Job Cards'!$E$9)</f>
        <v/>
      </c>
      <c r="H107">
        <f>IF(E107="","",F107*G107)</f>
        <v/>
      </c>
      <c r="I107">
        <f>IF(E107="","",IFERROR(VLOOKUP(E107,'Master Inventory'!$A:$N,10,FALSE),0))</f>
        <v/>
      </c>
      <c r="J107">
        <f>IF(E107="","",SUMIFS(Reservations!$G:$G,Reservations!$D:$D,A107,Reservations!$E:$E,E107,Reservations!$H:$H,"Active"))</f>
        <v/>
      </c>
      <c r="K107">
        <f>IF(E107="","",MAX(0,H107-I107-J107))</f>
        <v/>
      </c>
      <c r="L107">
        <f>IF(E107="","",IF(K107&gt;0,"SHORTAGE",IF(J107&gt;=H107,"RESERVED","READY TO RESERVE")))</f>
        <v/>
      </c>
    </row>
    <row r="108">
      <c r="A108">
        <f>IF('Job Cards'!$A$9="","",'Job Cards'!$A$9)</f>
        <v/>
      </c>
      <c r="B108">
        <f>IF(A108="","",'Job Cards'!$B$9)</f>
        <v/>
      </c>
      <c r="C108">
        <f>IF(A108="","",'Job Cards'!$D$9)</f>
        <v/>
      </c>
      <c r="D108">
        <f>IF(A108="","",'BOM Mapping'!$A$8)</f>
        <v/>
      </c>
      <c r="E108">
        <f>IF(C108="Longitude",'BOM Mapping'!$C$8,IF(C108="Latitude",'BOM Mapping'!$D$8,IF(C108="Altitude",'BOM Mapping'!$E$8,"")))</f>
        <v/>
      </c>
      <c r="F108">
        <f>IF(C108="Longitude",'BOM Mapping'!$J$8,IF(C108="Latitude",'BOM Mapping'!$K$8,IF(C108="Altitude",'BOM Mapping'!$L$8,0)))</f>
        <v/>
      </c>
      <c r="G108">
        <f>IF(A108="","",'Job Cards'!$E$9)</f>
        <v/>
      </c>
      <c r="H108">
        <f>IF(E108="","",F108*G108)</f>
        <v/>
      </c>
      <c r="I108">
        <f>IF(E108="","",IFERROR(VLOOKUP(E108,'Master Inventory'!$A:$N,10,FALSE),0))</f>
        <v/>
      </c>
      <c r="J108">
        <f>IF(E108="","",SUMIFS(Reservations!$G:$G,Reservations!$D:$D,A108,Reservations!$E:$E,E108,Reservations!$H:$H,"Active"))</f>
        <v/>
      </c>
      <c r="K108">
        <f>IF(E108="","",MAX(0,H108-I108-J108))</f>
        <v/>
      </c>
      <c r="L108">
        <f>IF(E108="","",IF(K108&gt;0,"SHORTAGE",IF(J108&gt;=H108,"RESERVED","READY TO RESERVE")))</f>
        <v/>
      </c>
    </row>
    <row r="109">
      <c r="A109">
        <f>IF('Job Cards'!$A$9="","",'Job Cards'!$A$9)</f>
        <v/>
      </c>
      <c r="B109">
        <f>IF(A109="","",'Job Cards'!$B$9)</f>
        <v/>
      </c>
      <c r="C109">
        <f>IF(A109="","",'Job Cards'!$D$9)</f>
        <v/>
      </c>
      <c r="D109">
        <f>IF(A109="","",'BOM Mapping'!$A$9)</f>
        <v/>
      </c>
      <c r="E109">
        <f>IF(C109="Longitude",'BOM Mapping'!$C$9,IF(C109="Latitude",'BOM Mapping'!$D$9,IF(C109="Altitude",'BOM Mapping'!$E$9,"")))</f>
        <v/>
      </c>
      <c r="F109">
        <f>IF(C109="Longitude",'BOM Mapping'!$J$9,IF(C109="Latitude",'BOM Mapping'!$K$9,IF(C109="Altitude",'BOM Mapping'!$L$9,0)))</f>
        <v/>
      </c>
      <c r="G109">
        <f>IF(A109="","",'Job Cards'!$E$9)</f>
        <v/>
      </c>
      <c r="H109">
        <f>IF(E109="","",F109*G109)</f>
        <v/>
      </c>
      <c r="I109">
        <f>IF(E109="","",IFERROR(VLOOKUP(E109,'Master Inventory'!$A:$N,10,FALSE),0))</f>
        <v/>
      </c>
      <c r="J109">
        <f>IF(E109="","",SUMIFS(Reservations!$G:$G,Reservations!$D:$D,A109,Reservations!$E:$E,E109,Reservations!$H:$H,"Active"))</f>
        <v/>
      </c>
      <c r="K109">
        <f>IF(E109="","",MAX(0,H109-I109-J109))</f>
        <v/>
      </c>
      <c r="L109">
        <f>IF(E109="","",IF(K109&gt;0,"SHORTAGE",IF(J109&gt;=H109,"RESERVED","READY TO RESERVE")))</f>
        <v/>
      </c>
    </row>
    <row r="110">
      <c r="A110">
        <f>IF('Job Cards'!$A$9="","",'Job Cards'!$A$9)</f>
        <v/>
      </c>
      <c r="B110">
        <f>IF(A110="","",'Job Cards'!$B$9)</f>
        <v/>
      </c>
      <c r="C110">
        <f>IF(A110="","",'Job Cards'!$D$9)</f>
        <v/>
      </c>
      <c r="D110">
        <f>IF(A110="","",'BOM Mapping'!$A$10)</f>
        <v/>
      </c>
      <c r="E110">
        <f>IF(C110="Longitude",'BOM Mapping'!$C$10,IF(C110="Latitude",'BOM Mapping'!$D$10,IF(C110="Altitude",'BOM Mapping'!$E$10,"")))</f>
        <v/>
      </c>
      <c r="F110">
        <f>IF(C110="Longitude",'BOM Mapping'!$J$10,IF(C110="Latitude",'BOM Mapping'!$K$10,IF(C110="Altitude",'BOM Mapping'!$L$10,0)))</f>
        <v/>
      </c>
      <c r="G110">
        <f>IF(A110="","",'Job Cards'!$E$9)</f>
        <v/>
      </c>
      <c r="H110">
        <f>IF(E110="","",F110*G110)</f>
        <v/>
      </c>
      <c r="I110">
        <f>IF(E110="","",IFERROR(VLOOKUP(E110,'Master Inventory'!$A:$N,10,FALSE),0))</f>
        <v/>
      </c>
      <c r="J110">
        <f>IF(E110="","",SUMIFS(Reservations!$G:$G,Reservations!$D:$D,A110,Reservations!$E:$E,E110,Reservations!$H:$H,"Active"))</f>
        <v/>
      </c>
      <c r="K110">
        <f>IF(E110="","",MAX(0,H110-I110-J110))</f>
        <v/>
      </c>
      <c r="L110">
        <f>IF(E110="","",IF(K110&gt;0,"SHORTAGE",IF(J110&gt;=H110,"RESERVED","READY TO RESERVE")))</f>
        <v/>
      </c>
    </row>
    <row r="111">
      <c r="A111">
        <f>IF('Job Cards'!$A$9="","",'Job Cards'!$A$9)</f>
        <v/>
      </c>
      <c r="B111">
        <f>IF(A111="","",'Job Cards'!$B$9)</f>
        <v/>
      </c>
      <c r="C111">
        <f>IF(A111="","",'Job Cards'!$D$9)</f>
        <v/>
      </c>
      <c r="D111">
        <f>IF(A111="","",'BOM Mapping'!$A$11)</f>
        <v/>
      </c>
      <c r="E111">
        <f>IF(C111="Longitude",'BOM Mapping'!$C$11,IF(C111="Latitude",'BOM Mapping'!$D$11,IF(C111="Altitude",'BOM Mapping'!$E$11,"")))</f>
        <v/>
      </c>
      <c r="F111">
        <f>IF(C111="Longitude",'BOM Mapping'!$J$11,IF(C111="Latitude",'BOM Mapping'!$K$11,IF(C111="Altitude",'BOM Mapping'!$L$11,0)))</f>
        <v/>
      </c>
      <c r="G111">
        <f>IF(A111="","",'Job Cards'!$E$9)</f>
        <v/>
      </c>
      <c r="H111">
        <f>IF(E111="","",F111*G111)</f>
        <v/>
      </c>
      <c r="I111">
        <f>IF(E111="","",IFERROR(VLOOKUP(E111,'Master Inventory'!$A:$N,10,FALSE),0))</f>
        <v/>
      </c>
      <c r="J111">
        <f>IF(E111="","",SUMIFS(Reservations!$G:$G,Reservations!$D:$D,A111,Reservations!$E:$E,E111,Reservations!$H:$H,"Active"))</f>
        <v/>
      </c>
      <c r="K111">
        <f>IF(E111="","",MAX(0,H111-I111-J111))</f>
        <v/>
      </c>
      <c r="L111">
        <f>IF(E111="","",IF(K111&gt;0,"SHORTAGE",IF(J111&gt;=H111,"RESERVED","READY TO RESERVE")))</f>
        <v/>
      </c>
    </row>
    <row r="112">
      <c r="A112">
        <f>IF('Job Cards'!$A$9="","",'Job Cards'!$A$9)</f>
        <v/>
      </c>
      <c r="B112">
        <f>IF(A112="","",'Job Cards'!$B$9)</f>
        <v/>
      </c>
      <c r="C112">
        <f>IF(A112="","",'Job Cards'!$D$9)</f>
        <v/>
      </c>
      <c r="D112">
        <f>IF(A112="","",'BOM Mapping'!$A$12)</f>
        <v/>
      </c>
      <c r="E112">
        <f>IF(C112="Longitude",'BOM Mapping'!$C$12,IF(C112="Latitude",'BOM Mapping'!$D$12,IF(C112="Altitude",'BOM Mapping'!$E$12,"")))</f>
        <v/>
      </c>
      <c r="F112">
        <f>IF(C112="Longitude",'BOM Mapping'!$J$12,IF(C112="Latitude",'BOM Mapping'!$K$12,IF(C112="Altitude",'BOM Mapping'!$L$12,0)))</f>
        <v/>
      </c>
      <c r="G112">
        <f>IF(A112="","",'Job Cards'!$E$9)</f>
        <v/>
      </c>
      <c r="H112">
        <f>IF(E112="","",F112*G112)</f>
        <v/>
      </c>
      <c r="I112">
        <f>IF(E112="","",IFERROR(VLOOKUP(E112,'Master Inventory'!$A:$N,10,FALSE),0))</f>
        <v/>
      </c>
      <c r="J112">
        <f>IF(E112="","",SUMIFS(Reservations!$G:$G,Reservations!$D:$D,A112,Reservations!$E:$E,E112,Reservations!$H:$H,"Active"))</f>
        <v/>
      </c>
      <c r="K112">
        <f>IF(E112="","",MAX(0,H112-I112-J112))</f>
        <v/>
      </c>
      <c r="L112">
        <f>IF(E112="","",IF(K112&gt;0,"SHORTAGE",IF(J112&gt;=H112,"RESERVED","READY TO RESERVE")))</f>
        <v/>
      </c>
    </row>
    <row r="113">
      <c r="A113">
        <f>IF('Job Cards'!$A$9="","",'Job Cards'!$A$9)</f>
        <v/>
      </c>
      <c r="B113">
        <f>IF(A113="","",'Job Cards'!$B$9)</f>
        <v/>
      </c>
      <c r="C113">
        <f>IF(A113="","",'Job Cards'!$D$9)</f>
        <v/>
      </c>
      <c r="D113">
        <f>IF(A113="","",'BOM Mapping'!$A$13)</f>
        <v/>
      </c>
      <c r="E113">
        <f>IF(C113="Longitude",'BOM Mapping'!$C$13,IF(C113="Latitude",'BOM Mapping'!$D$13,IF(C113="Altitude",'BOM Mapping'!$E$13,"")))</f>
        <v/>
      </c>
      <c r="F113">
        <f>IF(C113="Longitude",'BOM Mapping'!$J$13,IF(C113="Latitude",'BOM Mapping'!$K$13,IF(C113="Altitude",'BOM Mapping'!$L$13,0)))</f>
        <v/>
      </c>
      <c r="G113">
        <f>IF(A113="","",'Job Cards'!$E$9)</f>
        <v/>
      </c>
      <c r="H113">
        <f>IF(E113="","",F113*G113)</f>
        <v/>
      </c>
      <c r="I113">
        <f>IF(E113="","",IFERROR(VLOOKUP(E113,'Master Inventory'!$A:$N,10,FALSE),0))</f>
        <v/>
      </c>
      <c r="J113">
        <f>IF(E113="","",SUMIFS(Reservations!$G:$G,Reservations!$D:$D,A113,Reservations!$E:$E,E113,Reservations!$H:$H,"Active"))</f>
        <v/>
      </c>
      <c r="K113">
        <f>IF(E113="","",MAX(0,H113-I113-J113))</f>
        <v/>
      </c>
      <c r="L113">
        <f>IF(E113="","",IF(K113&gt;0,"SHORTAGE",IF(J113&gt;=H113,"RESERVED","READY TO RESERVE")))</f>
        <v/>
      </c>
    </row>
    <row r="114">
      <c r="A114">
        <f>IF('Job Cards'!$A$9="","",'Job Cards'!$A$9)</f>
        <v/>
      </c>
      <c r="B114">
        <f>IF(A114="","",'Job Cards'!$B$9)</f>
        <v/>
      </c>
      <c r="C114">
        <f>IF(A114="","",'Job Cards'!$D$9)</f>
        <v/>
      </c>
      <c r="D114">
        <f>IF(A114="","",'BOM Mapping'!$A$14)</f>
        <v/>
      </c>
      <c r="E114">
        <f>IF(C114="Longitude",'BOM Mapping'!$C$14,IF(C114="Latitude",'BOM Mapping'!$D$14,IF(C114="Altitude",'BOM Mapping'!$E$14,"")))</f>
        <v/>
      </c>
      <c r="F114">
        <f>IF(C114="Longitude",'BOM Mapping'!$J$14,IF(C114="Latitude",'BOM Mapping'!$K$14,IF(C114="Altitude",'BOM Mapping'!$L$14,0)))</f>
        <v/>
      </c>
      <c r="G114">
        <f>IF(A114="","",'Job Cards'!$E$9)</f>
        <v/>
      </c>
      <c r="H114">
        <f>IF(E114="","",F114*G114)</f>
        <v/>
      </c>
      <c r="I114">
        <f>IF(E114="","",IFERROR(VLOOKUP(E114,'Master Inventory'!$A:$N,10,FALSE),0))</f>
        <v/>
      </c>
      <c r="J114">
        <f>IF(E114="","",SUMIFS(Reservations!$G:$G,Reservations!$D:$D,A114,Reservations!$E:$E,E114,Reservations!$H:$H,"Active"))</f>
        <v/>
      </c>
      <c r="K114">
        <f>IF(E114="","",MAX(0,H114-I114-J114))</f>
        <v/>
      </c>
      <c r="L114">
        <f>IF(E114="","",IF(K114&gt;0,"SHORTAGE",IF(J114&gt;=H114,"RESERVED","READY TO RESERVE")))</f>
        <v/>
      </c>
    </row>
    <row r="115">
      <c r="A115">
        <f>IF('Job Cards'!$A$9="","",'Job Cards'!$A$9)</f>
        <v/>
      </c>
      <c r="B115">
        <f>IF(A115="","",'Job Cards'!$B$9)</f>
        <v/>
      </c>
      <c r="C115">
        <f>IF(A115="","",'Job Cards'!$D$9)</f>
        <v/>
      </c>
      <c r="D115">
        <f>IF(A115="","",'BOM Mapping'!$A$15)</f>
        <v/>
      </c>
      <c r="E115">
        <f>IF(C115="Longitude",'BOM Mapping'!$C$15,IF(C115="Latitude",'BOM Mapping'!$D$15,IF(C115="Altitude",'BOM Mapping'!$E$15,"")))</f>
        <v/>
      </c>
      <c r="F115">
        <f>IF(C115="Longitude",'BOM Mapping'!$J$15,IF(C115="Latitude",'BOM Mapping'!$K$15,IF(C115="Altitude",'BOM Mapping'!$L$15,0)))</f>
        <v/>
      </c>
      <c r="G115">
        <f>IF(A115="","",'Job Cards'!$E$9)</f>
        <v/>
      </c>
      <c r="H115">
        <f>IF(E115="","",F115*G115)</f>
        <v/>
      </c>
      <c r="I115">
        <f>IF(E115="","",IFERROR(VLOOKUP(E115,'Master Inventory'!$A:$N,10,FALSE),0))</f>
        <v/>
      </c>
      <c r="J115">
        <f>IF(E115="","",SUMIFS(Reservations!$G:$G,Reservations!$D:$D,A115,Reservations!$E:$E,E115,Reservations!$H:$H,"Active"))</f>
        <v/>
      </c>
      <c r="K115">
        <f>IF(E115="","",MAX(0,H115-I115-J115))</f>
        <v/>
      </c>
      <c r="L115">
        <f>IF(E115="","",IF(K115&gt;0,"SHORTAGE",IF(J115&gt;=H115,"RESERVED","READY TO RESERVE")))</f>
        <v/>
      </c>
    </row>
    <row r="116">
      <c r="A116">
        <f>IF('Job Cards'!$A$9="","",'Job Cards'!$A$9)</f>
        <v/>
      </c>
      <c r="B116">
        <f>IF(A116="","",'Job Cards'!$B$9)</f>
        <v/>
      </c>
      <c r="C116">
        <f>IF(A116="","",'Job Cards'!$D$9)</f>
        <v/>
      </c>
      <c r="D116">
        <f>IF(A116="","",'BOM Mapping'!$A$16)</f>
        <v/>
      </c>
      <c r="E116">
        <f>IF(C116="Longitude",'BOM Mapping'!$C$16,IF(C116="Latitude",'BOM Mapping'!$D$16,IF(C116="Altitude",'BOM Mapping'!$E$16,"")))</f>
        <v/>
      </c>
      <c r="F116">
        <f>IF(C116="Longitude",'BOM Mapping'!$J$16,IF(C116="Latitude",'BOM Mapping'!$K$16,IF(C116="Altitude",'BOM Mapping'!$L$16,0)))</f>
        <v/>
      </c>
      <c r="G116">
        <f>IF(A116="","",'Job Cards'!$E$9)</f>
        <v/>
      </c>
      <c r="H116">
        <f>IF(E116="","",F116*G116)</f>
        <v/>
      </c>
      <c r="I116">
        <f>IF(E116="","",IFERROR(VLOOKUP(E116,'Master Inventory'!$A:$N,10,FALSE),0))</f>
        <v/>
      </c>
      <c r="J116">
        <f>IF(E116="","",SUMIFS(Reservations!$G:$G,Reservations!$D:$D,A116,Reservations!$E:$E,E116,Reservations!$H:$H,"Active"))</f>
        <v/>
      </c>
      <c r="K116">
        <f>IF(E116="","",MAX(0,H116-I116-J116))</f>
        <v/>
      </c>
      <c r="L116">
        <f>IF(E116="","",IF(K116&gt;0,"SHORTAGE",IF(J116&gt;=H116,"RESERVED","READY TO RESERVE")))</f>
        <v/>
      </c>
    </row>
    <row r="117">
      <c r="A117">
        <f>IF('Job Cards'!$A$9="","",'Job Cards'!$A$9)</f>
        <v/>
      </c>
      <c r="B117">
        <f>IF(A117="","",'Job Cards'!$B$9)</f>
        <v/>
      </c>
      <c r="C117">
        <f>IF(A117="","",'Job Cards'!$D$9)</f>
        <v/>
      </c>
      <c r="D117">
        <f>IF(A117="","",'BOM Mapping'!$A$17)</f>
        <v/>
      </c>
      <c r="E117">
        <f>IF(C117="Longitude",'BOM Mapping'!$C$17,IF(C117="Latitude",'BOM Mapping'!$D$17,IF(C117="Altitude",'BOM Mapping'!$E$17,"")))</f>
        <v/>
      </c>
      <c r="F117">
        <f>IF(C117="Longitude",'BOM Mapping'!$J$17,IF(C117="Latitude",'BOM Mapping'!$K$17,IF(C117="Altitude",'BOM Mapping'!$L$17,0)))</f>
        <v/>
      </c>
      <c r="G117">
        <f>IF(A117="","",'Job Cards'!$E$9)</f>
        <v/>
      </c>
      <c r="H117">
        <f>IF(E117="","",F117*G117)</f>
        <v/>
      </c>
      <c r="I117">
        <f>IF(E117="","",IFERROR(VLOOKUP(E117,'Master Inventory'!$A:$N,10,FALSE),0))</f>
        <v/>
      </c>
      <c r="J117">
        <f>IF(E117="","",SUMIFS(Reservations!$G:$G,Reservations!$D:$D,A117,Reservations!$E:$E,E117,Reservations!$H:$H,"Active"))</f>
        <v/>
      </c>
      <c r="K117">
        <f>IF(E117="","",MAX(0,H117-I117-J117))</f>
        <v/>
      </c>
      <c r="L117">
        <f>IF(E117="","",IF(K117&gt;0,"SHORTAGE",IF(J117&gt;=H117,"RESERVED","READY TO RESERVE")))</f>
        <v/>
      </c>
    </row>
    <row r="118">
      <c r="A118">
        <f>IF('Job Cards'!$A$9="","",'Job Cards'!$A$9)</f>
        <v/>
      </c>
      <c r="B118">
        <f>IF(A118="","",'Job Cards'!$B$9)</f>
        <v/>
      </c>
      <c r="C118">
        <f>IF(A118="","",'Job Cards'!$D$9)</f>
        <v/>
      </c>
      <c r="D118">
        <f>IF(A118="","",'BOM Mapping'!$A$18)</f>
        <v/>
      </c>
      <c r="E118">
        <f>IF(C118="Longitude",'BOM Mapping'!$C$18,IF(C118="Latitude",'BOM Mapping'!$D$18,IF(C118="Altitude",'BOM Mapping'!$E$18,"")))</f>
        <v/>
      </c>
      <c r="F118">
        <f>IF(C118="Longitude",'BOM Mapping'!$J$18,IF(C118="Latitude",'BOM Mapping'!$K$18,IF(C118="Altitude",'BOM Mapping'!$L$18,0)))</f>
        <v/>
      </c>
      <c r="G118">
        <f>IF(A118="","",'Job Cards'!$E$9)</f>
        <v/>
      </c>
      <c r="H118">
        <f>IF(E118="","",F118*G118)</f>
        <v/>
      </c>
      <c r="I118">
        <f>IF(E118="","",IFERROR(VLOOKUP(E118,'Master Inventory'!$A:$N,10,FALSE),0))</f>
        <v/>
      </c>
      <c r="J118">
        <f>IF(E118="","",SUMIFS(Reservations!$G:$G,Reservations!$D:$D,A118,Reservations!$E:$E,E118,Reservations!$H:$H,"Active"))</f>
        <v/>
      </c>
      <c r="K118">
        <f>IF(E118="","",MAX(0,H118-I118-J118))</f>
        <v/>
      </c>
      <c r="L118">
        <f>IF(E118="","",IF(K118&gt;0,"SHORTAGE",IF(J118&gt;=H118,"RESERVED","READY TO RESERVE")))</f>
        <v/>
      </c>
    </row>
    <row r="119">
      <c r="A119">
        <f>IF('Job Cards'!$A$9="","",'Job Cards'!$A$9)</f>
        <v/>
      </c>
      <c r="B119">
        <f>IF(A119="","",'Job Cards'!$B$9)</f>
        <v/>
      </c>
      <c r="C119">
        <f>IF(A119="","",'Job Cards'!$D$9)</f>
        <v/>
      </c>
      <c r="D119">
        <f>IF(A119="","",'BOM Mapping'!$A$19)</f>
        <v/>
      </c>
      <c r="E119">
        <f>IF(C119="Longitude",'BOM Mapping'!$C$19,IF(C119="Latitude",'BOM Mapping'!$D$19,IF(C119="Altitude",'BOM Mapping'!$E$19,"")))</f>
        <v/>
      </c>
      <c r="F119">
        <f>IF(C119="Longitude",'BOM Mapping'!$J$19,IF(C119="Latitude",'BOM Mapping'!$K$19,IF(C119="Altitude",'BOM Mapping'!$L$19,0)))</f>
        <v/>
      </c>
      <c r="G119">
        <f>IF(A119="","",'Job Cards'!$E$9)</f>
        <v/>
      </c>
      <c r="H119">
        <f>IF(E119="","",F119*G119)</f>
        <v/>
      </c>
      <c r="I119">
        <f>IF(E119="","",IFERROR(VLOOKUP(E119,'Master Inventory'!$A:$N,10,FALSE),0))</f>
        <v/>
      </c>
      <c r="J119">
        <f>IF(E119="","",SUMIFS(Reservations!$G:$G,Reservations!$D:$D,A119,Reservations!$E:$E,E119,Reservations!$H:$H,"Active"))</f>
        <v/>
      </c>
      <c r="K119">
        <f>IF(E119="","",MAX(0,H119-I119-J119))</f>
        <v/>
      </c>
      <c r="L119">
        <f>IF(E119="","",IF(K119&gt;0,"SHORTAGE",IF(J119&gt;=H119,"RESERVED","READY TO RESERVE")))</f>
        <v/>
      </c>
    </row>
    <row r="120">
      <c r="A120">
        <f>IF('Job Cards'!$A$9="","",'Job Cards'!$A$9)</f>
        <v/>
      </c>
      <c r="B120">
        <f>IF(A120="","",'Job Cards'!$B$9)</f>
        <v/>
      </c>
      <c r="C120">
        <f>IF(A120="","",'Job Cards'!$D$9)</f>
        <v/>
      </c>
      <c r="D120">
        <f>IF(A120="","",'BOM Mapping'!$A$20)</f>
        <v/>
      </c>
      <c r="E120">
        <f>IF(C120="Longitude",'BOM Mapping'!$C$20,IF(C120="Latitude",'BOM Mapping'!$D$20,IF(C120="Altitude",'BOM Mapping'!$E$20,"")))</f>
        <v/>
      </c>
      <c r="F120">
        <f>IF(C120="Longitude",'BOM Mapping'!$J$20,IF(C120="Latitude",'BOM Mapping'!$K$20,IF(C120="Altitude",'BOM Mapping'!$L$20,0)))</f>
        <v/>
      </c>
      <c r="G120">
        <f>IF(A120="","",'Job Cards'!$E$9)</f>
        <v/>
      </c>
      <c r="H120">
        <f>IF(E120="","",F120*G120)</f>
        <v/>
      </c>
      <c r="I120">
        <f>IF(E120="","",IFERROR(VLOOKUP(E120,'Master Inventory'!$A:$N,10,FALSE),0))</f>
        <v/>
      </c>
      <c r="J120">
        <f>IF(E120="","",SUMIFS(Reservations!$G:$G,Reservations!$D:$D,A120,Reservations!$E:$E,E120,Reservations!$H:$H,"Active"))</f>
        <v/>
      </c>
      <c r="K120">
        <f>IF(E120="","",MAX(0,H120-I120-J120))</f>
        <v/>
      </c>
      <c r="L120">
        <f>IF(E120="","",IF(K120&gt;0,"SHORTAGE",IF(J120&gt;=H120,"RESERVED","READY TO RESERVE")))</f>
        <v/>
      </c>
    </row>
    <row r="121">
      <c r="A121">
        <f>IF('Job Cards'!$A$9="","",'Job Cards'!$A$9)</f>
        <v/>
      </c>
      <c r="B121">
        <f>IF(A121="","",'Job Cards'!$B$9)</f>
        <v/>
      </c>
      <c r="C121">
        <f>IF(A121="","",'Job Cards'!$D$9)</f>
        <v/>
      </c>
      <c r="D121">
        <f>IF(A121="","",'BOM Mapping'!$A$21)</f>
        <v/>
      </c>
      <c r="E121">
        <f>IF(C121="Longitude",'BOM Mapping'!$C$21,IF(C121="Latitude",'BOM Mapping'!$D$21,IF(C121="Altitude",'BOM Mapping'!$E$21,"")))</f>
        <v/>
      </c>
      <c r="F121">
        <f>IF(C121="Longitude",'BOM Mapping'!$J$21,IF(C121="Latitude",'BOM Mapping'!$K$21,IF(C121="Altitude",'BOM Mapping'!$L$21,0)))</f>
        <v/>
      </c>
      <c r="G121">
        <f>IF(A121="","",'Job Cards'!$E$9)</f>
        <v/>
      </c>
      <c r="H121">
        <f>IF(E121="","",F121*G121)</f>
        <v/>
      </c>
      <c r="I121">
        <f>IF(E121="","",IFERROR(VLOOKUP(E121,'Master Inventory'!$A:$N,10,FALSE),0))</f>
        <v/>
      </c>
      <c r="J121">
        <f>IF(E121="","",SUMIFS(Reservations!$G:$G,Reservations!$D:$D,A121,Reservations!$E:$E,E121,Reservations!$H:$H,"Active"))</f>
        <v/>
      </c>
      <c r="K121">
        <f>IF(E121="","",MAX(0,H121-I121-J121))</f>
        <v/>
      </c>
      <c r="L121">
        <f>IF(E121="","",IF(K121&gt;0,"SHORTAGE",IF(J121&gt;=H121,"RESERVED","READY TO RESERVE")))</f>
        <v/>
      </c>
    </row>
    <row r="122">
      <c r="A122">
        <f>IF('Job Cards'!$A$9="","",'Job Cards'!$A$9)</f>
        <v/>
      </c>
      <c r="B122">
        <f>IF(A122="","",'Job Cards'!$B$9)</f>
        <v/>
      </c>
      <c r="C122">
        <f>IF(A122="","",'Job Cards'!$D$9)</f>
        <v/>
      </c>
      <c r="D122">
        <f>IF(A122="","",'BOM Mapping'!$A$22)</f>
        <v/>
      </c>
      <c r="E122">
        <f>IF(C122="Longitude",'BOM Mapping'!$C$22,IF(C122="Latitude",'BOM Mapping'!$D$22,IF(C122="Altitude",'BOM Mapping'!$E$22,"")))</f>
        <v/>
      </c>
      <c r="F122">
        <f>IF(C122="Longitude",'BOM Mapping'!$J$22,IF(C122="Latitude",'BOM Mapping'!$K$22,IF(C122="Altitude",'BOM Mapping'!$L$22,0)))</f>
        <v/>
      </c>
      <c r="G122">
        <f>IF(A122="","",'Job Cards'!$E$9)</f>
        <v/>
      </c>
      <c r="H122">
        <f>IF(E122="","",F122*G122)</f>
        <v/>
      </c>
      <c r="I122">
        <f>IF(E122="","",IFERROR(VLOOKUP(E122,'Master Inventory'!$A:$N,10,FALSE),0))</f>
        <v/>
      </c>
      <c r="J122">
        <f>IF(E122="","",SUMIFS(Reservations!$G:$G,Reservations!$D:$D,A122,Reservations!$E:$E,E122,Reservations!$H:$H,"Active"))</f>
        <v/>
      </c>
      <c r="K122">
        <f>IF(E122="","",MAX(0,H122-I122-J122))</f>
        <v/>
      </c>
      <c r="L122">
        <f>IF(E122="","",IF(K122&gt;0,"SHORTAGE",IF(J122&gt;=H122,"RESERVED","READY TO RESERVE")))</f>
        <v/>
      </c>
    </row>
    <row r="123">
      <c r="A123">
        <f>IF('Job Cards'!$A$9="","",'Job Cards'!$A$9)</f>
        <v/>
      </c>
      <c r="B123">
        <f>IF(A123="","",'Job Cards'!$B$9)</f>
        <v/>
      </c>
      <c r="C123">
        <f>IF(A123="","",'Job Cards'!$D$9)</f>
        <v/>
      </c>
      <c r="D123">
        <f>IF(A123="","",'BOM Mapping'!$A$23)</f>
        <v/>
      </c>
      <c r="E123">
        <f>IF(C123="Longitude",'BOM Mapping'!$C$23,IF(C123="Latitude",'BOM Mapping'!$D$23,IF(C123="Altitude",'BOM Mapping'!$E$23,"")))</f>
        <v/>
      </c>
      <c r="F123">
        <f>IF(C123="Longitude",'BOM Mapping'!$J$23,IF(C123="Latitude",'BOM Mapping'!$K$23,IF(C123="Altitude",'BOM Mapping'!$L$23,0)))</f>
        <v/>
      </c>
      <c r="G123">
        <f>IF(A123="","",'Job Cards'!$E$9)</f>
        <v/>
      </c>
      <c r="H123">
        <f>IF(E123="","",F123*G123)</f>
        <v/>
      </c>
      <c r="I123">
        <f>IF(E123="","",IFERROR(VLOOKUP(E123,'Master Inventory'!$A:$N,10,FALSE),0))</f>
        <v/>
      </c>
      <c r="J123">
        <f>IF(E123="","",SUMIFS(Reservations!$G:$G,Reservations!$D:$D,A123,Reservations!$E:$E,E123,Reservations!$H:$H,"Active"))</f>
        <v/>
      </c>
      <c r="K123">
        <f>IF(E123="","",MAX(0,H123-I123-J123))</f>
        <v/>
      </c>
      <c r="L123">
        <f>IF(E123="","",IF(K123&gt;0,"SHORTAGE",IF(J123&gt;=H123,"RESERVED","READY TO RESERVE")))</f>
        <v/>
      </c>
    </row>
    <row r="124">
      <c r="A124">
        <f>IF('Job Cards'!$A$10="","",'Job Cards'!$A$10)</f>
        <v/>
      </c>
      <c r="B124">
        <f>IF(A124="","",'Job Cards'!$B$10)</f>
        <v/>
      </c>
      <c r="C124">
        <f>IF(A124="","",'Job Cards'!$D$10)</f>
        <v/>
      </c>
      <c r="D124">
        <f>IF(A124="","",'BOM Mapping'!$A$4)</f>
        <v/>
      </c>
      <c r="E124">
        <f>IF(C124="Longitude",'BOM Mapping'!$C$4,IF(C124="Latitude",'BOM Mapping'!$D$4,IF(C124="Altitude",'BOM Mapping'!$E$4,"")))</f>
        <v/>
      </c>
      <c r="F124">
        <f>IF(C124="Longitude",'BOM Mapping'!$J$4,IF(C124="Latitude",'BOM Mapping'!$K$4,IF(C124="Altitude",'BOM Mapping'!$L$4,0)))</f>
        <v/>
      </c>
      <c r="G124">
        <f>IF(A124="","",'Job Cards'!$E$10)</f>
        <v/>
      </c>
      <c r="H124">
        <f>IF(E124="","",F124*G124)</f>
        <v/>
      </c>
      <c r="I124">
        <f>IF(E124="","",IFERROR(VLOOKUP(E124,'Master Inventory'!$A:$N,10,FALSE),0))</f>
        <v/>
      </c>
      <c r="J124">
        <f>IF(E124="","",SUMIFS(Reservations!$G:$G,Reservations!$D:$D,A124,Reservations!$E:$E,E124,Reservations!$H:$H,"Active"))</f>
        <v/>
      </c>
      <c r="K124">
        <f>IF(E124="","",MAX(0,H124-I124-J124))</f>
        <v/>
      </c>
      <c r="L124">
        <f>IF(E124="","",IF(K124&gt;0,"SHORTAGE",IF(J124&gt;=H124,"RESERVED","READY TO RESERVE")))</f>
        <v/>
      </c>
    </row>
    <row r="125">
      <c r="A125">
        <f>IF('Job Cards'!$A$10="","",'Job Cards'!$A$10)</f>
        <v/>
      </c>
      <c r="B125">
        <f>IF(A125="","",'Job Cards'!$B$10)</f>
        <v/>
      </c>
      <c r="C125">
        <f>IF(A125="","",'Job Cards'!$D$10)</f>
        <v/>
      </c>
      <c r="D125">
        <f>IF(A125="","",'BOM Mapping'!$A$5)</f>
        <v/>
      </c>
      <c r="E125">
        <f>IF(C125="Longitude",'BOM Mapping'!$C$5,IF(C125="Latitude",'BOM Mapping'!$D$5,IF(C125="Altitude",'BOM Mapping'!$E$5,"")))</f>
        <v/>
      </c>
      <c r="F125">
        <f>IF(C125="Longitude",'BOM Mapping'!$J$5,IF(C125="Latitude",'BOM Mapping'!$K$5,IF(C125="Altitude",'BOM Mapping'!$L$5,0)))</f>
        <v/>
      </c>
      <c r="G125">
        <f>IF(A125="","",'Job Cards'!$E$10)</f>
        <v/>
      </c>
      <c r="H125">
        <f>IF(E125="","",F125*G125)</f>
        <v/>
      </c>
      <c r="I125">
        <f>IF(E125="","",IFERROR(VLOOKUP(E125,'Master Inventory'!$A:$N,10,FALSE),0))</f>
        <v/>
      </c>
      <c r="J125">
        <f>IF(E125="","",SUMIFS(Reservations!$G:$G,Reservations!$D:$D,A125,Reservations!$E:$E,E125,Reservations!$H:$H,"Active"))</f>
        <v/>
      </c>
      <c r="K125">
        <f>IF(E125="","",MAX(0,H125-I125-J125))</f>
        <v/>
      </c>
      <c r="L125">
        <f>IF(E125="","",IF(K125&gt;0,"SHORTAGE",IF(J125&gt;=H125,"RESERVED","READY TO RESERVE")))</f>
        <v/>
      </c>
    </row>
    <row r="126">
      <c r="A126">
        <f>IF('Job Cards'!$A$10="","",'Job Cards'!$A$10)</f>
        <v/>
      </c>
      <c r="B126">
        <f>IF(A126="","",'Job Cards'!$B$10)</f>
        <v/>
      </c>
      <c r="C126">
        <f>IF(A126="","",'Job Cards'!$D$10)</f>
        <v/>
      </c>
      <c r="D126">
        <f>IF(A126="","",'BOM Mapping'!$A$6)</f>
        <v/>
      </c>
      <c r="E126">
        <f>IF(C126="Longitude",'BOM Mapping'!$C$6,IF(C126="Latitude",'BOM Mapping'!$D$6,IF(C126="Altitude",'BOM Mapping'!$E$6,"")))</f>
        <v/>
      </c>
      <c r="F126">
        <f>IF(C126="Longitude",'BOM Mapping'!$J$6,IF(C126="Latitude",'BOM Mapping'!$K$6,IF(C126="Altitude",'BOM Mapping'!$L$6,0)))</f>
        <v/>
      </c>
      <c r="G126">
        <f>IF(A126="","",'Job Cards'!$E$10)</f>
        <v/>
      </c>
      <c r="H126">
        <f>IF(E126="","",F126*G126)</f>
        <v/>
      </c>
      <c r="I126">
        <f>IF(E126="","",IFERROR(VLOOKUP(E126,'Master Inventory'!$A:$N,10,FALSE),0))</f>
        <v/>
      </c>
      <c r="J126">
        <f>IF(E126="","",SUMIFS(Reservations!$G:$G,Reservations!$D:$D,A126,Reservations!$E:$E,E126,Reservations!$H:$H,"Active"))</f>
        <v/>
      </c>
      <c r="K126">
        <f>IF(E126="","",MAX(0,H126-I126-J126))</f>
        <v/>
      </c>
      <c r="L126">
        <f>IF(E126="","",IF(K126&gt;0,"SHORTAGE",IF(J126&gt;=H126,"RESERVED","READY TO RESERVE")))</f>
        <v/>
      </c>
    </row>
    <row r="127">
      <c r="A127">
        <f>IF('Job Cards'!$A$10="","",'Job Cards'!$A$10)</f>
        <v/>
      </c>
      <c r="B127">
        <f>IF(A127="","",'Job Cards'!$B$10)</f>
        <v/>
      </c>
      <c r="C127">
        <f>IF(A127="","",'Job Cards'!$D$10)</f>
        <v/>
      </c>
      <c r="D127">
        <f>IF(A127="","",'BOM Mapping'!$A$7)</f>
        <v/>
      </c>
      <c r="E127">
        <f>IF(C127="Longitude",'BOM Mapping'!$C$7,IF(C127="Latitude",'BOM Mapping'!$D$7,IF(C127="Altitude",'BOM Mapping'!$E$7,"")))</f>
        <v/>
      </c>
      <c r="F127">
        <f>IF(C127="Longitude",'BOM Mapping'!$J$7,IF(C127="Latitude",'BOM Mapping'!$K$7,IF(C127="Altitude",'BOM Mapping'!$L$7,0)))</f>
        <v/>
      </c>
      <c r="G127">
        <f>IF(A127="","",'Job Cards'!$E$10)</f>
        <v/>
      </c>
      <c r="H127">
        <f>IF(E127="","",F127*G127)</f>
        <v/>
      </c>
      <c r="I127">
        <f>IF(E127="","",IFERROR(VLOOKUP(E127,'Master Inventory'!$A:$N,10,FALSE),0))</f>
        <v/>
      </c>
      <c r="J127">
        <f>IF(E127="","",SUMIFS(Reservations!$G:$G,Reservations!$D:$D,A127,Reservations!$E:$E,E127,Reservations!$H:$H,"Active"))</f>
        <v/>
      </c>
      <c r="K127">
        <f>IF(E127="","",MAX(0,H127-I127-J127))</f>
        <v/>
      </c>
      <c r="L127">
        <f>IF(E127="","",IF(K127&gt;0,"SHORTAGE",IF(J127&gt;=H127,"RESERVED","READY TO RESERVE")))</f>
        <v/>
      </c>
    </row>
    <row r="128">
      <c r="A128">
        <f>IF('Job Cards'!$A$10="","",'Job Cards'!$A$10)</f>
        <v/>
      </c>
      <c r="B128">
        <f>IF(A128="","",'Job Cards'!$B$10)</f>
        <v/>
      </c>
      <c r="C128">
        <f>IF(A128="","",'Job Cards'!$D$10)</f>
        <v/>
      </c>
      <c r="D128">
        <f>IF(A128="","",'BOM Mapping'!$A$8)</f>
        <v/>
      </c>
      <c r="E128">
        <f>IF(C128="Longitude",'BOM Mapping'!$C$8,IF(C128="Latitude",'BOM Mapping'!$D$8,IF(C128="Altitude",'BOM Mapping'!$E$8,"")))</f>
        <v/>
      </c>
      <c r="F128">
        <f>IF(C128="Longitude",'BOM Mapping'!$J$8,IF(C128="Latitude",'BOM Mapping'!$K$8,IF(C128="Altitude",'BOM Mapping'!$L$8,0)))</f>
        <v/>
      </c>
      <c r="G128">
        <f>IF(A128="","",'Job Cards'!$E$10)</f>
        <v/>
      </c>
      <c r="H128">
        <f>IF(E128="","",F128*G128)</f>
        <v/>
      </c>
      <c r="I128">
        <f>IF(E128="","",IFERROR(VLOOKUP(E128,'Master Inventory'!$A:$N,10,FALSE),0))</f>
        <v/>
      </c>
      <c r="J128">
        <f>IF(E128="","",SUMIFS(Reservations!$G:$G,Reservations!$D:$D,A128,Reservations!$E:$E,E128,Reservations!$H:$H,"Active"))</f>
        <v/>
      </c>
      <c r="K128">
        <f>IF(E128="","",MAX(0,H128-I128-J128))</f>
        <v/>
      </c>
      <c r="L128">
        <f>IF(E128="","",IF(K128&gt;0,"SHORTAGE",IF(J128&gt;=H128,"RESERVED","READY TO RESERVE")))</f>
        <v/>
      </c>
    </row>
    <row r="129">
      <c r="A129">
        <f>IF('Job Cards'!$A$10="","",'Job Cards'!$A$10)</f>
        <v/>
      </c>
      <c r="B129">
        <f>IF(A129="","",'Job Cards'!$B$10)</f>
        <v/>
      </c>
      <c r="C129">
        <f>IF(A129="","",'Job Cards'!$D$10)</f>
        <v/>
      </c>
      <c r="D129">
        <f>IF(A129="","",'BOM Mapping'!$A$9)</f>
        <v/>
      </c>
      <c r="E129">
        <f>IF(C129="Longitude",'BOM Mapping'!$C$9,IF(C129="Latitude",'BOM Mapping'!$D$9,IF(C129="Altitude",'BOM Mapping'!$E$9,"")))</f>
        <v/>
      </c>
      <c r="F129">
        <f>IF(C129="Longitude",'BOM Mapping'!$J$9,IF(C129="Latitude",'BOM Mapping'!$K$9,IF(C129="Altitude",'BOM Mapping'!$L$9,0)))</f>
        <v/>
      </c>
      <c r="G129">
        <f>IF(A129="","",'Job Cards'!$E$10)</f>
        <v/>
      </c>
      <c r="H129">
        <f>IF(E129="","",F129*G129)</f>
        <v/>
      </c>
      <c r="I129">
        <f>IF(E129="","",IFERROR(VLOOKUP(E129,'Master Inventory'!$A:$N,10,FALSE),0))</f>
        <v/>
      </c>
      <c r="J129">
        <f>IF(E129="","",SUMIFS(Reservations!$G:$G,Reservations!$D:$D,A129,Reservations!$E:$E,E129,Reservations!$H:$H,"Active"))</f>
        <v/>
      </c>
      <c r="K129">
        <f>IF(E129="","",MAX(0,H129-I129-J129))</f>
        <v/>
      </c>
      <c r="L129">
        <f>IF(E129="","",IF(K129&gt;0,"SHORTAGE",IF(J129&gt;=H129,"RESERVED","READY TO RESERVE")))</f>
        <v/>
      </c>
    </row>
    <row r="130">
      <c r="A130">
        <f>IF('Job Cards'!$A$10="","",'Job Cards'!$A$10)</f>
        <v/>
      </c>
      <c r="B130">
        <f>IF(A130="","",'Job Cards'!$B$10)</f>
        <v/>
      </c>
      <c r="C130">
        <f>IF(A130="","",'Job Cards'!$D$10)</f>
        <v/>
      </c>
      <c r="D130">
        <f>IF(A130="","",'BOM Mapping'!$A$10)</f>
        <v/>
      </c>
      <c r="E130">
        <f>IF(C130="Longitude",'BOM Mapping'!$C$10,IF(C130="Latitude",'BOM Mapping'!$D$10,IF(C130="Altitude",'BOM Mapping'!$E$10,"")))</f>
        <v/>
      </c>
      <c r="F130">
        <f>IF(C130="Longitude",'BOM Mapping'!$J$10,IF(C130="Latitude",'BOM Mapping'!$K$10,IF(C130="Altitude",'BOM Mapping'!$L$10,0)))</f>
        <v/>
      </c>
      <c r="G130">
        <f>IF(A130="","",'Job Cards'!$E$10)</f>
        <v/>
      </c>
      <c r="H130">
        <f>IF(E130="","",F130*G130)</f>
        <v/>
      </c>
      <c r="I130">
        <f>IF(E130="","",IFERROR(VLOOKUP(E130,'Master Inventory'!$A:$N,10,FALSE),0))</f>
        <v/>
      </c>
      <c r="J130">
        <f>IF(E130="","",SUMIFS(Reservations!$G:$G,Reservations!$D:$D,A130,Reservations!$E:$E,E130,Reservations!$H:$H,"Active"))</f>
        <v/>
      </c>
      <c r="K130">
        <f>IF(E130="","",MAX(0,H130-I130-J130))</f>
        <v/>
      </c>
      <c r="L130">
        <f>IF(E130="","",IF(K130&gt;0,"SHORTAGE",IF(J130&gt;=H130,"RESERVED","READY TO RESERVE")))</f>
        <v/>
      </c>
    </row>
    <row r="131">
      <c r="A131">
        <f>IF('Job Cards'!$A$10="","",'Job Cards'!$A$10)</f>
        <v/>
      </c>
      <c r="B131">
        <f>IF(A131="","",'Job Cards'!$B$10)</f>
        <v/>
      </c>
      <c r="C131">
        <f>IF(A131="","",'Job Cards'!$D$10)</f>
        <v/>
      </c>
      <c r="D131">
        <f>IF(A131="","",'BOM Mapping'!$A$11)</f>
        <v/>
      </c>
      <c r="E131">
        <f>IF(C131="Longitude",'BOM Mapping'!$C$11,IF(C131="Latitude",'BOM Mapping'!$D$11,IF(C131="Altitude",'BOM Mapping'!$E$11,"")))</f>
        <v/>
      </c>
      <c r="F131">
        <f>IF(C131="Longitude",'BOM Mapping'!$J$11,IF(C131="Latitude",'BOM Mapping'!$K$11,IF(C131="Altitude",'BOM Mapping'!$L$11,0)))</f>
        <v/>
      </c>
      <c r="G131">
        <f>IF(A131="","",'Job Cards'!$E$10)</f>
        <v/>
      </c>
      <c r="H131">
        <f>IF(E131="","",F131*G131)</f>
        <v/>
      </c>
      <c r="I131">
        <f>IF(E131="","",IFERROR(VLOOKUP(E131,'Master Inventory'!$A:$N,10,FALSE),0))</f>
        <v/>
      </c>
      <c r="J131">
        <f>IF(E131="","",SUMIFS(Reservations!$G:$G,Reservations!$D:$D,A131,Reservations!$E:$E,E131,Reservations!$H:$H,"Active"))</f>
        <v/>
      </c>
      <c r="K131">
        <f>IF(E131="","",MAX(0,H131-I131-J131))</f>
        <v/>
      </c>
      <c r="L131">
        <f>IF(E131="","",IF(K131&gt;0,"SHORTAGE",IF(J131&gt;=H131,"RESERVED","READY TO RESERVE")))</f>
        <v/>
      </c>
    </row>
    <row r="132">
      <c r="A132">
        <f>IF('Job Cards'!$A$10="","",'Job Cards'!$A$10)</f>
        <v/>
      </c>
      <c r="B132">
        <f>IF(A132="","",'Job Cards'!$B$10)</f>
        <v/>
      </c>
      <c r="C132">
        <f>IF(A132="","",'Job Cards'!$D$10)</f>
        <v/>
      </c>
      <c r="D132">
        <f>IF(A132="","",'BOM Mapping'!$A$12)</f>
        <v/>
      </c>
      <c r="E132">
        <f>IF(C132="Longitude",'BOM Mapping'!$C$12,IF(C132="Latitude",'BOM Mapping'!$D$12,IF(C132="Altitude",'BOM Mapping'!$E$12,"")))</f>
        <v/>
      </c>
      <c r="F132">
        <f>IF(C132="Longitude",'BOM Mapping'!$J$12,IF(C132="Latitude",'BOM Mapping'!$K$12,IF(C132="Altitude",'BOM Mapping'!$L$12,0)))</f>
        <v/>
      </c>
      <c r="G132">
        <f>IF(A132="","",'Job Cards'!$E$10)</f>
        <v/>
      </c>
      <c r="H132">
        <f>IF(E132="","",F132*G132)</f>
        <v/>
      </c>
      <c r="I132">
        <f>IF(E132="","",IFERROR(VLOOKUP(E132,'Master Inventory'!$A:$N,10,FALSE),0))</f>
        <v/>
      </c>
      <c r="J132">
        <f>IF(E132="","",SUMIFS(Reservations!$G:$G,Reservations!$D:$D,A132,Reservations!$E:$E,E132,Reservations!$H:$H,"Active"))</f>
        <v/>
      </c>
      <c r="K132">
        <f>IF(E132="","",MAX(0,H132-I132-J132))</f>
        <v/>
      </c>
      <c r="L132">
        <f>IF(E132="","",IF(K132&gt;0,"SHORTAGE",IF(J132&gt;=H132,"RESERVED","READY TO RESERVE")))</f>
        <v/>
      </c>
    </row>
    <row r="133">
      <c r="A133">
        <f>IF('Job Cards'!$A$10="","",'Job Cards'!$A$10)</f>
        <v/>
      </c>
      <c r="B133">
        <f>IF(A133="","",'Job Cards'!$B$10)</f>
        <v/>
      </c>
      <c r="C133">
        <f>IF(A133="","",'Job Cards'!$D$10)</f>
        <v/>
      </c>
      <c r="D133">
        <f>IF(A133="","",'BOM Mapping'!$A$13)</f>
        <v/>
      </c>
      <c r="E133">
        <f>IF(C133="Longitude",'BOM Mapping'!$C$13,IF(C133="Latitude",'BOM Mapping'!$D$13,IF(C133="Altitude",'BOM Mapping'!$E$13,"")))</f>
        <v/>
      </c>
      <c r="F133">
        <f>IF(C133="Longitude",'BOM Mapping'!$J$13,IF(C133="Latitude",'BOM Mapping'!$K$13,IF(C133="Altitude",'BOM Mapping'!$L$13,0)))</f>
        <v/>
      </c>
      <c r="G133">
        <f>IF(A133="","",'Job Cards'!$E$10)</f>
        <v/>
      </c>
      <c r="H133">
        <f>IF(E133="","",F133*G133)</f>
        <v/>
      </c>
      <c r="I133">
        <f>IF(E133="","",IFERROR(VLOOKUP(E133,'Master Inventory'!$A:$N,10,FALSE),0))</f>
        <v/>
      </c>
      <c r="J133">
        <f>IF(E133="","",SUMIFS(Reservations!$G:$G,Reservations!$D:$D,A133,Reservations!$E:$E,E133,Reservations!$H:$H,"Active"))</f>
        <v/>
      </c>
      <c r="K133">
        <f>IF(E133="","",MAX(0,H133-I133-J133))</f>
        <v/>
      </c>
      <c r="L133">
        <f>IF(E133="","",IF(K133&gt;0,"SHORTAGE",IF(J133&gt;=H133,"RESERVED","READY TO RESERVE")))</f>
        <v/>
      </c>
    </row>
    <row r="134">
      <c r="A134">
        <f>IF('Job Cards'!$A$10="","",'Job Cards'!$A$10)</f>
        <v/>
      </c>
      <c r="B134">
        <f>IF(A134="","",'Job Cards'!$B$10)</f>
        <v/>
      </c>
      <c r="C134">
        <f>IF(A134="","",'Job Cards'!$D$10)</f>
        <v/>
      </c>
      <c r="D134">
        <f>IF(A134="","",'BOM Mapping'!$A$14)</f>
        <v/>
      </c>
      <c r="E134">
        <f>IF(C134="Longitude",'BOM Mapping'!$C$14,IF(C134="Latitude",'BOM Mapping'!$D$14,IF(C134="Altitude",'BOM Mapping'!$E$14,"")))</f>
        <v/>
      </c>
      <c r="F134">
        <f>IF(C134="Longitude",'BOM Mapping'!$J$14,IF(C134="Latitude",'BOM Mapping'!$K$14,IF(C134="Altitude",'BOM Mapping'!$L$14,0)))</f>
        <v/>
      </c>
      <c r="G134">
        <f>IF(A134="","",'Job Cards'!$E$10)</f>
        <v/>
      </c>
      <c r="H134">
        <f>IF(E134="","",F134*G134)</f>
        <v/>
      </c>
      <c r="I134">
        <f>IF(E134="","",IFERROR(VLOOKUP(E134,'Master Inventory'!$A:$N,10,FALSE),0))</f>
        <v/>
      </c>
      <c r="J134">
        <f>IF(E134="","",SUMIFS(Reservations!$G:$G,Reservations!$D:$D,A134,Reservations!$E:$E,E134,Reservations!$H:$H,"Active"))</f>
        <v/>
      </c>
      <c r="K134">
        <f>IF(E134="","",MAX(0,H134-I134-J134))</f>
        <v/>
      </c>
      <c r="L134">
        <f>IF(E134="","",IF(K134&gt;0,"SHORTAGE",IF(J134&gt;=H134,"RESERVED","READY TO RESERVE")))</f>
        <v/>
      </c>
    </row>
    <row r="135">
      <c r="A135">
        <f>IF('Job Cards'!$A$10="","",'Job Cards'!$A$10)</f>
        <v/>
      </c>
      <c r="B135">
        <f>IF(A135="","",'Job Cards'!$B$10)</f>
        <v/>
      </c>
      <c r="C135">
        <f>IF(A135="","",'Job Cards'!$D$10)</f>
        <v/>
      </c>
      <c r="D135">
        <f>IF(A135="","",'BOM Mapping'!$A$15)</f>
        <v/>
      </c>
      <c r="E135">
        <f>IF(C135="Longitude",'BOM Mapping'!$C$15,IF(C135="Latitude",'BOM Mapping'!$D$15,IF(C135="Altitude",'BOM Mapping'!$E$15,"")))</f>
        <v/>
      </c>
      <c r="F135">
        <f>IF(C135="Longitude",'BOM Mapping'!$J$15,IF(C135="Latitude",'BOM Mapping'!$K$15,IF(C135="Altitude",'BOM Mapping'!$L$15,0)))</f>
        <v/>
      </c>
      <c r="G135">
        <f>IF(A135="","",'Job Cards'!$E$10)</f>
        <v/>
      </c>
      <c r="H135">
        <f>IF(E135="","",F135*G135)</f>
        <v/>
      </c>
      <c r="I135">
        <f>IF(E135="","",IFERROR(VLOOKUP(E135,'Master Inventory'!$A:$N,10,FALSE),0))</f>
        <v/>
      </c>
      <c r="J135">
        <f>IF(E135="","",SUMIFS(Reservations!$G:$G,Reservations!$D:$D,A135,Reservations!$E:$E,E135,Reservations!$H:$H,"Active"))</f>
        <v/>
      </c>
      <c r="K135">
        <f>IF(E135="","",MAX(0,H135-I135-J135))</f>
        <v/>
      </c>
      <c r="L135">
        <f>IF(E135="","",IF(K135&gt;0,"SHORTAGE",IF(J135&gt;=H135,"RESERVED","READY TO RESERVE")))</f>
        <v/>
      </c>
    </row>
    <row r="136">
      <c r="A136">
        <f>IF('Job Cards'!$A$10="","",'Job Cards'!$A$10)</f>
        <v/>
      </c>
      <c r="B136">
        <f>IF(A136="","",'Job Cards'!$B$10)</f>
        <v/>
      </c>
      <c r="C136">
        <f>IF(A136="","",'Job Cards'!$D$10)</f>
        <v/>
      </c>
      <c r="D136">
        <f>IF(A136="","",'BOM Mapping'!$A$16)</f>
        <v/>
      </c>
      <c r="E136">
        <f>IF(C136="Longitude",'BOM Mapping'!$C$16,IF(C136="Latitude",'BOM Mapping'!$D$16,IF(C136="Altitude",'BOM Mapping'!$E$16,"")))</f>
        <v/>
      </c>
      <c r="F136">
        <f>IF(C136="Longitude",'BOM Mapping'!$J$16,IF(C136="Latitude",'BOM Mapping'!$K$16,IF(C136="Altitude",'BOM Mapping'!$L$16,0)))</f>
        <v/>
      </c>
      <c r="G136">
        <f>IF(A136="","",'Job Cards'!$E$10)</f>
        <v/>
      </c>
      <c r="H136">
        <f>IF(E136="","",F136*G136)</f>
        <v/>
      </c>
      <c r="I136">
        <f>IF(E136="","",IFERROR(VLOOKUP(E136,'Master Inventory'!$A:$N,10,FALSE),0))</f>
        <v/>
      </c>
      <c r="J136">
        <f>IF(E136="","",SUMIFS(Reservations!$G:$G,Reservations!$D:$D,A136,Reservations!$E:$E,E136,Reservations!$H:$H,"Active"))</f>
        <v/>
      </c>
      <c r="K136">
        <f>IF(E136="","",MAX(0,H136-I136-J136))</f>
        <v/>
      </c>
      <c r="L136">
        <f>IF(E136="","",IF(K136&gt;0,"SHORTAGE",IF(J136&gt;=H136,"RESERVED","READY TO RESERVE")))</f>
        <v/>
      </c>
    </row>
    <row r="137">
      <c r="A137">
        <f>IF('Job Cards'!$A$10="","",'Job Cards'!$A$10)</f>
        <v/>
      </c>
      <c r="B137">
        <f>IF(A137="","",'Job Cards'!$B$10)</f>
        <v/>
      </c>
      <c r="C137">
        <f>IF(A137="","",'Job Cards'!$D$10)</f>
        <v/>
      </c>
      <c r="D137">
        <f>IF(A137="","",'BOM Mapping'!$A$17)</f>
        <v/>
      </c>
      <c r="E137">
        <f>IF(C137="Longitude",'BOM Mapping'!$C$17,IF(C137="Latitude",'BOM Mapping'!$D$17,IF(C137="Altitude",'BOM Mapping'!$E$17,"")))</f>
        <v/>
      </c>
      <c r="F137">
        <f>IF(C137="Longitude",'BOM Mapping'!$J$17,IF(C137="Latitude",'BOM Mapping'!$K$17,IF(C137="Altitude",'BOM Mapping'!$L$17,0)))</f>
        <v/>
      </c>
      <c r="G137">
        <f>IF(A137="","",'Job Cards'!$E$10)</f>
        <v/>
      </c>
      <c r="H137">
        <f>IF(E137="","",F137*G137)</f>
        <v/>
      </c>
      <c r="I137">
        <f>IF(E137="","",IFERROR(VLOOKUP(E137,'Master Inventory'!$A:$N,10,FALSE),0))</f>
        <v/>
      </c>
      <c r="J137">
        <f>IF(E137="","",SUMIFS(Reservations!$G:$G,Reservations!$D:$D,A137,Reservations!$E:$E,E137,Reservations!$H:$H,"Active"))</f>
        <v/>
      </c>
      <c r="K137">
        <f>IF(E137="","",MAX(0,H137-I137-J137))</f>
        <v/>
      </c>
      <c r="L137">
        <f>IF(E137="","",IF(K137&gt;0,"SHORTAGE",IF(J137&gt;=H137,"RESERVED","READY TO RESERVE")))</f>
        <v/>
      </c>
    </row>
    <row r="138">
      <c r="A138">
        <f>IF('Job Cards'!$A$10="","",'Job Cards'!$A$10)</f>
        <v/>
      </c>
      <c r="B138">
        <f>IF(A138="","",'Job Cards'!$B$10)</f>
        <v/>
      </c>
      <c r="C138">
        <f>IF(A138="","",'Job Cards'!$D$10)</f>
        <v/>
      </c>
      <c r="D138">
        <f>IF(A138="","",'BOM Mapping'!$A$18)</f>
        <v/>
      </c>
      <c r="E138">
        <f>IF(C138="Longitude",'BOM Mapping'!$C$18,IF(C138="Latitude",'BOM Mapping'!$D$18,IF(C138="Altitude",'BOM Mapping'!$E$18,"")))</f>
        <v/>
      </c>
      <c r="F138">
        <f>IF(C138="Longitude",'BOM Mapping'!$J$18,IF(C138="Latitude",'BOM Mapping'!$K$18,IF(C138="Altitude",'BOM Mapping'!$L$18,0)))</f>
        <v/>
      </c>
      <c r="G138">
        <f>IF(A138="","",'Job Cards'!$E$10)</f>
        <v/>
      </c>
      <c r="H138">
        <f>IF(E138="","",F138*G138)</f>
        <v/>
      </c>
      <c r="I138">
        <f>IF(E138="","",IFERROR(VLOOKUP(E138,'Master Inventory'!$A:$N,10,FALSE),0))</f>
        <v/>
      </c>
      <c r="J138">
        <f>IF(E138="","",SUMIFS(Reservations!$G:$G,Reservations!$D:$D,A138,Reservations!$E:$E,E138,Reservations!$H:$H,"Active"))</f>
        <v/>
      </c>
      <c r="K138">
        <f>IF(E138="","",MAX(0,H138-I138-J138))</f>
        <v/>
      </c>
      <c r="L138">
        <f>IF(E138="","",IF(K138&gt;0,"SHORTAGE",IF(J138&gt;=H138,"RESERVED","READY TO RESERVE")))</f>
        <v/>
      </c>
    </row>
    <row r="139">
      <c r="A139">
        <f>IF('Job Cards'!$A$10="","",'Job Cards'!$A$10)</f>
        <v/>
      </c>
      <c r="B139">
        <f>IF(A139="","",'Job Cards'!$B$10)</f>
        <v/>
      </c>
      <c r="C139">
        <f>IF(A139="","",'Job Cards'!$D$10)</f>
        <v/>
      </c>
      <c r="D139">
        <f>IF(A139="","",'BOM Mapping'!$A$19)</f>
        <v/>
      </c>
      <c r="E139">
        <f>IF(C139="Longitude",'BOM Mapping'!$C$19,IF(C139="Latitude",'BOM Mapping'!$D$19,IF(C139="Altitude",'BOM Mapping'!$E$19,"")))</f>
        <v/>
      </c>
      <c r="F139">
        <f>IF(C139="Longitude",'BOM Mapping'!$J$19,IF(C139="Latitude",'BOM Mapping'!$K$19,IF(C139="Altitude",'BOM Mapping'!$L$19,0)))</f>
        <v/>
      </c>
      <c r="G139">
        <f>IF(A139="","",'Job Cards'!$E$10)</f>
        <v/>
      </c>
      <c r="H139">
        <f>IF(E139="","",F139*G139)</f>
        <v/>
      </c>
      <c r="I139">
        <f>IF(E139="","",IFERROR(VLOOKUP(E139,'Master Inventory'!$A:$N,10,FALSE),0))</f>
        <v/>
      </c>
      <c r="J139">
        <f>IF(E139="","",SUMIFS(Reservations!$G:$G,Reservations!$D:$D,A139,Reservations!$E:$E,E139,Reservations!$H:$H,"Active"))</f>
        <v/>
      </c>
      <c r="K139">
        <f>IF(E139="","",MAX(0,H139-I139-J139))</f>
        <v/>
      </c>
      <c r="L139">
        <f>IF(E139="","",IF(K139&gt;0,"SHORTAGE",IF(J139&gt;=H139,"RESERVED","READY TO RESERVE")))</f>
        <v/>
      </c>
    </row>
    <row r="140">
      <c r="A140">
        <f>IF('Job Cards'!$A$10="","",'Job Cards'!$A$10)</f>
        <v/>
      </c>
      <c r="B140">
        <f>IF(A140="","",'Job Cards'!$B$10)</f>
        <v/>
      </c>
      <c r="C140">
        <f>IF(A140="","",'Job Cards'!$D$10)</f>
        <v/>
      </c>
      <c r="D140">
        <f>IF(A140="","",'BOM Mapping'!$A$20)</f>
        <v/>
      </c>
      <c r="E140">
        <f>IF(C140="Longitude",'BOM Mapping'!$C$20,IF(C140="Latitude",'BOM Mapping'!$D$20,IF(C140="Altitude",'BOM Mapping'!$E$20,"")))</f>
        <v/>
      </c>
      <c r="F140">
        <f>IF(C140="Longitude",'BOM Mapping'!$J$20,IF(C140="Latitude",'BOM Mapping'!$K$20,IF(C140="Altitude",'BOM Mapping'!$L$20,0)))</f>
        <v/>
      </c>
      <c r="G140">
        <f>IF(A140="","",'Job Cards'!$E$10)</f>
        <v/>
      </c>
      <c r="H140">
        <f>IF(E140="","",F140*G140)</f>
        <v/>
      </c>
      <c r="I140">
        <f>IF(E140="","",IFERROR(VLOOKUP(E140,'Master Inventory'!$A:$N,10,FALSE),0))</f>
        <v/>
      </c>
      <c r="J140">
        <f>IF(E140="","",SUMIFS(Reservations!$G:$G,Reservations!$D:$D,A140,Reservations!$E:$E,E140,Reservations!$H:$H,"Active"))</f>
        <v/>
      </c>
      <c r="K140">
        <f>IF(E140="","",MAX(0,H140-I140-J140))</f>
        <v/>
      </c>
      <c r="L140">
        <f>IF(E140="","",IF(K140&gt;0,"SHORTAGE",IF(J140&gt;=H140,"RESERVED","READY TO RESERVE")))</f>
        <v/>
      </c>
    </row>
    <row r="141">
      <c r="A141">
        <f>IF('Job Cards'!$A$10="","",'Job Cards'!$A$10)</f>
        <v/>
      </c>
      <c r="B141">
        <f>IF(A141="","",'Job Cards'!$B$10)</f>
        <v/>
      </c>
      <c r="C141">
        <f>IF(A141="","",'Job Cards'!$D$10)</f>
        <v/>
      </c>
      <c r="D141">
        <f>IF(A141="","",'BOM Mapping'!$A$21)</f>
        <v/>
      </c>
      <c r="E141">
        <f>IF(C141="Longitude",'BOM Mapping'!$C$21,IF(C141="Latitude",'BOM Mapping'!$D$21,IF(C141="Altitude",'BOM Mapping'!$E$21,"")))</f>
        <v/>
      </c>
      <c r="F141">
        <f>IF(C141="Longitude",'BOM Mapping'!$J$21,IF(C141="Latitude",'BOM Mapping'!$K$21,IF(C141="Altitude",'BOM Mapping'!$L$21,0)))</f>
        <v/>
      </c>
      <c r="G141">
        <f>IF(A141="","",'Job Cards'!$E$10)</f>
        <v/>
      </c>
      <c r="H141">
        <f>IF(E141="","",F141*G141)</f>
        <v/>
      </c>
      <c r="I141">
        <f>IF(E141="","",IFERROR(VLOOKUP(E141,'Master Inventory'!$A:$N,10,FALSE),0))</f>
        <v/>
      </c>
      <c r="J141">
        <f>IF(E141="","",SUMIFS(Reservations!$G:$G,Reservations!$D:$D,A141,Reservations!$E:$E,E141,Reservations!$H:$H,"Active"))</f>
        <v/>
      </c>
      <c r="K141">
        <f>IF(E141="","",MAX(0,H141-I141-J141))</f>
        <v/>
      </c>
      <c r="L141">
        <f>IF(E141="","",IF(K141&gt;0,"SHORTAGE",IF(J141&gt;=H141,"RESERVED","READY TO RESERVE")))</f>
        <v/>
      </c>
    </row>
    <row r="142">
      <c r="A142">
        <f>IF('Job Cards'!$A$10="","",'Job Cards'!$A$10)</f>
        <v/>
      </c>
      <c r="B142">
        <f>IF(A142="","",'Job Cards'!$B$10)</f>
        <v/>
      </c>
      <c r="C142">
        <f>IF(A142="","",'Job Cards'!$D$10)</f>
        <v/>
      </c>
      <c r="D142">
        <f>IF(A142="","",'BOM Mapping'!$A$22)</f>
        <v/>
      </c>
      <c r="E142">
        <f>IF(C142="Longitude",'BOM Mapping'!$C$22,IF(C142="Latitude",'BOM Mapping'!$D$22,IF(C142="Altitude",'BOM Mapping'!$E$22,"")))</f>
        <v/>
      </c>
      <c r="F142">
        <f>IF(C142="Longitude",'BOM Mapping'!$J$22,IF(C142="Latitude",'BOM Mapping'!$K$22,IF(C142="Altitude",'BOM Mapping'!$L$22,0)))</f>
        <v/>
      </c>
      <c r="G142">
        <f>IF(A142="","",'Job Cards'!$E$10)</f>
        <v/>
      </c>
      <c r="H142">
        <f>IF(E142="","",F142*G142)</f>
        <v/>
      </c>
      <c r="I142">
        <f>IF(E142="","",IFERROR(VLOOKUP(E142,'Master Inventory'!$A:$N,10,FALSE),0))</f>
        <v/>
      </c>
      <c r="J142">
        <f>IF(E142="","",SUMIFS(Reservations!$G:$G,Reservations!$D:$D,A142,Reservations!$E:$E,E142,Reservations!$H:$H,"Active"))</f>
        <v/>
      </c>
      <c r="K142">
        <f>IF(E142="","",MAX(0,H142-I142-J142))</f>
        <v/>
      </c>
      <c r="L142">
        <f>IF(E142="","",IF(K142&gt;0,"SHORTAGE",IF(J142&gt;=H142,"RESERVED","READY TO RESERVE")))</f>
        <v/>
      </c>
    </row>
    <row r="143">
      <c r="A143">
        <f>IF('Job Cards'!$A$10="","",'Job Cards'!$A$10)</f>
        <v/>
      </c>
      <c r="B143">
        <f>IF(A143="","",'Job Cards'!$B$10)</f>
        <v/>
      </c>
      <c r="C143">
        <f>IF(A143="","",'Job Cards'!$D$10)</f>
        <v/>
      </c>
      <c r="D143">
        <f>IF(A143="","",'BOM Mapping'!$A$23)</f>
        <v/>
      </c>
      <c r="E143">
        <f>IF(C143="Longitude",'BOM Mapping'!$C$23,IF(C143="Latitude",'BOM Mapping'!$D$23,IF(C143="Altitude",'BOM Mapping'!$E$23,"")))</f>
        <v/>
      </c>
      <c r="F143">
        <f>IF(C143="Longitude",'BOM Mapping'!$J$23,IF(C143="Latitude",'BOM Mapping'!$K$23,IF(C143="Altitude",'BOM Mapping'!$L$23,0)))</f>
        <v/>
      </c>
      <c r="G143">
        <f>IF(A143="","",'Job Cards'!$E$10)</f>
        <v/>
      </c>
      <c r="H143">
        <f>IF(E143="","",F143*G143)</f>
        <v/>
      </c>
      <c r="I143">
        <f>IF(E143="","",IFERROR(VLOOKUP(E143,'Master Inventory'!$A:$N,10,FALSE),0))</f>
        <v/>
      </c>
      <c r="J143">
        <f>IF(E143="","",SUMIFS(Reservations!$G:$G,Reservations!$D:$D,A143,Reservations!$E:$E,E143,Reservations!$H:$H,"Active"))</f>
        <v/>
      </c>
      <c r="K143">
        <f>IF(E143="","",MAX(0,H143-I143-J143))</f>
        <v/>
      </c>
      <c r="L143">
        <f>IF(E143="","",IF(K143&gt;0,"SHORTAGE",IF(J143&gt;=H143,"RESERVED","READY TO RESERVE")))</f>
        <v/>
      </c>
    </row>
    <row r="144">
      <c r="A144">
        <f>IF('Job Cards'!$A$11="","",'Job Cards'!$A$11)</f>
        <v/>
      </c>
      <c r="B144">
        <f>IF(A144="","",'Job Cards'!$B$11)</f>
        <v/>
      </c>
      <c r="C144">
        <f>IF(A144="","",'Job Cards'!$D$11)</f>
        <v/>
      </c>
      <c r="D144">
        <f>IF(A144="","",'BOM Mapping'!$A$4)</f>
        <v/>
      </c>
      <c r="E144">
        <f>IF(C144="Longitude",'BOM Mapping'!$C$4,IF(C144="Latitude",'BOM Mapping'!$D$4,IF(C144="Altitude",'BOM Mapping'!$E$4,"")))</f>
        <v/>
      </c>
      <c r="F144">
        <f>IF(C144="Longitude",'BOM Mapping'!$J$4,IF(C144="Latitude",'BOM Mapping'!$K$4,IF(C144="Altitude",'BOM Mapping'!$L$4,0)))</f>
        <v/>
      </c>
      <c r="G144">
        <f>IF(A144="","",'Job Cards'!$E$11)</f>
        <v/>
      </c>
      <c r="H144">
        <f>IF(E144="","",F144*G144)</f>
        <v/>
      </c>
      <c r="I144">
        <f>IF(E144="","",IFERROR(VLOOKUP(E144,'Master Inventory'!$A:$N,10,FALSE),0))</f>
        <v/>
      </c>
      <c r="J144">
        <f>IF(E144="","",SUMIFS(Reservations!$G:$G,Reservations!$D:$D,A144,Reservations!$E:$E,E144,Reservations!$H:$H,"Active"))</f>
        <v/>
      </c>
      <c r="K144">
        <f>IF(E144="","",MAX(0,H144-I144-J144))</f>
        <v/>
      </c>
      <c r="L144">
        <f>IF(E144="","",IF(K144&gt;0,"SHORTAGE",IF(J144&gt;=H144,"RESERVED","READY TO RESERVE")))</f>
        <v/>
      </c>
    </row>
    <row r="145">
      <c r="A145">
        <f>IF('Job Cards'!$A$11="","",'Job Cards'!$A$11)</f>
        <v/>
      </c>
      <c r="B145">
        <f>IF(A145="","",'Job Cards'!$B$11)</f>
        <v/>
      </c>
      <c r="C145">
        <f>IF(A145="","",'Job Cards'!$D$11)</f>
        <v/>
      </c>
      <c r="D145">
        <f>IF(A145="","",'BOM Mapping'!$A$5)</f>
        <v/>
      </c>
      <c r="E145">
        <f>IF(C145="Longitude",'BOM Mapping'!$C$5,IF(C145="Latitude",'BOM Mapping'!$D$5,IF(C145="Altitude",'BOM Mapping'!$E$5,"")))</f>
        <v/>
      </c>
      <c r="F145">
        <f>IF(C145="Longitude",'BOM Mapping'!$J$5,IF(C145="Latitude",'BOM Mapping'!$K$5,IF(C145="Altitude",'BOM Mapping'!$L$5,0)))</f>
        <v/>
      </c>
      <c r="G145">
        <f>IF(A145="","",'Job Cards'!$E$11)</f>
        <v/>
      </c>
      <c r="H145">
        <f>IF(E145="","",F145*G145)</f>
        <v/>
      </c>
      <c r="I145">
        <f>IF(E145="","",IFERROR(VLOOKUP(E145,'Master Inventory'!$A:$N,10,FALSE),0))</f>
        <v/>
      </c>
      <c r="J145">
        <f>IF(E145="","",SUMIFS(Reservations!$G:$G,Reservations!$D:$D,A145,Reservations!$E:$E,E145,Reservations!$H:$H,"Active"))</f>
        <v/>
      </c>
      <c r="K145">
        <f>IF(E145="","",MAX(0,H145-I145-J145))</f>
        <v/>
      </c>
      <c r="L145">
        <f>IF(E145="","",IF(K145&gt;0,"SHORTAGE",IF(J145&gt;=H145,"RESERVED","READY TO RESERVE")))</f>
        <v/>
      </c>
    </row>
    <row r="146">
      <c r="A146">
        <f>IF('Job Cards'!$A$11="","",'Job Cards'!$A$11)</f>
        <v/>
      </c>
      <c r="B146">
        <f>IF(A146="","",'Job Cards'!$B$11)</f>
        <v/>
      </c>
      <c r="C146">
        <f>IF(A146="","",'Job Cards'!$D$11)</f>
        <v/>
      </c>
      <c r="D146">
        <f>IF(A146="","",'BOM Mapping'!$A$6)</f>
        <v/>
      </c>
      <c r="E146">
        <f>IF(C146="Longitude",'BOM Mapping'!$C$6,IF(C146="Latitude",'BOM Mapping'!$D$6,IF(C146="Altitude",'BOM Mapping'!$E$6,"")))</f>
        <v/>
      </c>
      <c r="F146">
        <f>IF(C146="Longitude",'BOM Mapping'!$J$6,IF(C146="Latitude",'BOM Mapping'!$K$6,IF(C146="Altitude",'BOM Mapping'!$L$6,0)))</f>
        <v/>
      </c>
      <c r="G146">
        <f>IF(A146="","",'Job Cards'!$E$11)</f>
        <v/>
      </c>
      <c r="H146">
        <f>IF(E146="","",F146*G146)</f>
        <v/>
      </c>
      <c r="I146">
        <f>IF(E146="","",IFERROR(VLOOKUP(E146,'Master Inventory'!$A:$N,10,FALSE),0))</f>
        <v/>
      </c>
      <c r="J146">
        <f>IF(E146="","",SUMIFS(Reservations!$G:$G,Reservations!$D:$D,A146,Reservations!$E:$E,E146,Reservations!$H:$H,"Active"))</f>
        <v/>
      </c>
      <c r="K146">
        <f>IF(E146="","",MAX(0,H146-I146-J146))</f>
        <v/>
      </c>
      <c r="L146">
        <f>IF(E146="","",IF(K146&gt;0,"SHORTAGE",IF(J146&gt;=H146,"RESERVED","READY TO RESERVE")))</f>
        <v/>
      </c>
    </row>
    <row r="147">
      <c r="A147">
        <f>IF('Job Cards'!$A$11="","",'Job Cards'!$A$11)</f>
        <v/>
      </c>
      <c r="B147">
        <f>IF(A147="","",'Job Cards'!$B$11)</f>
        <v/>
      </c>
      <c r="C147">
        <f>IF(A147="","",'Job Cards'!$D$11)</f>
        <v/>
      </c>
      <c r="D147">
        <f>IF(A147="","",'BOM Mapping'!$A$7)</f>
        <v/>
      </c>
      <c r="E147">
        <f>IF(C147="Longitude",'BOM Mapping'!$C$7,IF(C147="Latitude",'BOM Mapping'!$D$7,IF(C147="Altitude",'BOM Mapping'!$E$7,"")))</f>
        <v/>
      </c>
      <c r="F147">
        <f>IF(C147="Longitude",'BOM Mapping'!$J$7,IF(C147="Latitude",'BOM Mapping'!$K$7,IF(C147="Altitude",'BOM Mapping'!$L$7,0)))</f>
        <v/>
      </c>
      <c r="G147">
        <f>IF(A147="","",'Job Cards'!$E$11)</f>
        <v/>
      </c>
      <c r="H147">
        <f>IF(E147="","",F147*G147)</f>
        <v/>
      </c>
      <c r="I147">
        <f>IF(E147="","",IFERROR(VLOOKUP(E147,'Master Inventory'!$A:$N,10,FALSE),0))</f>
        <v/>
      </c>
      <c r="J147">
        <f>IF(E147="","",SUMIFS(Reservations!$G:$G,Reservations!$D:$D,A147,Reservations!$E:$E,E147,Reservations!$H:$H,"Active"))</f>
        <v/>
      </c>
      <c r="K147">
        <f>IF(E147="","",MAX(0,H147-I147-J147))</f>
        <v/>
      </c>
      <c r="L147">
        <f>IF(E147="","",IF(K147&gt;0,"SHORTAGE",IF(J147&gt;=H147,"RESERVED","READY TO RESERVE")))</f>
        <v/>
      </c>
    </row>
    <row r="148">
      <c r="A148">
        <f>IF('Job Cards'!$A$11="","",'Job Cards'!$A$11)</f>
        <v/>
      </c>
      <c r="B148">
        <f>IF(A148="","",'Job Cards'!$B$11)</f>
        <v/>
      </c>
      <c r="C148">
        <f>IF(A148="","",'Job Cards'!$D$11)</f>
        <v/>
      </c>
      <c r="D148">
        <f>IF(A148="","",'BOM Mapping'!$A$8)</f>
        <v/>
      </c>
      <c r="E148">
        <f>IF(C148="Longitude",'BOM Mapping'!$C$8,IF(C148="Latitude",'BOM Mapping'!$D$8,IF(C148="Altitude",'BOM Mapping'!$E$8,"")))</f>
        <v/>
      </c>
      <c r="F148">
        <f>IF(C148="Longitude",'BOM Mapping'!$J$8,IF(C148="Latitude",'BOM Mapping'!$K$8,IF(C148="Altitude",'BOM Mapping'!$L$8,0)))</f>
        <v/>
      </c>
      <c r="G148">
        <f>IF(A148="","",'Job Cards'!$E$11)</f>
        <v/>
      </c>
      <c r="H148">
        <f>IF(E148="","",F148*G148)</f>
        <v/>
      </c>
      <c r="I148">
        <f>IF(E148="","",IFERROR(VLOOKUP(E148,'Master Inventory'!$A:$N,10,FALSE),0))</f>
        <v/>
      </c>
      <c r="J148">
        <f>IF(E148="","",SUMIFS(Reservations!$G:$G,Reservations!$D:$D,A148,Reservations!$E:$E,E148,Reservations!$H:$H,"Active"))</f>
        <v/>
      </c>
      <c r="K148">
        <f>IF(E148="","",MAX(0,H148-I148-J148))</f>
        <v/>
      </c>
      <c r="L148">
        <f>IF(E148="","",IF(K148&gt;0,"SHORTAGE",IF(J148&gt;=H148,"RESERVED","READY TO RESERVE")))</f>
        <v/>
      </c>
    </row>
    <row r="149">
      <c r="A149">
        <f>IF('Job Cards'!$A$11="","",'Job Cards'!$A$11)</f>
        <v/>
      </c>
      <c r="B149">
        <f>IF(A149="","",'Job Cards'!$B$11)</f>
        <v/>
      </c>
      <c r="C149">
        <f>IF(A149="","",'Job Cards'!$D$11)</f>
        <v/>
      </c>
      <c r="D149">
        <f>IF(A149="","",'BOM Mapping'!$A$9)</f>
        <v/>
      </c>
      <c r="E149">
        <f>IF(C149="Longitude",'BOM Mapping'!$C$9,IF(C149="Latitude",'BOM Mapping'!$D$9,IF(C149="Altitude",'BOM Mapping'!$E$9,"")))</f>
        <v/>
      </c>
      <c r="F149">
        <f>IF(C149="Longitude",'BOM Mapping'!$J$9,IF(C149="Latitude",'BOM Mapping'!$K$9,IF(C149="Altitude",'BOM Mapping'!$L$9,0)))</f>
        <v/>
      </c>
      <c r="G149">
        <f>IF(A149="","",'Job Cards'!$E$11)</f>
        <v/>
      </c>
      <c r="H149">
        <f>IF(E149="","",F149*G149)</f>
        <v/>
      </c>
      <c r="I149">
        <f>IF(E149="","",IFERROR(VLOOKUP(E149,'Master Inventory'!$A:$N,10,FALSE),0))</f>
        <v/>
      </c>
      <c r="J149">
        <f>IF(E149="","",SUMIFS(Reservations!$G:$G,Reservations!$D:$D,A149,Reservations!$E:$E,E149,Reservations!$H:$H,"Active"))</f>
        <v/>
      </c>
      <c r="K149">
        <f>IF(E149="","",MAX(0,H149-I149-J149))</f>
        <v/>
      </c>
      <c r="L149">
        <f>IF(E149="","",IF(K149&gt;0,"SHORTAGE",IF(J149&gt;=H149,"RESERVED","READY TO RESERVE")))</f>
        <v/>
      </c>
    </row>
    <row r="150">
      <c r="A150">
        <f>IF('Job Cards'!$A$11="","",'Job Cards'!$A$11)</f>
        <v/>
      </c>
      <c r="B150">
        <f>IF(A150="","",'Job Cards'!$B$11)</f>
        <v/>
      </c>
      <c r="C150">
        <f>IF(A150="","",'Job Cards'!$D$11)</f>
        <v/>
      </c>
      <c r="D150">
        <f>IF(A150="","",'BOM Mapping'!$A$10)</f>
        <v/>
      </c>
      <c r="E150">
        <f>IF(C150="Longitude",'BOM Mapping'!$C$10,IF(C150="Latitude",'BOM Mapping'!$D$10,IF(C150="Altitude",'BOM Mapping'!$E$10,"")))</f>
        <v/>
      </c>
      <c r="F150">
        <f>IF(C150="Longitude",'BOM Mapping'!$J$10,IF(C150="Latitude",'BOM Mapping'!$K$10,IF(C150="Altitude",'BOM Mapping'!$L$10,0)))</f>
        <v/>
      </c>
      <c r="G150">
        <f>IF(A150="","",'Job Cards'!$E$11)</f>
        <v/>
      </c>
      <c r="H150">
        <f>IF(E150="","",F150*G150)</f>
        <v/>
      </c>
      <c r="I150">
        <f>IF(E150="","",IFERROR(VLOOKUP(E150,'Master Inventory'!$A:$N,10,FALSE),0))</f>
        <v/>
      </c>
      <c r="J150">
        <f>IF(E150="","",SUMIFS(Reservations!$G:$G,Reservations!$D:$D,A150,Reservations!$E:$E,E150,Reservations!$H:$H,"Active"))</f>
        <v/>
      </c>
      <c r="K150">
        <f>IF(E150="","",MAX(0,H150-I150-J150))</f>
        <v/>
      </c>
      <c r="L150">
        <f>IF(E150="","",IF(K150&gt;0,"SHORTAGE",IF(J150&gt;=H150,"RESERVED","READY TO RESERVE")))</f>
        <v/>
      </c>
    </row>
    <row r="151">
      <c r="A151">
        <f>IF('Job Cards'!$A$11="","",'Job Cards'!$A$11)</f>
        <v/>
      </c>
      <c r="B151">
        <f>IF(A151="","",'Job Cards'!$B$11)</f>
        <v/>
      </c>
      <c r="C151">
        <f>IF(A151="","",'Job Cards'!$D$11)</f>
        <v/>
      </c>
      <c r="D151">
        <f>IF(A151="","",'BOM Mapping'!$A$11)</f>
        <v/>
      </c>
      <c r="E151">
        <f>IF(C151="Longitude",'BOM Mapping'!$C$11,IF(C151="Latitude",'BOM Mapping'!$D$11,IF(C151="Altitude",'BOM Mapping'!$E$11,"")))</f>
        <v/>
      </c>
      <c r="F151">
        <f>IF(C151="Longitude",'BOM Mapping'!$J$11,IF(C151="Latitude",'BOM Mapping'!$K$11,IF(C151="Altitude",'BOM Mapping'!$L$11,0)))</f>
        <v/>
      </c>
      <c r="G151">
        <f>IF(A151="","",'Job Cards'!$E$11)</f>
        <v/>
      </c>
      <c r="H151">
        <f>IF(E151="","",F151*G151)</f>
        <v/>
      </c>
      <c r="I151">
        <f>IF(E151="","",IFERROR(VLOOKUP(E151,'Master Inventory'!$A:$N,10,FALSE),0))</f>
        <v/>
      </c>
      <c r="J151">
        <f>IF(E151="","",SUMIFS(Reservations!$G:$G,Reservations!$D:$D,A151,Reservations!$E:$E,E151,Reservations!$H:$H,"Active"))</f>
        <v/>
      </c>
      <c r="K151">
        <f>IF(E151="","",MAX(0,H151-I151-J151))</f>
        <v/>
      </c>
      <c r="L151">
        <f>IF(E151="","",IF(K151&gt;0,"SHORTAGE",IF(J151&gt;=H151,"RESERVED","READY TO RESERVE")))</f>
        <v/>
      </c>
    </row>
    <row r="152">
      <c r="A152">
        <f>IF('Job Cards'!$A$11="","",'Job Cards'!$A$11)</f>
        <v/>
      </c>
      <c r="B152">
        <f>IF(A152="","",'Job Cards'!$B$11)</f>
        <v/>
      </c>
      <c r="C152">
        <f>IF(A152="","",'Job Cards'!$D$11)</f>
        <v/>
      </c>
      <c r="D152">
        <f>IF(A152="","",'BOM Mapping'!$A$12)</f>
        <v/>
      </c>
      <c r="E152">
        <f>IF(C152="Longitude",'BOM Mapping'!$C$12,IF(C152="Latitude",'BOM Mapping'!$D$12,IF(C152="Altitude",'BOM Mapping'!$E$12,"")))</f>
        <v/>
      </c>
      <c r="F152">
        <f>IF(C152="Longitude",'BOM Mapping'!$J$12,IF(C152="Latitude",'BOM Mapping'!$K$12,IF(C152="Altitude",'BOM Mapping'!$L$12,0)))</f>
        <v/>
      </c>
      <c r="G152">
        <f>IF(A152="","",'Job Cards'!$E$11)</f>
        <v/>
      </c>
      <c r="H152">
        <f>IF(E152="","",F152*G152)</f>
        <v/>
      </c>
      <c r="I152">
        <f>IF(E152="","",IFERROR(VLOOKUP(E152,'Master Inventory'!$A:$N,10,FALSE),0))</f>
        <v/>
      </c>
      <c r="J152">
        <f>IF(E152="","",SUMIFS(Reservations!$G:$G,Reservations!$D:$D,A152,Reservations!$E:$E,E152,Reservations!$H:$H,"Active"))</f>
        <v/>
      </c>
      <c r="K152">
        <f>IF(E152="","",MAX(0,H152-I152-J152))</f>
        <v/>
      </c>
      <c r="L152">
        <f>IF(E152="","",IF(K152&gt;0,"SHORTAGE",IF(J152&gt;=H152,"RESERVED","READY TO RESERVE")))</f>
        <v/>
      </c>
    </row>
    <row r="153">
      <c r="A153">
        <f>IF('Job Cards'!$A$11="","",'Job Cards'!$A$11)</f>
        <v/>
      </c>
      <c r="B153">
        <f>IF(A153="","",'Job Cards'!$B$11)</f>
        <v/>
      </c>
      <c r="C153">
        <f>IF(A153="","",'Job Cards'!$D$11)</f>
        <v/>
      </c>
      <c r="D153">
        <f>IF(A153="","",'BOM Mapping'!$A$13)</f>
        <v/>
      </c>
      <c r="E153">
        <f>IF(C153="Longitude",'BOM Mapping'!$C$13,IF(C153="Latitude",'BOM Mapping'!$D$13,IF(C153="Altitude",'BOM Mapping'!$E$13,"")))</f>
        <v/>
      </c>
      <c r="F153">
        <f>IF(C153="Longitude",'BOM Mapping'!$J$13,IF(C153="Latitude",'BOM Mapping'!$K$13,IF(C153="Altitude",'BOM Mapping'!$L$13,0)))</f>
        <v/>
      </c>
      <c r="G153">
        <f>IF(A153="","",'Job Cards'!$E$11)</f>
        <v/>
      </c>
      <c r="H153">
        <f>IF(E153="","",F153*G153)</f>
        <v/>
      </c>
      <c r="I153">
        <f>IF(E153="","",IFERROR(VLOOKUP(E153,'Master Inventory'!$A:$N,10,FALSE),0))</f>
        <v/>
      </c>
      <c r="J153">
        <f>IF(E153="","",SUMIFS(Reservations!$G:$G,Reservations!$D:$D,A153,Reservations!$E:$E,E153,Reservations!$H:$H,"Active"))</f>
        <v/>
      </c>
      <c r="K153">
        <f>IF(E153="","",MAX(0,H153-I153-J153))</f>
        <v/>
      </c>
      <c r="L153">
        <f>IF(E153="","",IF(K153&gt;0,"SHORTAGE",IF(J153&gt;=H153,"RESERVED","READY TO RESERVE")))</f>
        <v/>
      </c>
    </row>
    <row r="154">
      <c r="A154">
        <f>IF('Job Cards'!$A$11="","",'Job Cards'!$A$11)</f>
        <v/>
      </c>
      <c r="B154">
        <f>IF(A154="","",'Job Cards'!$B$11)</f>
        <v/>
      </c>
      <c r="C154">
        <f>IF(A154="","",'Job Cards'!$D$11)</f>
        <v/>
      </c>
      <c r="D154">
        <f>IF(A154="","",'BOM Mapping'!$A$14)</f>
        <v/>
      </c>
      <c r="E154">
        <f>IF(C154="Longitude",'BOM Mapping'!$C$14,IF(C154="Latitude",'BOM Mapping'!$D$14,IF(C154="Altitude",'BOM Mapping'!$E$14,"")))</f>
        <v/>
      </c>
      <c r="F154">
        <f>IF(C154="Longitude",'BOM Mapping'!$J$14,IF(C154="Latitude",'BOM Mapping'!$K$14,IF(C154="Altitude",'BOM Mapping'!$L$14,0)))</f>
        <v/>
      </c>
      <c r="G154">
        <f>IF(A154="","",'Job Cards'!$E$11)</f>
        <v/>
      </c>
      <c r="H154">
        <f>IF(E154="","",F154*G154)</f>
        <v/>
      </c>
      <c r="I154">
        <f>IF(E154="","",IFERROR(VLOOKUP(E154,'Master Inventory'!$A:$N,10,FALSE),0))</f>
        <v/>
      </c>
      <c r="J154">
        <f>IF(E154="","",SUMIFS(Reservations!$G:$G,Reservations!$D:$D,A154,Reservations!$E:$E,E154,Reservations!$H:$H,"Active"))</f>
        <v/>
      </c>
      <c r="K154">
        <f>IF(E154="","",MAX(0,H154-I154-J154))</f>
        <v/>
      </c>
      <c r="L154">
        <f>IF(E154="","",IF(K154&gt;0,"SHORTAGE",IF(J154&gt;=H154,"RESERVED","READY TO RESERVE")))</f>
        <v/>
      </c>
    </row>
    <row r="155">
      <c r="A155">
        <f>IF('Job Cards'!$A$11="","",'Job Cards'!$A$11)</f>
        <v/>
      </c>
      <c r="B155">
        <f>IF(A155="","",'Job Cards'!$B$11)</f>
        <v/>
      </c>
      <c r="C155">
        <f>IF(A155="","",'Job Cards'!$D$11)</f>
        <v/>
      </c>
      <c r="D155">
        <f>IF(A155="","",'BOM Mapping'!$A$15)</f>
        <v/>
      </c>
      <c r="E155">
        <f>IF(C155="Longitude",'BOM Mapping'!$C$15,IF(C155="Latitude",'BOM Mapping'!$D$15,IF(C155="Altitude",'BOM Mapping'!$E$15,"")))</f>
        <v/>
      </c>
      <c r="F155">
        <f>IF(C155="Longitude",'BOM Mapping'!$J$15,IF(C155="Latitude",'BOM Mapping'!$K$15,IF(C155="Altitude",'BOM Mapping'!$L$15,0)))</f>
        <v/>
      </c>
      <c r="G155">
        <f>IF(A155="","",'Job Cards'!$E$11)</f>
        <v/>
      </c>
      <c r="H155">
        <f>IF(E155="","",F155*G155)</f>
        <v/>
      </c>
      <c r="I155">
        <f>IF(E155="","",IFERROR(VLOOKUP(E155,'Master Inventory'!$A:$N,10,FALSE),0))</f>
        <v/>
      </c>
      <c r="J155">
        <f>IF(E155="","",SUMIFS(Reservations!$G:$G,Reservations!$D:$D,A155,Reservations!$E:$E,E155,Reservations!$H:$H,"Active"))</f>
        <v/>
      </c>
      <c r="K155">
        <f>IF(E155="","",MAX(0,H155-I155-J155))</f>
        <v/>
      </c>
      <c r="L155">
        <f>IF(E155="","",IF(K155&gt;0,"SHORTAGE",IF(J155&gt;=H155,"RESERVED","READY TO RESERVE")))</f>
        <v/>
      </c>
    </row>
    <row r="156">
      <c r="A156">
        <f>IF('Job Cards'!$A$11="","",'Job Cards'!$A$11)</f>
        <v/>
      </c>
      <c r="B156">
        <f>IF(A156="","",'Job Cards'!$B$11)</f>
        <v/>
      </c>
      <c r="C156">
        <f>IF(A156="","",'Job Cards'!$D$11)</f>
        <v/>
      </c>
      <c r="D156">
        <f>IF(A156="","",'BOM Mapping'!$A$16)</f>
        <v/>
      </c>
      <c r="E156">
        <f>IF(C156="Longitude",'BOM Mapping'!$C$16,IF(C156="Latitude",'BOM Mapping'!$D$16,IF(C156="Altitude",'BOM Mapping'!$E$16,"")))</f>
        <v/>
      </c>
      <c r="F156">
        <f>IF(C156="Longitude",'BOM Mapping'!$J$16,IF(C156="Latitude",'BOM Mapping'!$K$16,IF(C156="Altitude",'BOM Mapping'!$L$16,0)))</f>
        <v/>
      </c>
      <c r="G156">
        <f>IF(A156="","",'Job Cards'!$E$11)</f>
        <v/>
      </c>
      <c r="H156">
        <f>IF(E156="","",F156*G156)</f>
        <v/>
      </c>
      <c r="I156">
        <f>IF(E156="","",IFERROR(VLOOKUP(E156,'Master Inventory'!$A:$N,10,FALSE),0))</f>
        <v/>
      </c>
      <c r="J156">
        <f>IF(E156="","",SUMIFS(Reservations!$G:$G,Reservations!$D:$D,A156,Reservations!$E:$E,E156,Reservations!$H:$H,"Active"))</f>
        <v/>
      </c>
      <c r="K156">
        <f>IF(E156="","",MAX(0,H156-I156-J156))</f>
        <v/>
      </c>
      <c r="L156">
        <f>IF(E156="","",IF(K156&gt;0,"SHORTAGE",IF(J156&gt;=H156,"RESERVED","READY TO RESERVE")))</f>
        <v/>
      </c>
    </row>
    <row r="157">
      <c r="A157">
        <f>IF('Job Cards'!$A$11="","",'Job Cards'!$A$11)</f>
        <v/>
      </c>
      <c r="B157">
        <f>IF(A157="","",'Job Cards'!$B$11)</f>
        <v/>
      </c>
      <c r="C157">
        <f>IF(A157="","",'Job Cards'!$D$11)</f>
        <v/>
      </c>
      <c r="D157">
        <f>IF(A157="","",'BOM Mapping'!$A$17)</f>
        <v/>
      </c>
      <c r="E157">
        <f>IF(C157="Longitude",'BOM Mapping'!$C$17,IF(C157="Latitude",'BOM Mapping'!$D$17,IF(C157="Altitude",'BOM Mapping'!$E$17,"")))</f>
        <v/>
      </c>
      <c r="F157">
        <f>IF(C157="Longitude",'BOM Mapping'!$J$17,IF(C157="Latitude",'BOM Mapping'!$K$17,IF(C157="Altitude",'BOM Mapping'!$L$17,0)))</f>
        <v/>
      </c>
      <c r="G157">
        <f>IF(A157="","",'Job Cards'!$E$11)</f>
        <v/>
      </c>
      <c r="H157">
        <f>IF(E157="","",F157*G157)</f>
        <v/>
      </c>
      <c r="I157">
        <f>IF(E157="","",IFERROR(VLOOKUP(E157,'Master Inventory'!$A:$N,10,FALSE),0))</f>
        <v/>
      </c>
      <c r="J157">
        <f>IF(E157="","",SUMIFS(Reservations!$G:$G,Reservations!$D:$D,A157,Reservations!$E:$E,E157,Reservations!$H:$H,"Active"))</f>
        <v/>
      </c>
      <c r="K157">
        <f>IF(E157="","",MAX(0,H157-I157-J157))</f>
        <v/>
      </c>
      <c r="L157">
        <f>IF(E157="","",IF(K157&gt;0,"SHORTAGE",IF(J157&gt;=H157,"RESERVED","READY TO RESERVE")))</f>
        <v/>
      </c>
    </row>
    <row r="158">
      <c r="A158">
        <f>IF('Job Cards'!$A$11="","",'Job Cards'!$A$11)</f>
        <v/>
      </c>
      <c r="B158">
        <f>IF(A158="","",'Job Cards'!$B$11)</f>
        <v/>
      </c>
      <c r="C158">
        <f>IF(A158="","",'Job Cards'!$D$11)</f>
        <v/>
      </c>
      <c r="D158">
        <f>IF(A158="","",'BOM Mapping'!$A$18)</f>
        <v/>
      </c>
      <c r="E158">
        <f>IF(C158="Longitude",'BOM Mapping'!$C$18,IF(C158="Latitude",'BOM Mapping'!$D$18,IF(C158="Altitude",'BOM Mapping'!$E$18,"")))</f>
        <v/>
      </c>
      <c r="F158">
        <f>IF(C158="Longitude",'BOM Mapping'!$J$18,IF(C158="Latitude",'BOM Mapping'!$K$18,IF(C158="Altitude",'BOM Mapping'!$L$18,0)))</f>
        <v/>
      </c>
      <c r="G158">
        <f>IF(A158="","",'Job Cards'!$E$11)</f>
        <v/>
      </c>
      <c r="H158">
        <f>IF(E158="","",F158*G158)</f>
        <v/>
      </c>
      <c r="I158">
        <f>IF(E158="","",IFERROR(VLOOKUP(E158,'Master Inventory'!$A:$N,10,FALSE),0))</f>
        <v/>
      </c>
      <c r="J158">
        <f>IF(E158="","",SUMIFS(Reservations!$G:$G,Reservations!$D:$D,A158,Reservations!$E:$E,E158,Reservations!$H:$H,"Active"))</f>
        <v/>
      </c>
      <c r="K158">
        <f>IF(E158="","",MAX(0,H158-I158-J158))</f>
        <v/>
      </c>
      <c r="L158">
        <f>IF(E158="","",IF(K158&gt;0,"SHORTAGE",IF(J158&gt;=H158,"RESERVED","READY TO RESERVE")))</f>
        <v/>
      </c>
    </row>
    <row r="159">
      <c r="A159">
        <f>IF('Job Cards'!$A$11="","",'Job Cards'!$A$11)</f>
        <v/>
      </c>
      <c r="B159">
        <f>IF(A159="","",'Job Cards'!$B$11)</f>
        <v/>
      </c>
      <c r="C159">
        <f>IF(A159="","",'Job Cards'!$D$11)</f>
        <v/>
      </c>
      <c r="D159">
        <f>IF(A159="","",'BOM Mapping'!$A$19)</f>
        <v/>
      </c>
      <c r="E159">
        <f>IF(C159="Longitude",'BOM Mapping'!$C$19,IF(C159="Latitude",'BOM Mapping'!$D$19,IF(C159="Altitude",'BOM Mapping'!$E$19,"")))</f>
        <v/>
      </c>
      <c r="F159">
        <f>IF(C159="Longitude",'BOM Mapping'!$J$19,IF(C159="Latitude",'BOM Mapping'!$K$19,IF(C159="Altitude",'BOM Mapping'!$L$19,0)))</f>
        <v/>
      </c>
      <c r="G159">
        <f>IF(A159="","",'Job Cards'!$E$11)</f>
        <v/>
      </c>
      <c r="H159">
        <f>IF(E159="","",F159*G159)</f>
        <v/>
      </c>
      <c r="I159">
        <f>IF(E159="","",IFERROR(VLOOKUP(E159,'Master Inventory'!$A:$N,10,FALSE),0))</f>
        <v/>
      </c>
      <c r="J159">
        <f>IF(E159="","",SUMIFS(Reservations!$G:$G,Reservations!$D:$D,A159,Reservations!$E:$E,E159,Reservations!$H:$H,"Active"))</f>
        <v/>
      </c>
      <c r="K159">
        <f>IF(E159="","",MAX(0,H159-I159-J159))</f>
        <v/>
      </c>
      <c r="L159">
        <f>IF(E159="","",IF(K159&gt;0,"SHORTAGE",IF(J159&gt;=H159,"RESERVED","READY TO RESERVE")))</f>
        <v/>
      </c>
    </row>
    <row r="160">
      <c r="A160">
        <f>IF('Job Cards'!$A$11="","",'Job Cards'!$A$11)</f>
        <v/>
      </c>
      <c r="B160">
        <f>IF(A160="","",'Job Cards'!$B$11)</f>
        <v/>
      </c>
      <c r="C160">
        <f>IF(A160="","",'Job Cards'!$D$11)</f>
        <v/>
      </c>
      <c r="D160">
        <f>IF(A160="","",'BOM Mapping'!$A$20)</f>
        <v/>
      </c>
      <c r="E160">
        <f>IF(C160="Longitude",'BOM Mapping'!$C$20,IF(C160="Latitude",'BOM Mapping'!$D$20,IF(C160="Altitude",'BOM Mapping'!$E$20,"")))</f>
        <v/>
      </c>
      <c r="F160">
        <f>IF(C160="Longitude",'BOM Mapping'!$J$20,IF(C160="Latitude",'BOM Mapping'!$K$20,IF(C160="Altitude",'BOM Mapping'!$L$20,0)))</f>
        <v/>
      </c>
      <c r="G160">
        <f>IF(A160="","",'Job Cards'!$E$11)</f>
        <v/>
      </c>
      <c r="H160">
        <f>IF(E160="","",F160*G160)</f>
        <v/>
      </c>
      <c r="I160">
        <f>IF(E160="","",IFERROR(VLOOKUP(E160,'Master Inventory'!$A:$N,10,FALSE),0))</f>
        <v/>
      </c>
      <c r="J160">
        <f>IF(E160="","",SUMIFS(Reservations!$G:$G,Reservations!$D:$D,A160,Reservations!$E:$E,E160,Reservations!$H:$H,"Active"))</f>
        <v/>
      </c>
      <c r="K160">
        <f>IF(E160="","",MAX(0,H160-I160-J160))</f>
        <v/>
      </c>
      <c r="L160">
        <f>IF(E160="","",IF(K160&gt;0,"SHORTAGE",IF(J160&gt;=H160,"RESERVED","READY TO RESERVE")))</f>
        <v/>
      </c>
    </row>
    <row r="161">
      <c r="A161">
        <f>IF('Job Cards'!$A$11="","",'Job Cards'!$A$11)</f>
        <v/>
      </c>
      <c r="B161">
        <f>IF(A161="","",'Job Cards'!$B$11)</f>
        <v/>
      </c>
      <c r="C161">
        <f>IF(A161="","",'Job Cards'!$D$11)</f>
        <v/>
      </c>
      <c r="D161">
        <f>IF(A161="","",'BOM Mapping'!$A$21)</f>
        <v/>
      </c>
      <c r="E161">
        <f>IF(C161="Longitude",'BOM Mapping'!$C$21,IF(C161="Latitude",'BOM Mapping'!$D$21,IF(C161="Altitude",'BOM Mapping'!$E$21,"")))</f>
        <v/>
      </c>
      <c r="F161">
        <f>IF(C161="Longitude",'BOM Mapping'!$J$21,IF(C161="Latitude",'BOM Mapping'!$K$21,IF(C161="Altitude",'BOM Mapping'!$L$21,0)))</f>
        <v/>
      </c>
      <c r="G161">
        <f>IF(A161="","",'Job Cards'!$E$11)</f>
        <v/>
      </c>
      <c r="H161">
        <f>IF(E161="","",F161*G161)</f>
        <v/>
      </c>
      <c r="I161">
        <f>IF(E161="","",IFERROR(VLOOKUP(E161,'Master Inventory'!$A:$N,10,FALSE),0))</f>
        <v/>
      </c>
      <c r="J161">
        <f>IF(E161="","",SUMIFS(Reservations!$G:$G,Reservations!$D:$D,A161,Reservations!$E:$E,E161,Reservations!$H:$H,"Active"))</f>
        <v/>
      </c>
      <c r="K161">
        <f>IF(E161="","",MAX(0,H161-I161-J161))</f>
        <v/>
      </c>
      <c r="L161">
        <f>IF(E161="","",IF(K161&gt;0,"SHORTAGE",IF(J161&gt;=H161,"RESERVED","READY TO RESERVE")))</f>
        <v/>
      </c>
    </row>
    <row r="162">
      <c r="A162">
        <f>IF('Job Cards'!$A$11="","",'Job Cards'!$A$11)</f>
        <v/>
      </c>
      <c r="B162">
        <f>IF(A162="","",'Job Cards'!$B$11)</f>
        <v/>
      </c>
      <c r="C162">
        <f>IF(A162="","",'Job Cards'!$D$11)</f>
        <v/>
      </c>
      <c r="D162">
        <f>IF(A162="","",'BOM Mapping'!$A$22)</f>
        <v/>
      </c>
      <c r="E162">
        <f>IF(C162="Longitude",'BOM Mapping'!$C$22,IF(C162="Latitude",'BOM Mapping'!$D$22,IF(C162="Altitude",'BOM Mapping'!$E$22,"")))</f>
        <v/>
      </c>
      <c r="F162">
        <f>IF(C162="Longitude",'BOM Mapping'!$J$22,IF(C162="Latitude",'BOM Mapping'!$K$22,IF(C162="Altitude",'BOM Mapping'!$L$22,0)))</f>
        <v/>
      </c>
      <c r="G162">
        <f>IF(A162="","",'Job Cards'!$E$11)</f>
        <v/>
      </c>
      <c r="H162">
        <f>IF(E162="","",F162*G162)</f>
        <v/>
      </c>
      <c r="I162">
        <f>IF(E162="","",IFERROR(VLOOKUP(E162,'Master Inventory'!$A:$N,10,FALSE),0))</f>
        <v/>
      </c>
      <c r="J162">
        <f>IF(E162="","",SUMIFS(Reservations!$G:$G,Reservations!$D:$D,A162,Reservations!$E:$E,E162,Reservations!$H:$H,"Active"))</f>
        <v/>
      </c>
      <c r="K162">
        <f>IF(E162="","",MAX(0,H162-I162-J162))</f>
        <v/>
      </c>
      <c r="L162">
        <f>IF(E162="","",IF(K162&gt;0,"SHORTAGE",IF(J162&gt;=H162,"RESERVED","READY TO RESERVE")))</f>
        <v/>
      </c>
    </row>
    <row r="163">
      <c r="A163">
        <f>IF('Job Cards'!$A$11="","",'Job Cards'!$A$11)</f>
        <v/>
      </c>
      <c r="B163">
        <f>IF(A163="","",'Job Cards'!$B$11)</f>
        <v/>
      </c>
      <c r="C163">
        <f>IF(A163="","",'Job Cards'!$D$11)</f>
        <v/>
      </c>
      <c r="D163">
        <f>IF(A163="","",'BOM Mapping'!$A$23)</f>
        <v/>
      </c>
      <c r="E163">
        <f>IF(C163="Longitude",'BOM Mapping'!$C$23,IF(C163="Latitude",'BOM Mapping'!$D$23,IF(C163="Altitude",'BOM Mapping'!$E$23,"")))</f>
        <v/>
      </c>
      <c r="F163">
        <f>IF(C163="Longitude",'BOM Mapping'!$J$23,IF(C163="Latitude",'BOM Mapping'!$K$23,IF(C163="Altitude",'BOM Mapping'!$L$23,0)))</f>
        <v/>
      </c>
      <c r="G163">
        <f>IF(A163="","",'Job Cards'!$E$11)</f>
        <v/>
      </c>
      <c r="H163">
        <f>IF(E163="","",F163*G163)</f>
        <v/>
      </c>
      <c r="I163">
        <f>IF(E163="","",IFERROR(VLOOKUP(E163,'Master Inventory'!$A:$N,10,FALSE),0))</f>
        <v/>
      </c>
      <c r="J163">
        <f>IF(E163="","",SUMIFS(Reservations!$G:$G,Reservations!$D:$D,A163,Reservations!$E:$E,E163,Reservations!$H:$H,"Active"))</f>
        <v/>
      </c>
      <c r="K163">
        <f>IF(E163="","",MAX(0,H163-I163-J163))</f>
        <v/>
      </c>
      <c r="L163">
        <f>IF(E163="","",IF(K163&gt;0,"SHORTAGE",IF(J163&gt;=H163,"RESERVED","READY TO RESERVE")))</f>
        <v/>
      </c>
    </row>
    <row r="164">
      <c r="A164">
        <f>IF('Job Cards'!$A$12="","",'Job Cards'!$A$12)</f>
        <v/>
      </c>
      <c r="B164">
        <f>IF(A164="","",'Job Cards'!$B$12)</f>
        <v/>
      </c>
      <c r="C164">
        <f>IF(A164="","",'Job Cards'!$D$12)</f>
        <v/>
      </c>
      <c r="D164">
        <f>IF(A164="","",'BOM Mapping'!$A$4)</f>
        <v/>
      </c>
      <c r="E164">
        <f>IF(C164="Longitude",'BOM Mapping'!$C$4,IF(C164="Latitude",'BOM Mapping'!$D$4,IF(C164="Altitude",'BOM Mapping'!$E$4,"")))</f>
        <v/>
      </c>
      <c r="F164">
        <f>IF(C164="Longitude",'BOM Mapping'!$J$4,IF(C164="Latitude",'BOM Mapping'!$K$4,IF(C164="Altitude",'BOM Mapping'!$L$4,0)))</f>
        <v/>
      </c>
      <c r="G164">
        <f>IF(A164="","",'Job Cards'!$E$12)</f>
        <v/>
      </c>
      <c r="H164">
        <f>IF(E164="","",F164*G164)</f>
        <v/>
      </c>
      <c r="I164">
        <f>IF(E164="","",IFERROR(VLOOKUP(E164,'Master Inventory'!$A:$N,10,FALSE),0))</f>
        <v/>
      </c>
      <c r="J164">
        <f>IF(E164="","",SUMIFS(Reservations!$G:$G,Reservations!$D:$D,A164,Reservations!$E:$E,E164,Reservations!$H:$H,"Active"))</f>
        <v/>
      </c>
      <c r="K164">
        <f>IF(E164="","",MAX(0,H164-I164-J164))</f>
        <v/>
      </c>
      <c r="L164">
        <f>IF(E164="","",IF(K164&gt;0,"SHORTAGE",IF(J164&gt;=H164,"RESERVED","READY TO RESERVE")))</f>
        <v/>
      </c>
    </row>
    <row r="165">
      <c r="A165">
        <f>IF('Job Cards'!$A$12="","",'Job Cards'!$A$12)</f>
        <v/>
      </c>
      <c r="B165">
        <f>IF(A165="","",'Job Cards'!$B$12)</f>
        <v/>
      </c>
      <c r="C165">
        <f>IF(A165="","",'Job Cards'!$D$12)</f>
        <v/>
      </c>
      <c r="D165">
        <f>IF(A165="","",'BOM Mapping'!$A$5)</f>
        <v/>
      </c>
      <c r="E165">
        <f>IF(C165="Longitude",'BOM Mapping'!$C$5,IF(C165="Latitude",'BOM Mapping'!$D$5,IF(C165="Altitude",'BOM Mapping'!$E$5,"")))</f>
        <v/>
      </c>
      <c r="F165">
        <f>IF(C165="Longitude",'BOM Mapping'!$J$5,IF(C165="Latitude",'BOM Mapping'!$K$5,IF(C165="Altitude",'BOM Mapping'!$L$5,0)))</f>
        <v/>
      </c>
      <c r="G165">
        <f>IF(A165="","",'Job Cards'!$E$12)</f>
        <v/>
      </c>
      <c r="H165">
        <f>IF(E165="","",F165*G165)</f>
        <v/>
      </c>
      <c r="I165">
        <f>IF(E165="","",IFERROR(VLOOKUP(E165,'Master Inventory'!$A:$N,10,FALSE),0))</f>
        <v/>
      </c>
      <c r="J165">
        <f>IF(E165="","",SUMIFS(Reservations!$G:$G,Reservations!$D:$D,A165,Reservations!$E:$E,E165,Reservations!$H:$H,"Active"))</f>
        <v/>
      </c>
      <c r="K165">
        <f>IF(E165="","",MAX(0,H165-I165-J165))</f>
        <v/>
      </c>
      <c r="L165">
        <f>IF(E165="","",IF(K165&gt;0,"SHORTAGE",IF(J165&gt;=H165,"RESERVED","READY TO RESERVE")))</f>
        <v/>
      </c>
    </row>
    <row r="166">
      <c r="A166">
        <f>IF('Job Cards'!$A$12="","",'Job Cards'!$A$12)</f>
        <v/>
      </c>
      <c r="B166">
        <f>IF(A166="","",'Job Cards'!$B$12)</f>
        <v/>
      </c>
      <c r="C166">
        <f>IF(A166="","",'Job Cards'!$D$12)</f>
        <v/>
      </c>
      <c r="D166">
        <f>IF(A166="","",'BOM Mapping'!$A$6)</f>
        <v/>
      </c>
      <c r="E166">
        <f>IF(C166="Longitude",'BOM Mapping'!$C$6,IF(C166="Latitude",'BOM Mapping'!$D$6,IF(C166="Altitude",'BOM Mapping'!$E$6,"")))</f>
        <v/>
      </c>
      <c r="F166">
        <f>IF(C166="Longitude",'BOM Mapping'!$J$6,IF(C166="Latitude",'BOM Mapping'!$K$6,IF(C166="Altitude",'BOM Mapping'!$L$6,0)))</f>
        <v/>
      </c>
      <c r="G166">
        <f>IF(A166="","",'Job Cards'!$E$12)</f>
        <v/>
      </c>
      <c r="H166">
        <f>IF(E166="","",F166*G166)</f>
        <v/>
      </c>
      <c r="I166">
        <f>IF(E166="","",IFERROR(VLOOKUP(E166,'Master Inventory'!$A:$N,10,FALSE),0))</f>
        <v/>
      </c>
      <c r="J166">
        <f>IF(E166="","",SUMIFS(Reservations!$G:$G,Reservations!$D:$D,A166,Reservations!$E:$E,E166,Reservations!$H:$H,"Active"))</f>
        <v/>
      </c>
      <c r="K166">
        <f>IF(E166="","",MAX(0,H166-I166-J166))</f>
        <v/>
      </c>
      <c r="L166">
        <f>IF(E166="","",IF(K166&gt;0,"SHORTAGE",IF(J166&gt;=H166,"RESERVED","READY TO RESERVE")))</f>
        <v/>
      </c>
    </row>
    <row r="167">
      <c r="A167">
        <f>IF('Job Cards'!$A$12="","",'Job Cards'!$A$12)</f>
        <v/>
      </c>
      <c r="B167">
        <f>IF(A167="","",'Job Cards'!$B$12)</f>
        <v/>
      </c>
      <c r="C167">
        <f>IF(A167="","",'Job Cards'!$D$12)</f>
        <v/>
      </c>
      <c r="D167">
        <f>IF(A167="","",'BOM Mapping'!$A$7)</f>
        <v/>
      </c>
      <c r="E167">
        <f>IF(C167="Longitude",'BOM Mapping'!$C$7,IF(C167="Latitude",'BOM Mapping'!$D$7,IF(C167="Altitude",'BOM Mapping'!$E$7,"")))</f>
        <v/>
      </c>
      <c r="F167">
        <f>IF(C167="Longitude",'BOM Mapping'!$J$7,IF(C167="Latitude",'BOM Mapping'!$K$7,IF(C167="Altitude",'BOM Mapping'!$L$7,0)))</f>
        <v/>
      </c>
      <c r="G167">
        <f>IF(A167="","",'Job Cards'!$E$12)</f>
        <v/>
      </c>
      <c r="H167">
        <f>IF(E167="","",F167*G167)</f>
        <v/>
      </c>
      <c r="I167">
        <f>IF(E167="","",IFERROR(VLOOKUP(E167,'Master Inventory'!$A:$N,10,FALSE),0))</f>
        <v/>
      </c>
      <c r="J167">
        <f>IF(E167="","",SUMIFS(Reservations!$G:$G,Reservations!$D:$D,A167,Reservations!$E:$E,E167,Reservations!$H:$H,"Active"))</f>
        <v/>
      </c>
      <c r="K167">
        <f>IF(E167="","",MAX(0,H167-I167-J167))</f>
        <v/>
      </c>
      <c r="L167">
        <f>IF(E167="","",IF(K167&gt;0,"SHORTAGE",IF(J167&gt;=H167,"RESERVED","READY TO RESERVE")))</f>
        <v/>
      </c>
    </row>
    <row r="168">
      <c r="A168">
        <f>IF('Job Cards'!$A$12="","",'Job Cards'!$A$12)</f>
        <v/>
      </c>
      <c r="B168">
        <f>IF(A168="","",'Job Cards'!$B$12)</f>
        <v/>
      </c>
      <c r="C168">
        <f>IF(A168="","",'Job Cards'!$D$12)</f>
        <v/>
      </c>
      <c r="D168">
        <f>IF(A168="","",'BOM Mapping'!$A$8)</f>
        <v/>
      </c>
      <c r="E168">
        <f>IF(C168="Longitude",'BOM Mapping'!$C$8,IF(C168="Latitude",'BOM Mapping'!$D$8,IF(C168="Altitude",'BOM Mapping'!$E$8,"")))</f>
        <v/>
      </c>
      <c r="F168">
        <f>IF(C168="Longitude",'BOM Mapping'!$J$8,IF(C168="Latitude",'BOM Mapping'!$K$8,IF(C168="Altitude",'BOM Mapping'!$L$8,0)))</f>
        <v/>
      </c>
      <c r="G168">
        <f>IF(A168="","",'Job Cards'!$E$12)</f>
        <v/>
      </c>
      <c r="H168">
        <f>IF(E168="","",F168*G168)</f>
        <v/>
      </c>
      <c r="I168">
        <f>IF(E168="","",IFERROR(VLOOKUP(E168,'Master Inventory'!$A:$N,10,FALSE),0))</f>
        <v/>
      </c>
      <c r="J168">
        <f>IF(E168="","",SUMIFS(Reservations!$G:$G,Reservations!$D:$D,A168,Reservations!$E:$E,E168,Reservations!$H:$H,"Active"))</f>
        <v/>
      </c>
      <c r="K168">
        <f>IF(E168="","",MAX(0,H168-I168-J168))</f>
        <v/>
      </c>
      <c r="L168">
        <f>IF(E168="","",IF(K168&gt;0,"SHORTAGE",IF(J168&gt;=H168,"RESERVED","READY TO RESERVE")))</f>
        <v/>
      </c>
    </row>
    <row r="169">
      <c r="A169">
        <f>IF('Job Cards'!$A$12="","",'Job Cards'!$A$12)</f>
        <v/>
      </c>
      <c r="B169">
        <f>IF(A169="","",'Job Cards'!$B$12)</f>
        <v/>
      </c>
      <c r="C169">
        <f>IF(A169="","",'Job Cards'!$D$12)</f>
        <v/>
      </c>
      <c r="D169">
        <f>IF(A169="","",'BOM Mapping'!$A$9)</f>
        <v/>
      </c>
      <c r="E169">
        <f>IF(C169="Longitude",'BOM Mapping'!$C$9,IF(C169="Latitude",'BOM Mapping'!$D$9,IF(C169="Altitude",'BOM Mapping'!$E$9,"")))</f>
        <v/>
      </c>
      <c r="F169">
        <f>IF(C169="Longitude",'BOM Mapping'!$J$9,IF(C169="Latitude",'BOM Mapping'!$K$9,IF(C169="Altitude",'BOM Mapping'!$L$9,0)))</f>
        <v/>
      </c>
      <c r="G169">
        <f>IF(A169="","",'Job Cards'!$E$12)</f>
        <v/>
      </c>
      <c r="H169">
        <f>IF(E169="","",F169*G169)</f>
        <v/>
      </c>
      <c r="I169">
        <f>IF(E169="","",IFERROR(VLOOKUP(E169,'Master Inventory'!$A:$N,10,FALSE),0))</f>
        <v/>
      </c>
      <c r="J169">
        <f>IF(E169="","",SUMIFS(Reservations!$G:$G,Reservations!$D:$D,A169,Reservations!$E:$E,E169,Reservations!$H:$H,"Active"))</f>
        <v/>
      </c>
      <c r="K169">
        <f>IF(E169="","",MAX(0,H169-I169-J169))</f>
        <v/>
      </c>
      <c r="L169">
        <f>IF(E169="","",IF(K169&gt;0,"SHORTAGE",IF(J169&gt;=H169,"RESERVED","READY TO RESERVE")))</f>
        <v/>
      </c>
    </row>
    <row r="170">
      <c r="A170">
        <f>IF('Job Cards'!$A$12="","",'Job Cards'!$A$12)</f>
        <v/>
      </c>
      <c r="B170">
        <f>IF(A170="","",'Job Cards'!$B$12)</f>
        <v/>
      </c>
      <c r="C170">
        <f>IF(A170="","",'Job Cards'!$D$12)</f>
        <v/>
      </c>
      <c r="D170">
        <f>IF(A170="","",'BOM Mapping'!$A$10)</f>
        <v/>
      </c>
      <c r="E170">
        <f>IF(C170="Longitude",'BOM Mapping'!$C$10,IF(C170="Latitude",'BOM Mapping'!$D$10,IF(C170="Altitude",'BOM Mapping'!$E$10,"")))</f>
        <v/>
      </c>
      <c r="F170">
        <f>IF(C170="Longitude",'BOM Mapping'!$J$10,IF(C170="Latitude",'BOM Mapping'!$K$10,IF(C170="Altitude",'BOM Mapping'!$L$10,0)))</f>
        <v/>
      </c>
      <c r="G170">
        <f>IF(A170="","",'Job Cards'!$E$12)</f>
        <v/>
      </c>
      <c r="H170">
        <f>IF(E170="","",F170*G170)</f>
        <v/>
      </c>
      <c r="I170">
        <f>IF(E170="","",IFERROR(VLOOKUP(E170,'Master Inventory'!$A:$N,10,FALSE),0))</f>
        <v/>
      </c>
      <c r="J170">
        <f>IF(E170="","",SUMIFS(Reservations!$G:$G,Reservations!$D:$D,A170,Reservations!$E:$E,E170,Reservations!$H:$H,"Active"))</f>
        <v/>
      </c>
      <c r="K170">
        <f>IF(E170="","",MAX(0,H170-I170-J170))</f>
        <v/>
      </c>
      <c r="L170">
        <f>IF(E170="","",IF(K170&gt;0,"SHORTAGE",IF(J170&gt;=H170,"RESERVED","READY TO RESERVE")))</f>
        <v/>
      </c>
    </row>
    <row r="171">
      <c r="A171">
        <f>IF('Job Cards'!$A$12="","",'Job Cards'!$A$12)</f>
        <v/>
      </c>
      <c r="B171">
        <f>IF(A171="","",'Job Cards'!$B$12)</f>
        <v/>
      </c>
      <c r="C171">
        <f>IF(A171="","",'Job Cards'!$D$12)</f>
        <v/>
      </c>
      <c r="D171">
        <f>IF(A171="","",'BOM Mapping'!$A$11)</f>
        <v/>
      </c>
      <c r="E171">
        <f>IF(C171="Longitude",'BOM Mapping'!$C$11,IF(C171="Latitude",'BOM Mapping'!$D$11,IF(C171="Altitude",'BOM Mapping'!$E$11,"")))</f>
        <v/>
      </c>
      <c r="F171">
        <f>IF(C171="Longitude",'BOM Mapping'!$J$11,IF(C171="Latitude",'BOM Mapping'!$K$11,IF(C171="Altitude",'BOM Mapping'!$L$11,0)))</f>
        <v/>
      </c>
      <c r="G171">
        <f>IF(A171="","",'Job Cards'!$E$12)</f>
        <v/>
      </c>
      <c r="H171">
        <f>IF(E171="","",F171*G171)</f>
        <v/>
      </c>
      <c r="I171">
        <f>IF(E171="","",IFERROR(VLOOKUP(E171,'Master Inventory'!$A:$N,10,FALSE),0))</f>
        <v/>
      </c>
      <c r="J171">
        <f>IF(E171="","",SUMIFS(Reservations!$G:$G,Reservations!$D:$D,A171,Reservations!$E:$E,E171,Reservations!$H:$H,"Active"))</f>
        <v/>
      </c>
      <c r="K171">
        <f>IF(E171="","",MAX(0,H171-I171-J171))</f>
        <v/>
      </c>
      <c r="L171">
        <f>IF(E171="","",IF(K171&gt;0,"SHORTAGE",IF(J171&gt;=H171,"RESERVED","READY TO RESERVE")))</f>
        <v/>
      </c>
    </row>
    <row r="172">
      <c r="A172">
        <f>IF('Job Cards'!$A$12="","",'Job Cards'!$A$12)</f>
        <v/>
      </c>
      <c r="B172">
        <f>IF(A172="","",'Job Cards'!$B$12)</f>
        <v/>
      </c>
      <c r="C172">
        <f>IF(A172="","",'Job Cards'!$D$12)</f>
        <v/>
      </c>
      <c r="D172">
        <f>IF(A172="","",'BOM Mapping'!$A$12)</f>
        <v/>
      </c>
      <c r="E172">
        <f>IF(C172="Longitude",'BOM Mapping'!$C$12,IF(C172="Latitude",'BOM Mapping'!$D$12,IF(C172="Altitude",'BOM Mapping'!$E$12,"")))</f>
        <v/>
      </c>
      <c r="F172">
        <f>IF(C172="Longitude",'BOM Mapping'!$J$12,IF(C172="Latitude",'BOM Mapping'!$K$12,IF(C172="Altitude",'BOM Mapping'!$L$12,0)))</f>
        <v/>
      </c>
      <c r="G172">
        <f>IF(A172="","",'Job Cards'!$E$12)</f>
        <v/>
      </c>
      <c r="H172">
        <f>IF(E172="","",F172*G172)</f>
        <v/>
      </c>
      <c r="I172">
        <f>IF(E172="","",IFERROR(VLOOKUP(E172,'Master Inventory'!$A:$N,10,FALSE),0))</f>
        <v/>
      </c>
      <c r="J172">
        <f>IF(E172="","",SUMIFS(Reservations!$G:$G,Reservations!$D:$D,A172,Reservations!$E:$E,E172,Reservations!$H:$H,"Active"))</f>
        <v/>
      </c>
      <c r="K172">
        <f>IF(E172="","",MAX(0,H172-I172-J172))</f>
        <v/>
      </c>
      <c r="L172">
        <f>IF(E172="","",IF(K172&gt;0,"SHORTAGE",IF(J172&gt;=H172,"RESERVED","READY TO RESERVE")))</f>
        <v/>
      </c>
    </row>
    <row r="173">
      <c r="A173">
        <f>IF('Job Cards'!$A$12="","",'Job Cards'!$A$12)</f>
        <v/>
      </c>
      <c r="B173">
        <f>IF(A173="","",'Job Cards'!$B$12)</f>
        <v/>
      </c>
      <c r="C173">
        <f>IF(A173="","",'Job Cards'!$D$12)</f>
        <v/>
      </c>
      <c r="D173">
        <f>IF(A173="","",'BOM Mapping'!$A$13)</f>
        <v/>
      </c>
      <c r="E173">
        <f>IF(C173="Longitude",'BOM Mapping'!$C$13,IF(C173="Latitude",'BOM Mapping'!$D$13,IF(C173="Altitude",'BOM Mapping'!$E$13,"")))</f>
        <v/>
      </c>
      <c r="F173">
        <f>IF(C173="Longitude",'BOM Mapping'!$J$13,IF(C173="Latitude",'BOM Mapping'!$K$13,IF(C173="Altitude",'BOM Mapping'!$L$13,0)))</f>
        <v/>
      </c>
      <c r="G173">
        <f>IF(A173="","",'Job Cards'!$E$12)</f>
        <v/>
      </c>
      <c r="H173">
        <f>IF(E173="","",F173*G173)</f>
        <v/>
      </c>
      <c r="I173">
        <f>IF(E173="","",IFERROR(VLOOKUP(E173,'Master Inventory'!$A:$N,10,FALSE),0))</f>
        <v/>
      </c>
      <c r="J173">
        <f>IF(E173="","",SUMIFS(Reservations!$G:$G,Reservations!$D:$D,A173,Reservations!$E:$E,E173,Reservations!$H:$H,"Active"))</f>
        <v/>
      </c>
      <c r="K173">
        <f>IF(E173="","",MAX(0,H173-I173-J173))</f>
        <v/>
      </c>
      <c r="L173">
        <f>IF(E173="","",IF(K173&gt;0,"SHORTAGE",IF(J173&gt;=H173,"RESERVED","READY TO RESERVE")))</f>
        <v/>
      </c>
    </row>
    <row r="174">
      <c r="A174">
        <f>IF('Job Cards'!$A$12="","",'Job Cards'!$A$12)</f>
        <v/>
      </c>
      <c r="B174">
        <f>IF(A174="","",'Job Cards'!$B$12)</f>
        <v/>
      </c>
      <c r="C174">
        <f>IF(A174="","",'Job Cards'!$D$12)</f>
        <v/>
      </c>
      <c r="D174">
        <f>IF(A174="","",'BOM Mapping'!$A$14)</f>
        <v/>
      </c>
      <c r="E174">
        <f>IF(C174="Longitude",'BOM Mapping'!$C$14,IF(C174="Latitude",'BOM Mapping'!$D$14,IF(C174="Altitude",'BOM Mapping'!$E$14,"")))</f>
        <v/>
      </c>
      <c r="F174">
        <f>IF(C174="Longitude",'BOM Mapping'!$J$14,IF(C174="Latitude",'BOM Mapping'!$K$14,IF(C174="Altitude",'BOM Mapping'!$L$14,0)))</f>
        <v/>
      </c>
      <c r="G174">
        <f>IF(A174="","",'Job Cards'!$E$12)</f>
        <v/>
      </c>
      <c r="H174">
        <f>IF(E174="","",F174*G174)</f>
        <v/>
      </c>
      <c r="I174">
        <f>IF(E174="","",IFERROR(VLOOKUP(E174,'Master Inventory'!$A:$N,10,FALSE),0))</f>
        <v/>
      </c>
      <c r="J174">
        <f>IF(E174="","",SUMIFS(Reservations!$G:$G,Reservations!$D:$D,A174,Reservations!$E:$E,E174,Reservations!$H:$H,"Active"))</f>
        <v/>
      </c>
      <c r="K174">
        <f>IF(E174="","",MAX(0,H174-I174-J174))</f>
        <v/>
      </c>
      <c r="L174">
        <f>IF(E174="","",IF(K174&gt;0,"SHORTAGE",IF(J174&gt;=H174,"RESERVED","READY TO RESERVE")))</f>
        <v/>
      </c>
    </row>
    <row r="175">
      <c r="A175">
        <f>IF('Job Cards'!$A$12="","",'Job Cards'!$A$12)</f>
        <v/>
      </c>
      <c r="B175">
        <f>IF(A175="","",'Job Cards'!$B$12)</f>
        <v/>
      </c>
      <c r="C175">
        <f>IF(A175="","",'Job Cards'!$D$12)</f>
        <v/>
      </c>
      <c r="D175">
        <f>IF(A175="","",'BOM Mapping'!$A$15)</f>
        <v/>
      </c>
      <c r="E175">
        <f>IF(C175="Longitude",'BOM Mapping'!$C$15,IF(C175="Latitude",'BOM Mapping'!$D$15,IF(C175="Altitude",'BOM Mapping'!$E$15,"")))</f>
        <v/>
      </c>
      <c r="F175">
        <f>IF(C175="Longitude",'BOM Mapping'!$J$15,IF(C175="Latitude",'BOM Mapping'!$K$15,IF(C175="Altitude",'BOM Mapping'!$L$15,0)))</f>
        <v/>
      </c>
      <c r="G175">
        <f>IF(A175="","",'Job Cards'!$E$12)</f>
        <v/>
      </c>
      <c r="H175">
        <f>IF(E175="","",F175*G175)</f>
        <v/>
      </c>
      <c r="I175">
        <f>IF(E175="","",IFERROR(VLOOKUP(E175,'Master Inventory'!$A:$N,10,FALSE),0))</f>
        <v/>
      </c>
      <c r="J175">
        <f>IF(E175="","",SUMIFS(Reservations!$G:$G,Reservations!$D:$D,A175,Reservations!$E:$E,E175,Reservations!$H:$H,"Active"))</f>
        <v/>
      </c>
      <c r="K175">
        <f>IF(E175="","",MAX(0,H175-I175-J175))</f>
        <v/>
      </c>
      <c r="L175">
        <f>IF(E175="","",IF(K175&gt;0,"SHORTAGE",IF(J175&gt;=H175,"RESERVED","READY TO RESERVE")))</f>
        <v/>
      </c>
    </row>
    <row r="176">
      <c r="A176">
        <f>IF('Job Cards'!$A$12="","",'Job Cards'!$A$12)</f>
        <v/>
      </c>
      <c r="B176">
        <f>IF(A176="","",'Job Cards'!$B$12)</f>
        <v/>
      </c>
      <c r="C176">
        <f>IF(A176="","",'Job Cards'!$D$12)</f>
        <v/>
      </c>
      <c r="D176">
        <f>IF(A176="","",'BOM Mapping'!$A$16)</f>
        <v/>
      </c>
      <c r="E176">
        <f>IF(C176="Longitude",'BOM Mapping'!$C$16,IF(C176="Latitude",'BOM Mapping'!$D$16,IF(C176="Altitude",'BOM Mapping'!$E$16,"")))</f>
        <v/>
      </c>
      <c r="F176">
        <f>IF(C176="Longitude",'BOM Mapping'!$J$16,IF(C176="Latitude",'BOM Mapping'!$K$16,IF(C176="Altitude",'BOM Mapping'!$L$16,0)))</f>
        <v/>
      </c>
      <c r="G176">
        <f>IF(A176="","",'Job Cards'!$E$12)</f>
        <v/>
      </c>
      <c r="H176">
        <f>IF(E176="","",F176*G176)</f>
        <v/>
      </c>
      <c r="I176">
        <f>IF(E176="","",IFERROR(VLOOKUP(E176,'Master Inventory'!$A:$N,10,FALSE),0))</f>
        <v/>
      </c>
      <c r="J176">
        <f>IF(E176="","",SUMIFS(Reservations!$G:$G,Reservations!$D:$D,A176,Reservations!$E:$E,E176,Reservations!$H:$H,"Active"))</f>
        <v/>
      </c>
      <c r="K176">
        <f>IF(E176="","",MAX(0,H176-I176-J176))</f>
        <v/>
      </c>
      <c r="L176">
        <f>IF(E176="","",IF(K176&gt;0,"SHORTAGE",IF(J176&gt;=H176,"RESERVED","READY TO RESERVE")))</f>
        <v/>
      </c>
    </row>
    <row r="177">
      <c r="A177">
        <f>IF('Job Cards'!$A$12="","",'Job Cards'!$A$12)</f>
        <v/>
      </c>
      <c r="B177">
        <f>IF(A177="","",'Job Cards'!$B$12)</f>
        <v/>
      </c>
      <c r="C177">
        <f>IF(A177="","",'Job Cards'!$D$12)</f>
        <v/>
      </c>
      <c r="D177">
        <f>IF(A177="","",'BOM Mapping'!$A$17)</f>
        <v/>
      </c>
      <c r="E177">
        <f>IF(C177="Longitude",'BOM Mapping'!$C$17,IF(C177="Latitude",'BOM Mapping'!$D$17,IF(C177="Altitude",'BOM Mapping'!$E$17,"")))</f>
        <v/>
      </c>
      <c r="F177">
        <f>IF(C177="Longitude",'BOM Mapping'!$J$17,IF(C177="Latitude",'BOM Mapping'!$K$17,IF(C177="Altitude",'BOM Mapping'!$L$17,0)))</f>
        <v/>
      </c>
      <c r="G177">
        <f>IF(A177="","",'Job Cards'!$E$12)</f>
        <v/>
      </c>
      <c r="H177">
        <f>IF(E177="","",F177*G177)</f>
        <v/>
      </c>
      <c r="I177">
        <f>IF(E177="","",IFERROR(VLOOKUP(E177,'Master Inventory'!$A:$N,10,FALSE),0))</f>
        <v/>
      </c>
      <c r="J177">
        <f>IF(E177="","",SUMIFS(Reservations!$G:$G,Reservations!$D:$D,A177,Reservations!$E:$E,E177,Reservations!$H:$H,"Active"))</f>
        <v/>
      </c>
      <c r="K177">
        <f>IF(E177="","",MAX(0,H177-I177-J177))</f>
        <v/>
      </c>
      <c r="L177">
        <f>IF(E177="","",IF(K177&gt;0,"SHORTAGE",IF(J177&gt;=H177,"RESERVED","READY TO RESERVE")))</f>
        <v/>
      </c>
    </row>
    <row r="178">
      <c r="A178">
        <f>IF('Job Cards'!$A$12="","",'Job Cards'!$A$12)</f>
        <v/>
      </c>
      <c r="B178">
        <f>IF(A178="","",'Job Cards'!$B$12)</f>
        <v/>
      </c>
      <c r="C178">
        <f>IF(A178="","",'Job Cards'!$D$12)</f>
        <v/>
      </c>
      <c r="D178">
        <f>IF(A178="","",'BOM Mapping'!$A$18)</f>
        <v/>
      </c>
      <c r="E178">
        <f>IF(C178="Longitude",'BOM Mapping'!$C$18,IF(C178="Latitude",'BOM Mapping'!$D$18,IF(C178="Altitude",'BOM Mapping'!$E$18,"")))</f>
        <v/>
      </c>
      <c r="F178">
        <f>IF(C178="Longitude",'BOM Mapping'!$J$18,IF(C178="Latitude",'BOM Mapping'!$K$18,IF(C178="Altitude",'BOM Mapping'!$L$18,0)))</f>
        <v/>
      </c>
      <c r="G178">
        <f>IF(A178="","",'Job Cards'!$E$12)</f>
        <v/>
      </c>
      <c r="H178">
        <f>IF(E178="","",F178*G178)</f>
        <v/>
      </c>
      <c r="I178">
        <f>IF(E178="","",IFERROR(VLOOKUP(E178,'Master Inventory'!$A:$N,10,FALSE),0))</f>
        <v/>
      </c>
      <c r="J178">
        <f>IF(E178="","",SUMIFS(Reservations!$G:$G,Reservations!$D:$D,A178,Reservations!$E:$E,E178,Reservations!$H:$H,"Active"))</f>
        <v/>
      </c>
      <c r="K178">
        <f>IF(E178="","",MAX(0,H178-I178-J178))</f>
        <v/>
      </c>
      <c r="L178">
        <f>IF(E178="","",IF(K178&gt;0,"SHORTAGE",IF(J178&gt;=H178,"RESERVED","READY TO RESERVE")))</f>
        <v/>
      </c>
    </row>
    <row r="179">
      <c r="A179">
        <f>IF('Job Cards'!$A$12="","",'Job Cards'!$A$12)</f>
        <v/>
      </c>
      <c r="B179">
        <f>IF(A179="","",'Job Cards'!$B$12)</f>
        <v/>
      </c>
      <c r="C179">
        <f>IF(A179="","",'Job Cards'!$D$12)</f>
        <v/>
      </c>
      <c r="D179">
        <f>IF(A179="","",'BOM Mapping'!$A$19)</f>
        <v/>
      </c>
      <c r="E179">
        <f>IF(C179="Longitude",'BOM Mapping'!$C$19,IF(C179="Latitude",'BOM Mapping'!$D$19,IF(C179="Altitude",'BOM Mapping'!$E$19,"")))</f>
        <v/>
      </c>
      <c r="F179">
        <f>IF(C179="Longitude",'BOM Mapping'!$J$19,IF(C179="Latitude",'BOM Mapping'!$K$19,IF(C179="Altitude",'BOM Mapping'!$L$19,0)))</f>
        <v/>
      </c>
      <c r="G179">
        <f>IF(A179="","",'Job Cards'!$E$12)</f>
        <v/>
      </c>
      <c r="H179">
        <f>IF(E179="","",F179*G179)</f>
        <v/>
      </c>
      <c r="I179">
        <f>IF(E179="","",IFERROR(VLOOKUP(E179,'Master Inventory'!$A:$N,10,FALSE),0))</f>
        <v/>
      </c>
      <c r="J179">
        <f>IF(E179="","",SUMIFS(Reservations!$G:$G,Reservations!$D:$D,A179,Reservations!$E:$E,E179,Reservations!$H:$H,"Active"))</f>
        <v/>
      </c>
      <c r="K179">
        <f>IF(E179="","",MAX(0,H179-I179-J179))</f>
        <v/>
      </c>
      <c r="L179">
        <f>IF(E179="","",IF(K179&gt;0,"SHORTAGE",IF(J179&gt;=H179,"RESERVED","READY TO RESERVE")))</f>
        <v/>
      </c>
    </row>
    <row r="180">
      <c r="A180">
        <f>IF('Job Cards'!$A$12="","",'Job Cards'!$A$12)</f>
        <v/>
      </c>
      <c r="B180">
        <f>IF(A180="","",'Job Cards'!$B$12)</f>
        <v/>
      </c>
      <c r="C180">
        <f>IF(A180="","",'Job Cards'!$D$12)</f>
        <v/>
      </c>
      <c r="D180">
        <f>IF(A180="","",'BOM Mapping'!$A$20)</f>
        <v/>
      </c>
      <c r="E180">
        <f>IF(C180="Longitude",'BOM Mapping'!$C$20,IF(C180="Latitude",'BOM Mapping'!$D$20,IF(C180="Altitude",'BOM Mapping'!$E$20,"")))</f>
        <v/>
      </c>
      <c r="F180">
        <f>IF(C180="Longitude",'BOM Mapping'!$J$20,IF(C180="Latitude",'BOM Mapping'!$K$20,IF(C180="Altitude",'BOM Mapping'!$L$20,0)))</f>
        <v/>
      </c>
      <c r="G180">
        <f>IF(A180="","",'Job Cards'!$E$12)</f>
        <v/>
      </c>
      <c r="H180">
        <f>IF(E180="","",F180*G180)</f>
        <v/>
      </c>
      <c r="I180">
        <f>IF(E180="","",IFERROR(VLOOKUP(E180,'Master Inventory'!$A:$N,10,FALSE),0))</f>
        <v/>
      </c>
      <c r="J180">
        <f>IF(E180="","",SUMIFS(Reservations!$G:$G,Reservations!$D:$D,A180,Reservations!$E:$E,E180,Reservations!$H:$H,"Active"))</f>
        <v/>
      </c>
      <c r="K180">
        <f>IF(E180="","",MAX(0,H180-I180-J180))</f>
        <v/>
      </c>
      <c r="L180">
        <f>IF(E180="","",IF(K180&gt;0,"SHORTAGE",IF(J180&gt;=H180,"RESERVED","READY TO RESERVE")))</f>
        <v/>
      </c>
    </row>
    <row r="181">
      <c r="A181">
        <f>IF('Job Cards'!$A$12="","",'Job Cards'!$A$12)</f>
        <v/>
      </c>
      <c r="B181">
        <f>IF(A181="","",'Job Cards'!$B$12)</f>
        <v/>
      </c>
      <c r="C181">
        <f>IF(A181="","",'Job Cards'!$D$12)</f>
        <v/>
      </c>
      <c r="D181">
        <f>IF(A181="","",'BOM Mapping'!$A$21)</f>
        <v/>
      </c>
      <c r="E181">
        <f>IF(C181="Longitude",'BOM Mapping'!$C$21,IF(C181="Latitude",'BOM Mapping'!$D$21,IF(C181="Altitude",'BOM Mapping'!$E$21,"")))</f>
        <v/>
      </c>
      <c r="F181">
        <f>IF(C181="Longitude",'BOM Mapping'!$J$21,IF(C181="Latitude",'BOM Mapping'!$K$21,IF(C181="Altitude",'BOM Mapping'!$L$21,0)))</f>
        <v/>
      </c>
      <c r="G181">
        <f>IF(A181="","",'Job Cards'!$E$12)</f>
        <v/>
      </c>
      <c r="H181">
        <f>IF(E181="","",F181*G181)</f>
        <v/>
      </c>
      <c r="I181">
        <f>IF(E181="","",IFERROR(VLOOKUP(E181,'Master Inventory'!$A:$N,10,FALSE),0))</f>
        <v/>
      </c>
      <c r="J181">
        <f>IF(E181="","",SUMIFS(Reservations!$G:$G,Reservations!$D:$D,A181,Reservations!$E:$E,E181,Reservations!$H:$H,"Active"))</f>
        <v/>
      </c>
      <c r="K181">
        <f>IF(E181="","",MAX(0,H181-I181-J181))</f>
        <v/>
      </c>
      <c r="L181">
        <f>IF(E181="","",IF(K181&gt;0,"SHORTAGE",IF(J181&gt;=H181,"RESERVED","READY TO RESERVE")))</f>
        <v/>
      </c>
    </row>
    <row r="182">
      <c r="A182">
        <f>IF('Job Cards'!$A$12="","",'Job Cards'!$A$12)</f>
        <v/>
      </c>
      <c r="B182">
        <f>IF(A182="","",'Job Cards'!$B$12)</f>
        <v/>
      </c>
      <c r="C182">
        <f>IF(A182="","",'Job Cards'!$D$12)</f>
        <v/>
      </c>
      <c r="D182">
        <f>IF(A182="","",'BOM Mapping'!$A$22)</f>
        <v/>
      </c>
      <c r="E182">
        <f>IF(C182="Longitude",'BOM Mapping'!$C$22,IF(C182="Latitude",'BOM Mapping'!$D$22,IF(C182="Altitude",'BOM Mapping'!$E$22,"")))</f>
        <v/>
      </c>
      <c r="F182">
        <f>IF(C182="Longitude",'BOM Mapping'!$J$22,IF(C182="Latitude",'BOM Mapping'!$K$22,IF(C182="Altitude",'BOM Mapping'!$L$22,0)))</f>
        <v/>
      </c>
      <c r="G182">
        <f>IF(A182="","",'Job Cards'!$E$12)</f>
        <v/>
      </c>
      <c r="H182">
        <f>IF(E182="","",F182*G182)</f>
        <v/>
      </c>
      <c r="I182">
        <f>IF(E182="","",IFERROR(VLOOKUP(E182,'Master Inventory'!$A:$N,10,FALSE),0))</f>
        <v/>
      </c>
      <c r="J182">
        <f>IF(E182="","",SUMIFS(Reservations!$G:$G,Reservations!$D:$D,A182,Reservations!$E:$E,E182,Reservations!$H:$H,"Active"))</f>
        <v/>
      </c>
      <c r="K182">
        <f>IF(E182="","",MAX(0,H182-I182-J182))</f>
        <v/>
      </c>
      <c r="L182">
        <f>IF(E182="","",IF(K182&gt;0,"SHORTAGE",IF(J182&gt;=H182,"RESERVED","READY TO RESERVE")))</f>
        <v/>
      </c>
    </row>
    <row r="183">
      <c r="A183">
        <f>IF('Job Cards'!$A$12="","",'Job Cards'!$A$12)</f>
        <v/>
      </c>
      <c r="B183">
        <f>IF(A183="","",'Job Cards'!$B$12)</f>
        <v/>
      </c>
      <c r="C183">
        <f>IF(A183="","",'Job Cards'!$D$12)</f>
        <v/>
      </c>
      <c r="D183">
        <f>IF(A183="","",'BOM Mapping'!$A$23)</f>
        <v/>
      </c>
      <c r="E183">
        <f>IF(C183="Longitude",'BOM Mapping'!$C$23,IF(C183="Latitude",'BOM Mapping'!$D$23,IF(C183="Altitude",'BOM Mapping'!$E$23,"")))</f>
        <v/>
      </c>
      <c r="F183">
        <f>IF(C183="Longitude",'BOM Mapping'!$J$23,IF(C183="Latitude",'BOM Mapping'!$K$23,IF(C183="Altitude",'BOM Mapping'!$L$23,0)))</f>
        <v/>
      </c>
      <c r="G183">
        <f>IF(A183="","",'Job Cards'!$E$12)</f>
        <v/>
      </c>
      <c r="H183">
        <f>IF(E183="","",F183*G183)</f>
        <v/>
      </c>
      <c r="I183">
        <f>IF(E183="","",IFERROR(VLOOKUP(E183,'Master Inventory'!$A:$N,10,FALSE),0))</f>
        <v/>
      </c>
      <c r="J183">
        <f>IF(E183="","",SUMIFS(Reservations!$G:$G,Reservations!$D:$D,A183,Reservations!$E:$E,E183,Reservations!$H:$H,"Active"))</f>
        <v/>
      </c>
      <c r="K183">
        <f>IF(E183="","",MAX(0,H183-I183-J183))</f>
        <v/>
      </c>
      <c r="L183">
        <f>IF(E183="","",IF(K183&gt;0,"SHORTAGE",IF(J183&gt;=H183,"RESERVED","READY TO RESERVE")))</f>
        <v/>
      </c>
    </row>
    <row r="184">
      <c r="A184">
        <f>IF('Job Cards'!$A$13="","",'Job Cards'!$A$13)</f>
        <v/>
      </c>
      <c r="B184">
        <f>IF(A184="","",'Job Cards'!$B$13)</f>
        <v/>
      </c>
      <c r="C184">
        <f>IF(A184="","",'Job Cards'!$D$13)</f>
        <v/>
      </c>
      <c r="D184">
        <f>IF(A184="","",'BOM Mapping'!$A$4)</f>
        <v/>
      </c>
      <c r="E184">
        <f>IF(C184="Longitude",'BOM Mapping'!$C$4,IF(C184="Latitude",'BOM Mapping'!$D$4,IF(C184="Altitude",'BOM Mapping'!$E$4,"")))</f>
        <v/>
      </c>
      <c r="F184">
        <f>IF(C184="Longitude",'BOM Mapping'!$J$4,IF(C184="Latitude",'BOM Mapping'!$K$4,IF(C184="Altitude",'BOM Mapping'!$L$4,0)))</f>
        <v/>
      </c>
      <c r="G184">
        <f>IF(A184="","",'Job Cards'!$E$13)</f>
        <v/>
      </c>
      <c r="H184">
        <f>IF(E184="","",F184*G184)</f>
        <v/>
      </c>
      <c r="I184">
        <f>IF(E184="","",IFERROR(VLOOKUP(E184,'Master Inventory'!$A:$N,10,FALSE),0))</f>
        <v/>
      </c>
      <c r="J184">
        <f>IF(E184="","",SUMIFS(Reservations!$G:$G,Reservations!$D:$D,A184,Reservations!$E:$E,E184,Reservations!$H:$H,"Active"))</f>
        <v/>
      </c>
      <c r="K184">
        <f>IF(E184="","",MAX(0,H184-I184-J184))</f>
        <v/>
      </c>
      <c r="L184">
        <f>IF(E184="","",IF(K184&gt;0,"SHORTAGE",IF(J184&gt;=H184,"RESERVED","READY TO RESERVE")))</f>
        <v/>
      </c>
    </row>
    <row r="185">
      <c r="A185">
        <f>IF('Job Cards'!$A$13="","",'Job Cards'!$A$13)</f>
        <v/>
      </c>
      <c r="B185">
        <f>IF(A185="","",'Job Cards'!$B$13)</f>
        <v/>
      </c>
      <c r="C185">
        <f>IF(A185="","",'Job Cards'!$D$13)</f>
        <v/>
      </c>
      <c r="D185">
        <f>IF(A185="","",'BOM Mapping'!$A$5)</f>
        <v/>
      </c>
      <c r="E185">
        <f>IF(C185="Longitude",'BOM Mapping'!$C$5,IF(C185="Latitude",'BOM Mapping'!$D$5,IF(C185="Altitude",'BOM Mapping'!$E$5,"")))</f>
        <v/>
      </c>
      <c r="F185">
        <f>IF(C185="Longitude",'BOM Mapping'!$J$5,IF(C185="Latitude",'BOM Mapping'!$K$5,IF(C185="Altitude",'BOM Mapping'!$L$5,0)))</f>
        <v/>
      </c>
      <c r="G185">
        <f>IF(A185="","",'Job Cards'!$E$13)</f>
        <v/>
      </c>
      <c r="H185">
        <f>IF(E185="","",F185*G185)</f>
        <v/>
      </c>
      <c r="I185">
        <f>IF(E185="","",IFERROR(VLOOKUP(E185,'Master Inventory'!$A:$N,10,FALSE),0))</f>
        <v/>
      </c>
      <c r="J185">
        <f>IF(E185="","",SUMIFS(Reservations!$G:$G,Reservations!$D:$D,A185,Reservations!$E:$E,E185,Reservations!$H:$H,"Active"))</f>
        <v/>
      </c>
      <c r="K185">
        <f>IF(E185="","",MAX(0,H185-I185-J185))</f>
        <v/>
      </c>
      <c r="L185">
        <f>IF(E185="","",IF(K185&gt;0,"SHORTAGE",IF(J185&gt;=H185,"RESERVED","READY TO RESERVE")))</f>
        <v/>
      </c>
    </row>
    <row r="186">
      <c r="A186">
        <f>IF('Job Cards'!$A$13="","",'Job Cards'!$A$13)</f>
        <v/>
      </c>
      <c r="B186">
        <f>IF(A186="","",'Job Cards'!$B$13)</f>
        <v/>
      </c>
      <c r="C186">
        <f>IF(A186="","",'Job Cards'!$D$13)</f>
        <v/>
      </c>
      <c r="D186">
        <f>IF(A186="","",'BOM Mapping'!$A$6)</f>
        <v/>
      </c>
      <c r="E186">
        <f>IF(C186="Longitude",'BOM Mapping'!$C$6,IF(C186="Latitude",'BOM Mapping'!$D$6,IF(C186="Altitude",'BOM Mapping'!$E$6,"")))</f>
        <v/>
      </c>
      <c r="F186">
        <f>IF(C186="Longitude",'BOM Mapping'!$J$6,IF(C186="Latitude",'BOM Mapping'!$K$6,IF(C186="Altitude",'BOM Mapping'!$L$6,0)))</f>
        <v/>
      </c>
      <c r="G186">
        <f>IF(A186="","",'Job Cards'!$E$13)</f>
        <v/>
      </c>
      <c r="H186">
        <f>IF(E186="","",F186*G186)</f>
        <v/>
      </c>
      <c r="I186">
        <f>IF(E186="","",IFERROR(VLOOKUP(E186,'Master Inventory'!$A:$N,10,FALSE),0))</f>
        <v/>
      </c>
      <c r="J186">
        <f>IF(E186="","",SUMIFS(Reservations!$G:$G,Reservations!$D:$D,A186,Reservations!$E:$E,E186,Reservations!$H:$H,"Active"))</f>
        <v/>
      </c>
      <c r="K186">
        <f>IF(E186="","",MAX(0,H186-I186-J186))</f>
        <v/>
      </c>
      <c r="L186">
        <f>IF(E186="","",IF(K186&gt;0,"SHORTAGE",IF(J186&gt;=H186,"RESERVED","READY TO RESERVE")))</f>
        <v/>
      </c>
    </row>
    <row r="187">
      <c r="A187">
        <f>IF('Job Cards'!$A$13="","",'Job Cards'!$A$13)</f>
        <v/>
      </c>
      <c r="B187">
        <f>IF(A187="","",'Job Cards'!$B$13)</f>
        <v/>
      </c>
      <c r="C187">
        <f>IF(A187="","",'Job Cards'!$D$13)</f>
        <v/>
      </c>
      <c r="D187">
        <f>IF(A187="","",'BOM Mapping'!$A$7)</f>
        <v/>
      </c>
      <c r="E187">
        <f>IF(C187="Longitude",'BOM Mapping'!$C$7,IF(C187="Latitude",'BOM Mapping'!$D$7,IF(C187="Altitude",'BOM Mapping'!$E$7,"")))</f>
        <v/>
      </c>
      <c r="F187">
        <f>IF(C187="Longitude",'BOM Mapping'!$J$7,IF(C187="Latitude",'BOM Mapping'!$K$7,IF(C187="Altitude",'BOM Mapping'!$L$7,0)))</f>
        <v/>
      </c>
      <c r="G187">
        <f>IF(A187="","",'Job Cards'!$E$13)</f>
        <v/>
      </c>
      <c r="H187">
        <f>IF(E187="","",F187*G187)</f>
        <v/>
      </c>
      <c r="I187">
        <f>IF(E187="","",IFERROR(VLOOKUP(E187,'Master Inventory'!$A:$N,10,FALSE),0))</f>
        <v/>
      </c>
      <c r="J187">
        <f>IF(E187="","",SUMIFS(Reservations!$G:$G,Reservations!$D:$D,A187,Reservations!$E:$E,E187,Reservations!$H:$H,"Active"))</f>
        <v/>
      </c>
      <c r="K187">
        <f>IF(E187="","",MAX(0,H187-I187-J187))</f>
        <v/>
      </c>
      <c r="L187">
        <f>IF(E187="","",IF(K187&gt;0,"SHORTAGE",IF(J187&gt;=H187,"RESERVED","READY TO RESERVE")))</f>
        <v/>
      </c>
    </row>
    <row r="188">
      <c r="A188">
        <f>IF('Job Cards'!$A$13="","",'Job Cards'!$A$13)</f>
        <v/>
      </c>
      <c r="B188">
        <f>IF(A188="","",'Job Cards'!$B$13)</f>
        <v/>
      </c>
      <c r="C188">
        <f>IF(A188="","",'Job Cards'!$D$13)</f>
        <v/>
      </c>
      <c r="D188">
        <f>IF(A188="","",'BOM Mapping'!$A$8)</f>
        <v/>
      </c>
      <c r="E188">
        <f>IF(C188="Longitude",'BOM Mapping'!$C$8,IF(C188="Latitude",'BOM Mapping'!$D$8,IF(C188="Altitude",'BOM Mapping'!$E$8,"")))</f>
        <v/>
      </c>
      <c r="F188">
        <f>IF(C188="Longitude",'BOM Mapping'!$J$8,IF(C188="Latitude",'BOM Mapping'!$K$8,IF(C188="Altitude",'BOM Mapping'!$L$8,0)))</f>
        <v/>
      </c>
      <c r="G188">
        <f>IF(A188="","",'Job Cards'!$E$13)</f>
        <v/>
      </c>
      <c r="H188">
        <f>IF(E188="","",F188*G188)</f>
        <v/>
      </c>
      <c r="I188">
        <f>IF(E188="","",IFERROR(VLOOKUP(E188,'Master Inventory'!$A:$N,10,FALSE),0))</f>
        <v/>
      </c>
      <c r="J188">
        <f>IF(E188="","",SUMIFS(Reservations!$G:$G,Reservations!$D:$D,A188,Reservations!$E:$E,E188,Reservations!$H:$H,"Active"))</f>
        <v/>
      </c>
      <c r="K188">
        <f>IF(E188="","",MAX(0,H188-I188-J188))</f>
        <v/>
      </c>
      <c r="L188">
        <f>IF(E188="","",IF(K188&gt;0,"SHORTAGE",IF(J188&gt;=H188,"RESERVED","READY TO RESERVE")))</f>
        <v/>
      </c>
    </row>
    <row r="189">
      <c r="A189">
        <f>IF('Job Cards'!$A$13="","",'Job Cards'!$A$13)</f>
        <v/>
      </c>
      <c r="B189">
        <f>IF(A189="","",'Job Cards'!$B$13)</f>
        <v/>
      </c>
      <c r="C189">
        <f>IF(A189="","",'Job Cards'!$D$13)</f>
        <v/>
      </c>
      <c r="D189">
        <f>IF(A189="","",'BOM Mapping'!$A$9)</f>
        <v/>
      </c>
      <c r="E189">
        <f>IF(C189="Longitude",'BOM Mapping'!$C$9,IF(C189="Latitude",'BOM Mapping'!$D$9,IF(C189="Altitude",'BOM Mapping'!$E$9,"")))</f>
        <v/>
      </c>
      <c r="F189">
        <f>IF(C189="Longitude",'BOM Mapping'!$J$9,IF(C189="Latitude",'BOM Mapping'!$K$9,IF(C189="Altitude",'BOM Mapping'!$L$9,0)))</f>
        <v/>
      </c>
      <c r="G189">
        <f>IF(A189="","",'Job Cards'!$E$13)</f>
        <v/>
      </c>
      <c r="H189">
        <f>IF(E189="","",F189*G189)</f>
        <v/>
      </c>
      <c r="I189">
        <f>IF(E189="","",IFERROR(VLOOKUP(E189,'Master Inventory'!$A:$N,10,FALSE),0))</f>
        <v/>
      </c>
      <c r="J189">
        <f>IF(E189="","",SUMIFS(Reservations!$G:$G,Reservations!$D:$D,A189,Reservations!$E:$E,E189,Reservations!$H:$H,"Active"))</f>
        <v/>
      </c>
      <c r="K189">
        <f>IF(E189="","",MAX(0,H189-I189-J189))</f>
        <v/>
      </c>
      <c r="L189">
        <f>IF(E189="","",IF(K189&gt;0,"SHORTAGE",IF(J189&gt;=H189,"RESERVED","READY TO RESERVE")))</f>
        <v/>
      </c>
    </row>
    <row r="190">
      <c r="A190">
        <f>IF('Job Cards'!$A$13="","",'Job Cards'!$A$13)</f>
        <v/>
      </c>
      <c r="B190">
        <f>IF(A190="","",'Job Cards'!$B$13)</f>
        <v/>
      </c>
      <c r="C190">
        <f>IF(A190="","",'Job Cards'!$D$13)</f>
        <v/>
      </c>
      <c r="D190">
        <f>IF(A190="","",'BOM Mapping'!$A$10)</f>
        <v/>
      </c>
      <c r="E190">
        <f>IF(C190="Longitude",'BOM Mapping'!$C$10,IF(C190="Latitude",'BOM Mapping'!$D$10,IF(C190="Altitude",'BOM Mapping'!$E$10,"")))</f>
        <v/>
      </c>
      <c r="F190">
        <f>IF(C190="Longitude",'BOM Mapping'!$J$10,IF(C190="Latitude",'BOM Mapping'!$K$10,IF(C190="Altitude",'BOM Mapping'!$L$10,0)))</f>
        <v/>
      </c>
      <c r="G190">
        <f>IF(A190="","",'Job Cards'!$E$13)</f>
        <v/>
      </c>
      <c r="H190">
        <f>IF(E190="","",F190*G190)</f>
        <v/>
      </c>
      <c r="I190">
        <f>IF(E190="","",IFERROR(VLOOKUP(E190,'Master Inventory'!$A:$N,10,FALSE),0))</f>
        <v/>
      </c>
      <c r="J190">
        <f>IF(E190="","",SUMIFS(Reservations!$G:$G,Reservations!$D:$D,A190,Reservations!$E:$E,E190,Reservations!$H:$H,"Active"))</f>
        <v/>
      </c>
      <c r="K190">
        <f>IF(E190="","",MAX(0,H190-I190-J190))</f>
        <v/>
      </c>
      <c r="L190">
        <f>IF(E190="","",IF(K190&gt;0,"SHORTAGE",IF(J190&gt;=H190,"RESERVED","READY TO RESERVE")))</f>
        <v/>
      </c>
    </row>
    <row r="191">
      <c r="A191">
        <f>IF('Job Cards'!$A$13="","",'Job Cards'!$A$13)</f>
        <v/>
      </c>
      <c r="B191">
        <f>IF(A191="","",'Job Cards'!$B$13)</f>
        <v/>
      </c>
      <c r="C191">
        <f>IF(A191="","",'Job Cards'!$D$13)</f>
        <v/>
      </c>
      <c r="D191">
        <f>IF(A191="","",'BOM Mapping'!$A$11)</f>
        <v/>
      </c>
      <c r="E191">
        <f>IF(C191="Longitude",'BOM Mapping'!$C$11,IF(C191="Latitude",'BOM Mapping'!$D$11,IF(C191="Altitude",'BOM Mapping'!$E$11,"")))</f>
        <v/>
      </c>
      <c r="F191">
        <f>IF(C191="Longitude",'BOM Mapping'!$J$11,IF(C191="Latitude",'BOM Mapping'!$K$11,IF(C191="Altitude",'BOM Mapping'!$L$11,0)))</f>
        <v/>
      </c>
      <c r="G191">
        <f>IF(A191="","",'Job Cards'!$E$13)</f>
        <v/>
      </c>
      <c r="H191">
        <f>IF(E191="","",F191*G191)</f>
        <v/>
      </c>
      <c r="I191">
        <f>IF(E191="","",IFERROR(VLOOKUP(E191,'Master Inventory'!$A:$N,10,FALSE),0))</f>
        <v/>
      </c>
      <c r="J191">
        <f>IF(E191="","",SUMIFS(Reservations!$G:$G,Reservations!$D:$D,A191,Reservations!$E:$E,E191,Reservations!$H:$H,"Active"))</f>
        <v/>
      </c>
      <c r="K191">
        <f>IF(E191="","",MAX(0,H191-I191-J191))</f>
        <v/>
      </c>
      <c r="L191">
        <f>IF(E191="","",IF(K191&gt;0,"SHORTAGE",IF(J191&gt;=H191,"RESERVED","READY TO RESERVE")))</f>
        <v/>
      </c>
    </row>
    <row r="192">
      <c r="A192">
        <f>IF('Job Cards'!$A$13="","",'Job Cards'!$A$13)</f>
        <v/>
      </c>
      <c r="B192">
        <f>IF(A192="","",'Job Cards'!$B$13)</f>
        <v/>
      </c>
      <c r="C192">
        <f>IF(A192="","",'Job Cards'!$D$13)</f>
        <v/>
      </c>
      <c r="D192">
        <f>IF(A192="","",'BOM Mapping'!$A$12)</f>
        <v/>
      </c>
      <c r="E192">
        <f>IF(C192="Longitude",'BOM Mapping'!$C$12,IF(C192="Latitude",'BOM Mapping'!$D$12,IF(C192="Altitude",'BOM Mapping'!$E$12,"")))</f>
        <v/>
      </c>
      <c r="F192">
        <f>IF(C192="Longitude",'BOM Mapping'!$J$12,IF(C192="Latitude",'BOM Mapping'!$K$12,IF(C192="Altitude",'BOM Mapping'!$L$12,0)))</f>
        <v/>
      </c>
      <c r="G192">
        <f>IF(A192="","",'Job Cards'!$E$13)</f>
        <v/>
      </c>
      <c r="H192">
        <f>IF(E192="","",F192*G192)</f>
        <v/>
      </c>
      <c r="I192">
        <f>IF(E192="","",IFERROR(VLOOKUP(E192,'Master Inventory'!$A:$N,10,FALSE),0))</f>
        <v/>
      </c>
      <c r="J192">
        <f>IF(E192="","",SUMIFS(Reservations!$G:$G,Reservations!$D:$D,A192,Reservations!$E:$E,E192,Reservations!$H:$H,"Active"))</f>
        <v/>
      </c>
      <c r="K192">
        <f>IF(E192="","",MAX(0,H192-I192-J192))</f>
        <v/>
      </c>
      <c r="L192">
        <f>IF(E192="","",IF(K192&gt;0,"SHORTAGE",IF(J192&gt;=H192,"RESERVED","READY TO RESERVE")))</f>
        <v/>
      </c>
    </row>
    <row r="193">
      <c r="A193">
        <f>IF('Job Cards'!$A$13="","",'Job Cards'!$A$13)</f>
        <v/>
      </c>
      <c r="B193">
        <f>IF(A193="","",'Job Cards'!$B$13)</f>
        <v/>
      </c>
      <c r="C193">
        <f>IF(A193="","",'Job Cards'!$D$13)</f>
        <v/>
      </c>
      <c r="D193">
        <f>IF(A193="","",'BOM Mapping'!$A$13)</f>
        <v/>
      </c>
      <c r="E193">
        <f>IF(C193="Longitude",'BOM Mapping'!$C$13,IF(C193="Latitude",'BOM Mapping'!$D$13,IF(C193="Altitude",'BOM Mapping'!$E$13,"")))</f>
        <v/>
      </c>
      <c r="F193">
        <f>IF(C193="Longitude",'BOM Mapping'!$J$13,IF(C193="Latitude",'BOM Mapping'!$K$13,IF(C193="Altitude",'BOM Mapping'!$L$13,0)))</f>
        <v/>
      </c>
      <c r="G193">
        <f>IF(A193="","",'Job Cards'!$E$13)</f>
        <v/>
      </c>
      <c r="H193">
        <f>IF(E193="","",F193*G193)</f>
        <v/>
      </c>
      <c r="I193">
        <f>IF(E193="","",IFERROR(VLOOKUP(E193,'Master Inventory'!$A:$N,10,FALSE),0))</f>
        <v/>
      </c>
      <c r="J193">
        <f>IF(E193="","",SUMIFS(Reservations!$G:$G,Reservations!$D:$D,A193,Reservations!$E:$E,E193,Reservations!$H:$H,"Active"))</f>
        <v/>
      </c>
      <c r="K193">
        <f>IF(E193="","",MAX(0,H193-I193-J193))</f>
        <v/>
      </c>
      <c r="L193">
        <f>IF(E193="","",IF(K193&gt;0,"SHORTAGE",IF(J193&gt;=H193,"RESERVED","READY TO RESERVE")))</f>
        <v/>
      </c>
    </row>
    <row r="194">
      <c r="A194">
        <f>IF('Job Cards'!$A$13="","",'Job Cards'!$A$13)</f>
        <v/>
      </c>
      <c r="B194">
        <f>IF(A194="","",'Job Cards'!$B$13)</f>
        <v/>
      </c>
      <c r="C194">
        <f>IF(A194="","",'Job Cards'!$D$13)</f>
        <v/>
      </c>
      <c r="D194">
        <f>IF(A194="","",'BOM Mapping'!$A$14)</f>
        <v/>
      </c>
      <c r="E194">
        <f>IF(C194="Longitude",'BOM Mapping'!$C$14,IF(C194="Latitude",'BOM Mapping'!$D$14,IF(C194="Altitude",'BOM Mapping'!$E$14,"")))</f>
        <v/>
      </c>
      <c r="F194">
        <f>IF(C194="Longitude",'BOM Mapping'!$J$14,IF(C194="Latitude",'BOM Mapping'!$K$14,IF(C194="Altitude",'BOM Mapping'!$L$14,0)))</f>
        <v/>
      </c>
      <c r="G194">
        <f>IF(A194="","",'Job Cards'!$E$13)</f>
        <v/>
      </c>
      <c r="H194">
        <f>IF(E194="","",F194*G194)</f>
        <v/>
      </c>
      <c r="I194">
        <f>IF(E194="","",IFERROR(VLOOKUP(E194,'Master Inventory'!$A:$N,10,FALSE),0))</f>
        <v/>
      </c>
      <c r="J194">
        <f>IF(E194="","",SUMIFS(Reservations!$G:$G,Reservations!$D:$D,A194,Reservations!$E:$E,E194,Reservations!$H:$H,"Active"))</f>
        <v/>
      </c>
      <c r="K194">
        <f>IF(E194="","",MAX(0,H194-I194-J194))</f>
        <v/>
      </c>
      <c r="L194">
        <f>IF(E194="","",IF(K194&gt;0,"SHORTAGE",IF(J194&gt;=H194,"RESERVED","READY TO RESERVE")))</f>
        <v/>
      </c>
    </row>
    <row r="195">
      <c r="A195">
        <f>IF('Job Cards'!$A$13="","",'Job Cards'!$A$13)</f>
        <v/>
      </c>
      <c r="B195">
        <f>IF(A195="","",'Job Cards'!$B$13)</f>
        <v/>
      </c>
      <c r="C195">
        <f>IF(A195="","",'Job Cards'!$D$13)</f>
        <v/>
      </c>
      <c r="D195">
        <f>IF(A195="","",'BOM Mapping'!$A$15)</f>
        <v/>
      </c>
      <c r="E195">
        <f>IF(C195="Longitude",'BOM Mapping'!$C$15,IF(C195="Latitude",'BOM Mapping'!$D$15,IF(C195="Altitude",'BOM Mapping'!$E$15,"")))</f>
        <v/>
      </c>
      <c r="F195">
        <f>IF(C195="Longitude",'BOM Mapping'!$J$15,IF(C195="Latitude",'BOM Mapping'!$K$15,IF(C195="Altitude",'BOM Mapping'!$L$15,0)))</f>
        <v/>
      </c>
      <c r="G195">
        <f>IF(A195="","",'Job Cards'!$E$13)</f>
        <v/>
      </c>
      <c r="H195">
        <f>IF(E195="","",F195*G195)</f>
        <v/>
      </c>
      <c r="I195">
        <f>IF(E195="","",IFERROR(VLOOKUP(E195,'Master Inventory'!$A:$N,10,FALSE),0))</f>
        <v/>
      </c>
      <c r="J195">
        <f>IF(E195="","",SUMIFS(Reservations!$G:$G,Reservations!$D:$D,A195,Reservations!$E:$E,E195,Reservations!$H:$H,"Active"))</f>
        <v/>
      </c>
      <c r="K195">
        <f>IF(E195="","",MAX(0,H195-I195-J195))</f>
        <v/>
      </c>
      <c r="L195">
        <f>IF(E195="","",IF(K195&gt;0,"SHORTAGE",IF(J195&gt;=H195,"RESERVED","READY TO RESERVE")))</f>
        <v/>
      </c>
    </row>
    <row r="196">
      <c r="A196">
        <f>IF('Job Cards'!$A$13="","",'Job Cards'!$A$13)</f>
        <v/>
      </c>
      <c r="B196">
        <f>IF(A196="","",'Job Cards'!$B$13)</f>
        <v/>
      </c>
      <c r="C196">
        <f>IF(A196="","",'Job Cards'!$D$13)</f>
        <v/>
      </c>
      <c r="D196">
        <f>IF(A196="","",'BOM Mapping'!$A$16)</f>
        <v/>
      </c>
      <c r="E196">
        <f>IF(C196="Longitude",'BOM Mapping'!$C$16,IF(C196="Latitude",'BOM Mapping'!$D$16,IF(C196="Altitude",'BOM Mapping'!$E$16,"")))</f>
        <v/>
      </c>
      <c r="F196">
        <f>IF(C196="Longitude",'BOM Mapping'!$J$16,IF(C196="Latitude",'BOM Mapping'!$K$16,IF(C196="Altitude",'BOM Mapping'!$L$16,0)))</f>
        <v/>
      </c>
      <c r="G196">
        <f>IF(A196="","",'Job Cards'!$E$13)</f>
        <v/>
      </c>
      <c r="H196">
        <f>IF(E196="","",F196*G196)</f>
        <v/>
      </c>
      <c r="I196">
        <f>IF(E196="","",IFERROR(VLOOKUP(E196,'Master Inventory'!$A:$N,10,FALSE),0))</f>
        <v/>
      </c>
      <c r="J196">
        <f>IF(E196="","",SUMIFS(Reservations!$G:$G,Reservations!$D:$D,A196,Reservations!$E:$E,E196,Reservations!$H:$H,"Active"))</f>
        <v/>
      </c>
      <c r="K196">
        <f>IF(E196="","",MAX(0,H196-I196-J196))</f>
        <v/>
      </c>
      <c r="L196">
        <f>IF(E196="","",IF(K196&gt;0,"SHORTAGE",IF(J196&gt;=H196,"RESERVED","READY TO RESERVE")))</f>
        <v/>
      </c>
    </row>
    <row r="197">
      <c r="A197">
        <f>IF('Job Cards'!$A$13="","",'Job Cards'!$A$13)</f>
        <v/>
      </c>
      <c r="B197">
        <f>IF(A197="","",'Job Cards'!$B$13)</f>
        <v/>
      </c>
      <c r="C197">
        <f>IF(A197="","",'Job Cards'!$D$13)</f>
        <v/>
      </c>
      <c r="D197">
        <f>IF(A197="","",'BOM Mapping'!$A$17)</f>
        <v/>
      </c>
      <c r="E197">
        <f>IF(C197="Longitude",'BOM Mapping'!$C$17,IF(C197="Latitude",'BOM Mapping'!$D$17,IF(C197="Altitude",'BOM Mapping'!$E$17,"")))</f>
        <v/>
      </c>
      <c r="F197">
        <f>IF(C197="Longitude",'BOM Mapping'!$J$17,IF(C197="Latitude",'BOM Mapping'!$K$17,IF(C197="Altitude",'BOM Mapping'!$L$17,0)))</f>
        <v/>
      </c>
      <c r="G197">
        <f>IF(A197="","",'Job Cards'!$E$13)</f>
        <v/>
      </c>
      <c r="H197">
        <f>IF(E197="","",F197*G197)</f>
        <v/>
      </c>
      <c r="I197">
        <f>IF(E197="","",IFERROR(VLOOKUP(E197,'Master Inventory'!$A:$N,10,FALSE),0))</f>
        <v/>
      </c>
      <c r="J197">
        <f>IF(E197="","",SUMIFS(Reservations!$G:$G,Reservations!$D:$D,A197,Reservations!$E:$E,E197,Reservations!$H:$H,"Active"))</f>
        <v/>
      </c>
      <c r="K197">
        <f>IF(E197="","",MAX(0,H197-I197-J197))</f>
        <v/>
      </c>
      <c r="L197">
        <f>IF(E197="","",IF(K197&gt;0,"SHORTAGE",IF(J197&gt;=H197,"RESERVED","READY TO RESERVE")))</f>
        <v/>
      </c>
    </row>
    <row r="198">
      <c r="A198">
        <f>IF('Job Cards'!$A$13="","",'Job Cards'!$A$13)</f>
        <v/>
      </c>
      <c r="B198">
        <f>IF(A198="","",'Job Cards'!$B$13)</f>
        <v/>
      </c>
      <c r="C198">
        <f>IF(A198="","",'Job Cards'!$D$13)</f>
        <v/>
      </c>
      <c r="D198">
        <f>IF(A198="","",'BOM Mapping'!$A$18)</f>
        <v/>
      </c>
      <c r="E198">
        <f>IF(C198="Longitude",'BOM Mapping'!$C$18,IF(C198="Latitude",'BOM Mapping'!$D$18,IF(C198="Altitude",'BOM Mapping'!$E$18,"")))</f>
        <v/>
      </c>
      <c r="F198">
        <f>IF(C198="Longitude",'BOM Mapping'!$J$18,IF(C198="Latitude",'BOM Mapping'!$K$18,IF(C198="Altitude",'BOM Mapping'!$L$18,0)))</f>
        <v/>
      </c>
      <c r="G198">
        <f>IF(A198="","",'Job Cards'!$E$13)</f>
        <v/>
      </c>
      <c r="H198">
        <f>IF(E198="","",F198*G198)</f>
        <v/>
      </c>
      <c r="I198">
        <f>IF(E198="","",IFERROR(VLOOKUP(E198,'Master Inventory'!$A:$N,10,FALSE),0))</f>
        <v/>
      </c>
      <c r="J198">
        <f>IF(E198="","",SUMIFS(Reservations!$G:$G,Reservations!$D:$D,A198,Reservations!$E:$E,E198,Reservations!$H:$H,"Active"))</f>
        <v/>
      </c>
      <c r="K198">
        <f>IF(E198="","",MAX(0,H198-I198-J198))</f>
        <v/>
      </c>
      <c r="L198">
        <f>IF(E198="","",IF(K198&gt;0,"SHORTAGE",IF(J198&gt;=H198,"RESERVED","READY TO RESERVE")))</f>
        <v/>
      </c>
    </row>
    <row r="199">
      <c r="A199">
        <f>IF('Job Cards'!$A$13="","",'Job Cards'!$A$13)</f>
        <v/>
      </c>
      <c r="B199">
        <f>IF(A199="","",'Job Cards'!$B$13)</f>
        <v/>
      </c>
      <c r="C199">
        <f>IF(A199="","",'Job Cards'!$D$13)</f>
        <v/>
      </c>
      <c r="D199">
        <f>IF(A199="","",'BOM Mapping'!$A$19)</f>
        <v/>
      </c>
      <c r="E199">
        <f>IF(C199="Longitude",'BOM Mapping'!$C$19,IF(C199="Latitude",'BOM Mapping'!$D$19,IF(C199="Altitude",'BOM Mapping'!$E$19,"")))</f>
        <v/>
      </c>
      <c r="F199">
        <f>IF(C199="Longitude",'BOM Mapping'!$J$19,IF(C199="Latitude",'BOM Mapping'!$K$19,IF(C199="Altitude",'BOM Mapping'!$L$19,0)))</f>
        <v/>
      </c>
      <c r="G199">
        <f>IF(A199="","",'Job Cards'!$E$13)</f>
        <v/>
      </c>
      <c r="H199">
        <f>IF(E199="","",F199*G199)</f>
        <v/>
      </c>
      <c r="I199">
        <f>IF(E199="","",IFERROR(VLOOKUP(E199,'Master Inventory'!$A:$N,10,FALSE),0))</f>
        <v/>
      </c>
      <c r="J199">
        <f>IF(E199="","",SUMIFS(Reservations!$G:$G,Reservations!$D:$D,A199,Reservations!$E:$E,E199,Reservations!$H:$H,"Active"))</f>
        <v/>
      </c>
      <c r="K199">
        <f>IF(E199="","",MAX(0,H199-I199-J199))</f>
        <v/>
      </c>
      <c r="L199">
        <f>IF(E199="","",IF(K199&gt;0,"SHORTAGE",IF(J199&gt;=H199,"RESERVED","READY TO RESERVE")))</f>
        <v/>
      </c>
    </row>
    <row r="200">
      <c r="A200">
        <f>IF('Job Cards'!$A$13="","",'Job Cards'!$A$13)</f>
        <v/>
      </c>
      <c r="B200">
        <f>IF(A200="","",'Job Cards'!$B$13)</f>
        <v/>
      </c>
      <c r="C200">
        <f>IF(A200="","",'Job Cards'!$D$13)</f>
        <v/>
      </c>
      <c r="D200">
        <f>IF(A200="","",'BOM Mapping'!$A$20)</f>
        <v/>
      </c>
      <c r="E200">
        <f>IF(C200="Longitude",'BOM Mapping'!$C$20,IF(C200="Latitude",'BOM Mapping'!$D$20,IF(C200="Altitude",'BOM Mapping'!$E$20,"")))</f>
        <v/>
      </c>
      <c r="F200">
        <f>IF(C200="Longitude",'BOM Mapping'!$J$20,IF(C200="Latitude",'BOM Mapping'!$K$20,IF(C200="Altitude",'BOM Mapping'!$L$20,0)))</f>
        <v/>
      </c>
      <c r="G200">
        <f>IF(A200="","",'Job Cards'!$E$13)</f>
        <v/>
      </c>
      <c r="H200">
        <f>IF(E200="","",F200*G200)</f>
        <v/>
      </c>
      <c r="I200">
        <f>IF(E200="","",IFERROR(VLOOKUP(E200,'Master Inventory'!$A:$N,10,FALSE),0))</f>
        <v/>
      </c>
      <c r="J200">
        <f>IF(E200="","",SUMIFS(Reservations!$G:$G,Reservations!$D:$D,A200,Reservations!$E:$E,E200,Reservations!$H:$H,"Active"))</f>
        <v/>
      </c>
      <c r="K200">
        <f>IF(E200="","",MAX(0,H200-I200-J200))</f>
        <v/>
      </c>
      <c r="L200">
        <f>IF(E200="","",IF(K200&gt;0,"SHORTAGE",IF(J200&gt;=H200,"RESERVED","READY TO RESERVE")))</f>
        <v/>
      </c>
    </row>
    <row r="201">
      <c r="A201">
        <f>IF('Job Cards'!$A$13="","",'Job Cards'!$A$13)</f>
        <v/>
      </c>
      <c r="B201">
        <f>IF(A201="","",'Job Cards'!$B$13)</f>
        <v/>
      </c>
      <c r="C201">
        <f>IF(A201="","",'Job Cards'!$D$13)</f>
        <v/>
      </c>
      <c r="D201">
        <f>IF(A201="","",'BOM Mapping'!$A$21)</f>
        <v/>
      </c>
      <c r="E201">
        <f>IF(C201="Longitude",'BOM Mapping'!$C$21,IF(C201="Latitude",'BOM Mapping'!$D$21,IF(C201="Altitude",'BOM Mapping'!$E$21,"")))</f>
        <v/>
      </c>
      <c r="F201">
        <f>IF(C201="Longitude",'BOM Mapping'!$J$21,IF(C201="Latitude",'BOM Mapping'!$K$21,IF(C201="Altitude",'BOM Mapping'!$L$21,0)))</f>
        <v/>
      </c>
      <c r="G201">
        <f>IF(A201="","",'Job Cards'!$E$13)</f>
        <v/>
      </c>
      <c r="H201">
        <f>IF(E201="","",F201*G201)</f>
        <v/>
      </c>
      <c r="I201">
        <f>IF(E201="","",IFERROR(VLOOKUP(E201,'Master Inventory'!$A:$N,10,FALSE),0))</f>
        <v/>
      </c>
      <c r="J201">
        <f>IF(E201="","",SUMIFS(Reservations!$G:$G,Reservations!$D:$D,A201,Reservations!$E:$E,E201,Reservations!$H:$H,"Active"))</f>
        <v/>
      </c>
      <c r="K201">
        <f>IF(E201="","",MAX(0,H201-I201-J201))</f>
        <v/>
      </c>
      <c r="L201">
        <f>IF(E201="","",IF(K201&gt;0,"SHORTAGE",IF(J201&gt;=H201,"RESERVED","READY TO RESERVE")))</f>
        <v/>
      </c>
    </row>
    <row r="202">
      <c r="A202">
        <f>IF('Job Cards'!$A$13="","",'Job Cards'!$A$13)</f>
        <v/>
      </c>
      <c r="B202">
        <f>IF(A202="","",'Job Cards'!$B$13)</f>
        <v/>
      </c>
      <c r="C202">
        <f>IF(A202="","",'Job Cards'!$D$13)</f>
        <v/>
      </c>
      <c r="D202">
        <f>IF(A202="","",'BOM Mapping'!$A$22)</f>
        <v/>
      </c>
      <c r="E202">
        <f>IF(C202="Longitude",'BOM Mapping'!$C$22,IF(C202="Latitude",'BOM Mapping'!$D$22,IF(C202="Altitude",'BOM Mapping'!$E$22,"")))</f>
        <v/>
      </c>
      <c r="F202">
        <f>IF(C202="Longitude",'BOM Mapping'!$J$22,IF(C202="Latitude",'BOM Mapping'!$K$22,IF(C202="Altitude",'BOM Mapping'!$L$22,0)))</f>
        <v/>
      </c>
      <c r="G202">
        <f>IF(A202="","",'Job Cards'!$E$13)</f>
        <v/>
      </c>
      <c r="H202">
        <f>IF(E202="","",F202*G202)</f>
        <v/>
      </c>
      <c r="I202">
        <f>IF(E202="","",IFERROR(VLOOKUP(E202,'Master Inventory'!$A:$N,10,FALSE),0))</f>
        <v/>
      </c>
      <c r="J202">
        <f>IF(E202="","",SUMIFS(Reservations!$G:$G,Reservations!$D:$D,A202,Reservations!$E:$E,E202,Reservations!$H:$H,"Active"))</f>
        <v/>
      </c>
      <c r="K202">
        <f>IF(E202="","",MAX(0,H202-I202-J202))</f>
        <v/>
      </c>
      <c r="L202">
        <f>IF(E202="","",IF(K202&gt;0,"SHORTAGE",IF(J202&gt;=H202,"RESERVED","READY TO RESERVE")))</f>
        <v/>
      </c>
    </row>
    <row r="203">
      <c r="A203">
        <f>IF('Job Cards'!$A$13="","",'Job Cards'!$A$13)</f>
        <v/>
      </c>
      <c r="B203">
        <f>IF(A203="","",'Job Cards'!$B$13)</f>
        <v/>
      </c>
      <c r="C203">
        <f>IF(A203="","",'Job Cards'!$D$13)</f>
        <v/>
      </c>
      <c r="D203">
        <f>IF(A203="","",'BOM Mapping'!$A$23)</f>
        <v/>
      </c>
      <c r="E203">
        <f>IF(C203="Longitude",'BOM Mapping'!$C$23,IF(C203="Latitude",'BOM Mapping'!$D$23,IF(C203="Altitude",'BOM Mapping'!$E$23,"")))</f>
        <v/>
      </c>
      <c r="F203">
        <f>IF(C203="Longitude",'BOM Mapping'!$J$23,IF(C203="Latitude",'BOM Mapping'!$K$23,IF(C203="Altitude",'BOM Mapping'!$L$23,0)))</f>
        <v/>
      </c>
      <c r="G203">
        <f>IF(A203="","",'Job Cards'!$E$13)</f>
        <v/>
      </c>
      <c r="H203">
        <f>IF(E203="","",F203*G203)</f>
        <v/>
      </c>
      <c r="I203">
        <f>IF(E203="","",IFERROR(VLOOKUP(E203,'Master Inventory'!$A:$N,10,FALSE),0))</f>
        <v/>
      </c>
      <c r="J203">
        <f>IF(E203="","",SUMIFS(Reservations!$G:$G,Reservations!$D:$D,A203,Reservations!$E:$E,E203,Reservations!$H:$H,"Active"))</f>
        <v/>
      </c>
      <c r="K203">
        <f>IF(E203="","",MAX(0,H203-I203-J203))</f>
        <v/>
      </c>
      <c r="L203">
        <f>IF(E203="","",IF(K203&gt;0,"SHORTAGE",IF(J203&gt;=H203,"RESERVED","READY TO RESERVE")))</f>
        <v/>
      </c>
    </row>
    <row r="204">
      <c r="A204">
        <f>IF('Job Cards'!$A$14="","",'Job Cards'!$A$14)</f>
        <v/>
      </c>
      <c r="B204">
        <f>IF(A204="","",'Job Cards'!$B$14)</f>
        <v/>
      </c>
      <c r="C204">
        <f>IF(A204="","",'Job Cards'!$D$14)</f>
        <v/>
      </c>
      <c r="D204">
        <f>IF(A204="","",'BOM Mapping'!$A$4)</f>
        <v/>
      </c>
      <c r="E204">
        <f>IF(C204="Longitude",'BOM Mapping'!$C$4,IF(C204="Latitude",'BOM Mapping'!$D$4,IF(C204="Altitude",'BOM Mapping'!$E$4,"")))</f>
        <v/>
      </c>
      <c r="F204">
        <f>IF(C204="Longitude",'BOM Mapping'!$J$4,IF(C204="Latitude",'BOM Mapping'!$K$4,IF(C204="Altitude",'BOM Mapping'!$L$4,0)))</f>
        <v/>
      </c>
      <c r="G204">
        <f>IF(A204="","",'Job Cards'!$E$14)</f>
        <v/>
      </c>
      <c r="H204">
        <f>IF(E204="","",F204*G204)</f>
        <v/>
      </c>
      <c r="I204">
        <f>IF(E204="","",IFERROR(VLOOKUP(E204,'Master Inventory'!$A:$N,10,FALSE),0))</f>
        <v/>
      </c>
      <c r="J204">
        <f>IF(E204="","",SUMIFS(Reservations!$G:$G,Reservations!$D:$D,A204,Reservations!$E:$E,E204,Reservations!$H:$H,"Active"))</f>
        <v/>
      </c>
      <c r="K204">
        <f>IF(E204="","",MAX(0,H204-I204-J204))</f>
        <v/>
      </c>
      <c r="L204">
        <f>IF(E204="","",IF(K204&gt;0,"SHORTAGE",IF(J204&gt;=H204,"RESERVED","READY TO RESERVE")))</f>
        <v/>
      </c>
    </row>
    <row r="205">
      <c r="A205">
        <f>IF('Job Cards'!$A$14="","",'Job Cards'!$A$14)</f>
        <v/>
      </c>
      <c r="B205">
        <f>IF(A205="","",'Job Cards'!$B$14)</f>
        <v/>
      </c>
      <c r="C205">
        <f>IF(A205="","",'Job Cards'!$D$14)</f>
        <v/>
      </c>
      <c r="D205">
        <f>IF(A205="","",'BOM Mapping'!$A$5)</f>
        <v/>
      </c>
      <c r="E205">
        <f>IF(C205="Longitude",'BOM Mapping'!$C$5,IF(C205="Latitude",'BOM Mapping'!$D$5,IF(C205="Altitude",'BOM Mapping'!$E$5,"")))</f>
        <v/>
      </c>
      <c r="F205">
        <f>IF(C205="Longitude",'BOM Mapping'!$J$5,IF(C205="Latitude",'BOM Mapping'!$K$5,IF(C205="Altitude",'BOM Mapping'!$L$5,0)))</f>
        <v/>
      </c>
      <c r="G205">
        <f>IF(A205="","",'Job Cards'!$E$14)</f>
        <v/>
      </c>
      <c r="H205">
        <f>IF(E205="","",F205*G205)</f>
        <v/>
      </c>
      <c r="I205">
        <f>IF(E205="","",IFERROR(VLOOKUP(E205,'Master Inventory'!$A:$N,10,FALSE),0))</f>
        <v/>
      </c>
      <c r="J205">
        <f>IF(E205="","",SUMIFS(Reservations!$G:$G,Reservations!$D:$D,A205,Reservations!$E:$E,E205,Reservations!$H:$H,"Active"))</f>
        <v/>
      </c>
      <c r="K205">
        <f>IF(E205="","",MAX(0,H205-I205-J205))</f>
        <v/>
      </c>
      <c r="L205">
        <f>IF(E205="","",IF(K205&gt;0,"SHORTAGE",IF(J205&gt;=H205,"RESERVED","READY TO RESERVE")))</f>
        <v/>
      </c>
    </row>
    <row r="206">
      <c r="A206">
        <f>IF('Job Cards'!$A$14="","",'Job Cards'!$A$14)</f>
        <v/>
      </c>
      <c r="B206">
        <f>IF(A206="","",'Job Cards'!$B$14)</f>
        <v/>
      </c>
      <c r="C206">
        <f>IF(A206="","",'Job Cards'!$D$14)</f>
        <v/>
      </c>
      <c r="D206">
        <f>IF(A206="","",'BOM Mapping'!$A$6)</f>
        <v/>
      </c>
      <c r="E206">
        <f>IF(C206="Longitude",'BOM Mapping'!$C$6,IF(C206="Latitude",'BOM Mapping'!$D$6,IF(C206="Altitude",'BOM Mapping'!$E$6,"")))</f>
        <v/>
      </c>
      <c r="F206">
        <f>IF(C206="Longitude",'BOM Mapping'!$J$6,IF(C206="Latitude",'BOM Mapping'!$K$6,IF(C206="Altitude",'BOM Mapping'!$L$6,0)))</f>
        <v/>
      </c>
      <c r="G206">
        <f>IF(A206="","",'Job Cards'!$E$14)</f>
        <v/>
      </c>
      <c r="H206">
        <f>IF(E206="","",F206*G206)</f>
        <v/>
      </c>
      <c r="I206">
        <f>IF(E206="","",IFERROR(VLOOKUP(E206,'Master Inventory'!$A:$N,10,FALSE),0))</f>
        <v/>
      </c>
      <c r="J206">
        <f>IF(E206="","",SUMIFS(Reservations!$G:$G,Reservations!$D:$D,A206,Reservations!$E:$E,E206,Reservations!$H:$H,"Active"))</f>
        <v/>
      </c>
      <c r="K206">
        <f>IF(E206="","",MAX(0,H206-I206-J206))</f>
        <v/>
      </c>
      <c r="L206">
        <f>IF(E206="","",IF(K206&gt;0,"SHORTAGE",IF(J206&gt;=H206,"RESERVED","READY TO RESERVE")))</f>
        <v/>
      </c>
    </row>
    <row r="207">
      <c r="A207">
        <f>IF('Job Cards'!$A$14="","",'Job Cards'!$A$14)</f>
        <v/>
      </c>
      <c r="B207">
        <f>IF(A207="","",'Job Cards'!$B$14)</f>
        <v/>
      </c>
      <c r="C207">
        <f>IF(A207="","",'Job Cards'!$D$14)</f>
        <v/>
      </c>
      <c r="D207">
        <f>IF(A207="","",'BOM Mapping'!$A$7)</f>
        <v/>
      </c>
      <c r="E207">
        <f>IF(C207="Longitude",'BOM Mapping'!$C$7,IF(C207="Latitude",'BOM Mapping'!$D$7,IF(C207="Altitude",'BOM Mapping'!$E$7,"")))</f>
        <v/>
      </c>
      <c r="F207">
        <f>IF(C207="Longitude",'BOM Mapping'!$J$7,IF(C207="Latitude",'BOM Mapping'!$K$7,IF(C207="Altitude",'BOM Mapping'!$L$7,0)))</f>
        <v/>
      </c>
      <c r="G207">
        <f>IF(A207="","",'Job Cards'!$E$14)</f>
        <v/>
      </c>
      <c r="H207">
        <f>IF(E207="","",F207*G207)</f>
        <v/>
      </c>
      <c r="I207">
        <f>IF(E207="","",IFERROR(VLOOKUP(E207,'Master Inventory'!$A:$N,10,FALSE),0))</f>
        <v/>
      </c>
      <c r="J207">
        <f>IF(E207="","",SUMIFS(Reservations!$G:$G,Reservations!$D:$D,A207,Reservations!$E:$E,E207,Reservations!$H:$H,"Active"))</f>
        <v/>
      </c>
      <c r="K207">
        <f>IF(E207="","",MAX(0,H207-I207-J207))</f>
        <v/>
      </c>
      <c r="L207">
        <f>IF(E207="","",IF(K207&gt;0,"SHORTAGE",IF(J207&gt;=H207,"RESERVED","READY TO RESERVE")))</f>
        <v/>
      </c>
    </row>
    <row r="208">
      <c r="A208">
        <f>IF('Job Cards'!$A$14="","",'Job Cards'!$A$14)</f>
        <v/>
      </c>
      <c r="B208">
        <f>IF(A208="","",'Job Cards'!$B$14)</f>
        <v/>
      </c>
      <c r="C208">
        <f>IF(A208="","",'Job Cards'!$D$14)</f>
        <v/>
      </c>
      <c r="D208">
        <f>IF(A208="","",'BOM Mapping'!$A$8)</f>
        <v/>
      </c>
      <c r="E208">
        <f>IF(C208="Longitude",'BOM Mapping'!$C$8,IF(C208="Latitude",'BOM Mapping'!$D$8,IF(C208="Altitude",'BOM Mapping'!$E$8,"")))</f>
        <v/>
      </c>
      <c r="F208">
        <f>IF(C208="Longitude",'BOM Mapping'!$J$8,IF(C208="Latitude",'BOM Mapping'!$K$8,IF(C208="Altitude",'BOM Mapping'!$L$8,0)))</f>
        <v/>
      </c>
      <c r="G208">
        <f>IF(A208="","",'Job Cards'!$E$14)</f>
        <v/>
      </c>
      <c r="H208">
        <f>IF(E208="","",F208*G208)</f>
        <v/>
      </c>
      <c r="I208">
        <f>IF(E208="","",IFERROR(VLOOKUP(E208,'Master Inventory'!$A:$N,10,FALSE),0))</f>
        <v/>
      </c>
      <c r="J208">
        <f>IF(E208="","",SUMIFS(Reservations!$G:$G,Reservations!$D:$D,A208,Reservations!$E:$E,E208,Reservations!$H:$H,"Active"))</f>
        <v/>
      </c>
      <c r="K208">
        <f>IF(E208="","",MAX(0,H208-I208-J208))</f>
        <v/>
      </c>
      <c r="L208">
        <f>IF(E208="","",IF(K208&gt;0,"SHORTAGE",IF(J208&gt;=H208,"RESERVED","READY TO RESERVE")))</f>
        <v/>
      </c>
    </row>
    <row r="209">
      <c r="A209">
        <f>IF('Job Cards'!$A$14="","",'Job Cards'!$A$14)</f>
        <v/>
      </c>
      <c r="B209">
        <f>IF(A209="","",'Job Cards'!$B$14)</f>
        <v/>
      </c>
      <c r="C209">
        <f>IF(A209="","",'Job Cards'!$D$14)</f>
        <v/>
      </c>
      <c r="D209">
        <f>IF(A209="","",'BOM Mapping'!$A$9)</f>
        <v/>
      </c>
      <c r="E209">
        <f>IF(C209="Longitude",'BOM Mapping'!$C$9,IF(C209="Latitude",'BOM Mapping'!$D$9,IF(C209="Altitude",'BOM Mapping'!$E$9,"")))</f>
        <v/>
      </c>
      <c r="F209">
        <f>IF(C209="Longitude",'BOM Mapping'!$J$9,IF(C209="Latitude",'BOM Mapping'!$K$9,IF(C209="Altitude",'BOM Mapping'!$L$9,0)))</f>
        <v/>
      </c>
      <c r="G209">
        <f>IF(A209="","",'Job Cards'!$E$14)</f>
        <v/>
      </c>
      <c r="H209">
        <f>IF(E209="","",F209*G209)</f>
        <v/>
      </c>
      <c r="I209">
        <f>IF(E209="","",IFERROR(VLOOKUP(E209,'Master Inventory'!$A:$N,10,FALSE),0))</f>
        <v/>
      </c>
      <c r="J209">
        <f>IF(E209="","",SUMIFS(Reservations!$G:$G,Reservations!$D:$D,A209,Reservations!$E:$E,E209,Reservations!$H:$H,"Active"))</f>
        <v/>
      </c>
      <c r="K209">
        <f>IF(E209="","",MAX(0,H209-I209-J209))</f>
        <v/>
      </c>
      <c r="L209">
        <f>IF(E209="","",IF(K209&gt;0,"SHORTAGE",IF(J209&gt;=H209,"RESERVED","READY TO RESERVE")))</f>
        <v/>
      </c>
    </row>
    <row r="210">
      <c r="A210">
        <f>IF('Job Cards'!$A$14="","",'Job Cards'!$A$14)</f>
        <v/>
      </c>
      <c r="B210">
        <f>IF(A210="","",'Job Cards'!$B$14)</f>
        <v/>
      </c>
      <c r="C210">
        <f>IF(A210="","",'Job Cards'!$D$14)</f>
        <v/>
      </c>
      <c r="D210">
        <f>IF(A210="","",'BOM Mapping'!$A$10)</f>
        <v/>
      </c>
      <c r="E210">
        <f>IF(C210="Longitude",'BOM Mapping'!$C$10,IF(C210="Latitude",'BOM Mapping'!$D$10,IF(C210="Altitude",'BOM Mapping'!$E$10,"")))</f>
        <v/>
      </c>
      <c r="F210">
        <f>IF(C210="Longitude",'BOM Mapping'!$J$10,IF(C210="Latitude",'BOM Mapping'!$K$10,IF(C210="Altitude",'BOM Mapping'!$L$10,0)))</f>
        <v/>
      </c>
      <c r="G210">
        <f>IF(A210="","",'Job Cards'!$E$14)</f>
        <v/>
      </c>
      <c r="H210">
        <f>IF(E210="","",F210*G210)</f>
        <v/>
      </c>
      <c r="I210">
        <f>IF(E210="","",IFERROR(VLOOKUP(E210,'Master Inventory'!$A:$N,10,FALSE),0))</f>
        <v/>
      </c>
      <c r="J210">
        <f>IF(E210="","",SUMIFS(Reservations!$G:$G,Reservations!$D:$D,A210,Reservations!$E:$E,E210,Reservations!$H:$H,"Active"))</f>
        <v/>
      </c>
      <c r="K210">
        <f>IF(E210="","",MAX(0,H210-I210-J210))</f>
        <v/>
      </c>
      <c r="L210">
        <f>IF(E210="","",IF(K210&gt;0,"SHORTAGE",IF(J210&gt;=H210,"RESERVED","READY TO RESERVE")))</f>
        <v/>
      </c>
    </row>
    <row r="211">
      <c r="A211">
        <f>IF('Job Cards'!$A$14="","",'Job Cards'!$A$14)</f>
        <v/>
      </c>
      <c r="B211">
        <f>IF(A211="","",'Job Cards'!$B$14)</f>
        <v/>
      </c>
      <c r="C211">
        <f>IF(A211="","",'Job Cards'!$D$14)</f>
        <v/>
      </c>
      <c r="D211">
        <f>IF(A211="","",'BOM Mapping'!$A$11)</f>
        <v/>
      </c>
      <c r="E211">
        <f>IF(C211="Longitude",'BOM Mapping'!$C$11,IF(C211="Latitude",'BOM Mapping'!$D$11,IF(C211="Altitude",'BOM Mapping'!$E$11,"")))</f>
        <v/>
      </c>
      <c r="F211">
        <f>IF(C211="Longitude",'BOM Mapping'!$J$11,IF(C211="Latitude",'BOM Mapping'!$K$11,IF(C211="Altitude",'BOM Mapping'!$L$11,0)))</f>
        <v/>
      </c>
      <c r="G211">
        <f>IF(A211="","",'Job Cards'!$E$14)</f>
        <v/>
      </c>
      <c r="H211">
        <f>IF(E211="","",F211*G211)</f>
        <v/>
      </c>
      <c r="I211">
        <f>IF(E211="","",IFERROR(VLOOKUP(E211,'Master Inventory'!$A:$N,10,FALSE),0))</f>
        <v/>
      </c>
      <c r="J211">
        <f>IF(E211="","",SUMIFS(Reservations!$G:$G,Reservations!$D:$D,A211,Reservations!$E:$E,E211,Reservations!$H:$H,"Active"))</f>
        <v/>
      </c>
      <c r="K211">
        <f>IF(E211="","",MAX(0,H211-I211-J211))</f>
        <v/>
      </c>
      <c r="L211">
        <f>IF(E211="","",IF(K211&gt;0,"SHORTAGE",IF(J211&gt;=H211,"RESERVED","READY TO RESERVE")))</f>
        <v/>
      </c>
    </row>
    <row r="212">
      <c r="A212">
        <f>IF('Job Cards'!$A$14="","",'Job Cards'!$A$14)</f>
        <v/>
      </c>
      <c r="B212">
        <f>IF(A212="","",'Job Cards'!$B$14)</f>
        <v/>
      </c>
      <c r="C212">
        <f>IF(A212="","",'Job Cards'!$D$14)</f>
        <v/>
      </c>
      <c r="D212">
        <f>IF(A212="","",'BOM Mapping'!$A$12)</f>
        <v/>
      </c>
      <c r="E212">
        <f>IF(C212="Longitude",'BOM Mapping'!$C$12,IF(C212="Latitude",'BOM Mapping'!$D$12,IF(C212="Altitude",'BOM Mapping'!$E$12,"")))</f>
        <v/>
      </c>
      <c r="F212">
        <f>IF(C212="Longitude",'BOM Mapping'!$J$12,IF(C212="Latitude",'BOM Mapping'!$K$12,IF(C212="Altitude",'BOM Mapping'!$L$12,0)))</f>
        <v/>
      </c>
      <c r="G212">
        <f>IF(A212="","",'Job Cards'!$E$14)</f>
        <v/>
      </c>
      <c r="H212">
        <f>IF(E212="","",F212*G212)</f>
        <v/>
      </c>
      <c r="I212">
        <f>IF(E212="","",IFERROR(VLOOKUP(E212,'Master Inventory'!$A:$N,10,FALSE),0))</f>
        <v/>
      </c>
      <c r="J212">
        <f>IF(E212="","",SUMIFS(Reservations!$G:$G,Reservations!$D:$D,A212,Reservations!$E:$E,E212,Reservations!$H:$H,"Active"))</f>
        <v/>
      </c>
      <c r="K212">
        <f>IF(E212="","",MAX(0,H212-I212-J212))</f>
        <v/>
      </c>
      <c r="L212">
        <f>IF(E212="","",IF(K212&gt;0,"SHORTAGE",IF(J212&gt;=H212,"RESERVED","READY TO RESERVE")))</f>
        <v/>
      </c>
    </row>
    <row r="213">
      <c r="A213">
        <f>IF('Job Cards'!$A$14="","",'Job Cards'!$A$14)</f>
        <v/>
      </c>
      <c r="B213">
        <f>IF(A213="","",'Job Cards'!$B$14)</f>
        <v/>
      </c>
      <c r="C213">
        <f>IF(A213="","",'Job Cards'!$D$14)</f>
        <v/>
      </c>
      <c r="D213">
        <f>IF(A213="","",'BOM Mapping'!$A$13)</f>
        <v/>
      </c>
      <c r="E213">
        <f>IF(C213="Longitude",'BOM Mapping'!$C$13,IF(C213="Latitude",'BOM Mapping'!$D$13,IF(C213="Altitude",'BOM Mapping'!$E$13,"")))</f>
        <v/>
      </c>
      <c r="F213">
        <f>IF(C213="Longitude",'BOM Mapping'!$J$13,IF(C213="Latitude",'BOM Mapping'!$K$13,IF(C213="Altitude",'BOM Mapping'!$L$13,0)))</f>
        <v/>
      </c>
      <c r="G213">
        <f>IF(A213="","",'Job Cards'!$E$14)</f>
        <v/>
      </c>
      <c r="H213">
        <f>IF(E213="","",F213*G213)</f>
        <v/>
      </c>
      <c r="I213">
        <f>IF(E213="","",IFERROR(VLOOKUP(E213,'Master Inventory'!$A:$N,10,FALSE),0))</f>
        <v/>
      </c>
      <c r="J213">
        <f>IF(E213="","",SUMIFS(Reservations!$G:$G,Reservations!$D:$D,A213,Reservations!$E:$E,E213,Reservations!$H:$H,"Active"))</f>
        <v/>
      </c>
      <c r="K213">
        <f>IF(E213="","",MAX(0,H213-I213-J213))</f>
        <v/>
      </c>
      <c r="L213">
        <f>IF(E213="","",IF(K213&gt;0,"SHORTAGE",IF(J213&gt;=H213,"RESERVED","READY TO RESERVE")))</f>
        <v/>
      </c>
    </row>
    <row r="214">
      <c r="A214">
        <f>IF('Job Cards'!$A$14="","",'Job Cards'!$A$14)</f>
        <v/>
      </c>
      <c r="B214">
        <f>IF(A214="","",'Job Cards'!$B$14)</f>
        <v/>
      </c>
      <c r="C214">
        <f>IF(A214="","",'Job Cards'!$D$14)</f>
        <v/>
      </c>
      <c r="D214">
        <f>IF(A214="","",'BOM Mapping'!$A$14)</f>
        <v/>
      </c>
      <c r="E214">
        <f>IF(C214="Longitude",'BOM Mapping'!$C$14,IF(C214="Latitude",'BOM Mapping'!$D$14,IF(C214="Altitude",'BOM Mapping'!$E$14,"")))</f>
        <v/>
      </c>
      <c r="F214">
        <f>IF(C214="Longitude",'BOM Mapping'!$J$14,IF(C214="Latitude",'BOM Mapping'!$K$14,IF(C214="Altitude",'BOM Mapping'!$L$14,0)))</f>
        <v/>
      </c>
      <c r="G214">
        <f>IF(A214="","",'Job Cards'!$E$14)</f>
        <v/>
      </c>
      <c r="H214">
        <f>IF(E214="","",F214*G214)</f>
        <v/>
      </c>
      <c r="I214">
        <f>IF(E214="","",IFERROR(VLOOKUP(E214,'Master Inventory'!$A:$N,10,FALSE),0))</f>
        <v/>
      </c>
      <c r="J214">
        <f>IF(E214="","",SUMIFS(Reservations!$G:$G,Reservations!$D:$D,A214,Reservations!$E:$E,E214,Reservations!$H:$H,"Active"))</f>
        <v/>
      </c>
      <c r="K214">
        <f>IF(E214="","",MAX(0,H214-I214-J214))</f>
        <v/>
      </c>
      <c r="L214">
        <f>IF(E214="","",IF(K214&gt;0,"SHORTAGE",IF(J214&gt;=H214,"RESERVED","READY TO RESERVE")))</f>
        <v/>
      </c>
    </row>
    <row r="215">
      <c r="A215">
        <f>IF('Job Cards'!$A$14="","",'Job Cards'!$A$14)</f>
        <v/>
      </c>
      <c r="B215">
        <f>IF(A215="","",'Job Cards'!$B$14)</f>
        <v/>
      </c>
      <c r="C215">
        <f>IF(A215="","",'Job Cards'!$D$14)</f>
        <v/>
      </c>
      <c r="D215">
        <f>IF(A215="","",'BOM Mapping'!$A$15)</f>
        <v/>
      </c>
      <c r="E215">
        <f>IF(C215="Longitude",'BOM Mapping'!$C$15,IF(C215="Latitude",'BOM Mapping'!$D$15,IF(C215="Altitude",'BOM Mapping'!$E$15,"")))</f>
        <v/>
      </c>
      <c r="F215">
        <f>IF(C215="Longitude",'BOM Mapping'!$J$15,IF(C215="Latitude",'BOM Mapping'!$K$15,IF(C215="Altitude",'BOM Mapping'!$L$15,0)))</f>
        <v/>
      </c>
      <c r="G215">
        <f>IF(A215="","",'Job Cards'!$E$14)</f>
        <v/>
      </c>
      <c r="H215">
        <f>IF(E215="","",F215*G215)</f>
        <v/>
      </c>
      <c r="I215">
        <f>IF(E215="","",IFERROR(VLOOKUP(E215,'Master Inventory'!$A:$N,10,FALSE),0))</f>
        <v/>
      </c>
      <c r="J215">
        <f>IF(E215="","",SUMIFS(Reservations!$G:$G,Reservations!$D:$D,A215,Reservations!$E:$E,E215,Reservations!$H:$H,"Active"))</f>
        <v/>
      </c>
      <c r="K215">
        <f>IF(E215="","",MAX(0,H215-I215-J215))</f>
        <v/>
      </c>
      <c r="L215">
        <f>IF(E215="","",IF(K215&gt;0,"SHORTAGE",IF(J215&gt;=H215,"RESERVED","READY TO RESERVE")))</f>
        <v/>
      </c>
    </row>
    <row r="216">
      <c r="A216">
        <f>IF('Job Cards'!$A$14="","",'Job Cards'!$A$14)</f>
        <v/>
      </c>
      <c r="B216">
        <f>IF(A216="","",'Job Cards'!$B$14)</f>
        <v/>
      </c>
      <c r="C216">
        <f>IF(A216="","",'Job Cards'!$D$14)</f>
        <v/>
      </c>
      <c r="D216">
        <f>IF(A216="","",'BOM Mapping'!$A$16)</f>
        <v/>
      </c>
      <c r="E216">
        <f>IF(C216="Longitude",'BOM Mapping'!$C$16,IF(C216="Latitude",'BOM Mapping'!$D$16,IF(C216="Altitude",'BOM Mapping'!$E$16,"")))</f>
        <v/>
      </c>
      <c r="F216">
        <f>IF(C216="Longitude",'BOM Mapping'!$J$16,IF(C216="Latitude",'BOM Mapping'!$K$16,IF(C216="Altitude",'BOM Mapping'!$L$16,0)))</f>
        <v/>
      </c>
      <c r="G216">
        <f>IF(A216="","",'Job Cards'!$E$14)</f>
        <v/>
      </c>
      <c r="H216">
        <f>IF(E216="","",F216*G216)</f>
        <v/>
      </c>
      <c r="I216">
        <f>IF(E216="","",IFERROR(VLOOKUP(E216,'Master Inventory'!$A:$N,10,FALSE),0))</f>
        <v/>
      </c>
      <c r="J216">
        <f>IF(E216="","",SUMIFS(Reservations!$G:$G,Reservations!$D:$D,A216,Reservations!$E:$E,E216,Reservations!$H:$H,"Active"))</f>
        <v/>
      </c>
      <c r="K216">
        <f>IF(E216="","",MAX(0,H216-I216-J216))</f>
        <v/>
      </c>
      <c r="L216">
        <f>IF(E216="","",IF(K216&gt;0,"SHORTAGE",IF(J216&gt;=H216,"RESERVED","READY TO RESERVE")))</f>
        <v/>
      </c>
    </row>
    <row r="217">
      <c r="A217">
        <f>IF('Job Cards'!$A$14="","",'Job Cards'!$A$14)</f>
        <v/>
      </c>
      <c r="B217">
        <f>IF(A217="","",'Job Cards'!$B$14)</f>
        <v/>
      </c>
      <c r="C217">
        <f>IF(A217="","",'Job Cards'!$D$14)</f>
        <v/>
      </c>
      <c r="D217">
        <f>IF(A217="","",'BOM Mapping'!$A$17)</f>
        <v/>
      </c>
      <c r="E217">
        <f>IF(C217="Longitude",'BOM Mapping'!$C$17,IF(C217="Latitude",'BOM Mapping'!$D$17,IF(C217="Altitude",'BOM Mapping'!$E$17,"")))</f>
        <v/>
      </c>
      <c r="F217">
        <f>IF(C217="Longitude",'BOM Mapping'!$J$17,IF(C217="Latitude",'BOM Mapping'!$K$17,IF(C217="Altitude",'BOM Mapping'!$L$17,0)))</f>
        <v/>
      </c>
      <c r="G217">
        <f>IF(A217="","",'Job Cards'!$E$14)</f>
        <v/>
      </c>
      <c r="H217">
        <f>IF(E217="","",F217*G217)</f>
        <v/>
      </c>
      <c r="I217">
        <f>IF(E217="","",IFERROR(VLOOKUP(E217,'Master Inventory'!$A:$N,10,FALSE),0))</f>
        <v/>
      </c>
      <c r="J217">
        <f>IF(E217="","",SUMIFS(Reservations!$G:$G,Reservations!$D:$D,A217,Reservations!$E:$E,E217,Reservations!$H:$H,"Active"))</f>
        <v/>
      </c>
      <c r="K217">
        <f>IF(E217="","",MAX(0,H217-I217-J217))</f>
        <v/>
      </c>
      <c r="L217">
        <f>IF(E217="","",IF(K217&gt;0,"SHORTAGE",IF(J217&gt;=H217,"RESERVED","READY TO RESERVE")))</f>
        <v/>
      </c>
    </row>
    <row r="218">
      <c r="A218">
        <f>IF('Job Cards'!$A$14="","",'Job Cards'!$A$14)</f>
        <v/>
      </c>
      <c r="B218">
        <f>IF(A218="","",'Job Cards'!$B$14)</f>
        <v/>
      </c>
      <c r="C218">
        <f>IF(A218="","",'Job Cards'!$D$14)</f>
        <v/>
      </c>
      <c r="D218">
        <f>IF(A218="","",'BOM Mapping'!$A$18)</f>
        <v/>
      </c>
      <c r="E218">
        <f>IF(C218="Longitude",'BOM Mapping'!$C$18,IF(C218="Latitude",'BOM Mapping'!$D$18,IF(C218="Altitude",'BOM Mapping'!$E$18,"")))</f>
        <v/>
      </c>
      <c r="F218">
        <f>IF(C218="Longitude",'BOM Mapping'!$J$18,IF(C218="Latitude",'BOM Mapping'!$K$18,IF(C218="Altitude",'BOM Mapping'!$L$18,0)))</f>
        <v/>
      </c>
      <c r="G218">
        <f>IF(A218="","",'Job Cards'!$E$14)</f>
        <v/>
      </c>
      <c r="H218">
        <f>IF(E218="","",F218*G218)</f>
        <v/>
      </c>
      <c r="I218">
        <f>IF(E218="","",IFERROR(VLOOKUP(E218,'Master Inventory'!$A:$N,10,FALSE),0))</f>
        <v/>
      </c>
      <c r="J218">
        <f>IF(E218="","",SUMIFS(Reservations!$G:$G,Reservations!$D:$D,A218,Reservations!$E:$E,E218,Reservations!$H:$H,"Active"))</f>
        <v/>
      </c>
      <c r="K218">
        <f>IF(E218="","",MAX(0,H218-I218-J218))</f>
        <v/>
      </c>
      <c r="L218">
        <f>IF(E218="","",IF(K218&gt;0,"SHORTAGE",IF(J218&gt;=H218,"RESERVED","READY TO RESERVE")))</f>
        <v/>
      </c>
    </row>
    <row r="219">
      <c r="A219">
        <f>IF('Job Cards'!$A$14="","",'Job Cards'!$A$14)</f>
        <v/>
      </c>
      <c r="B219">
        <f>IF(A219="","",'Job Cards'!$B$14)</f>
        <v/>
      </c>
      <c r="C219">
        <f>IF(A219="","",'Job Cards'!$D$14)</f>
        <v/>
      </c>
      <c r="D219">
        <f>IF(A219="","",'BOM Mapping'!$A$19)</f>
        <v/>
      </c>
      <c r="E219">
        <f>IF(C219="Longitude",'BOM Mapping'!$C$19,IF(C219="Latitude",'BOM Mapping'!$D$19,IF(C219="Altitude",'BOM Mapping'!$E$19,"")))</f>
        <v/>
      </c>
      <c r="F219">
        <f>IF(C219="Longitude",'BOM Mapping'!$J$19,IF(C219="Latitude",'BOM Mapping'!$K$19,IF(C219="Altitude",'BOM Mapping'!$L$19,0)))</f>
        <v/>
      </c>
      <c r="G219">
        <f>IF(A219="","",'Job Cards'!$E$14)</f>
        <v/>
      </c>
      <c r="H219">
        <f>IF(E219="","",F219*G219)</f>
        <v/>
      </c>
      <c r="I219">
        <f>IF(E219="","",IFERROR(VLOOKUP(E219,'Master Inventory'!$A:$N,10,FALSE),0))</f>
        <v/>
      </c>
      <c r="J219">
        <f>IF(E219="","",SUMIFS(Reservations!$G:$G,Reservations!$D:$D,A219,Reservations!$E:$E,E219,Reservations!$H:$H,"Active"))</f>
        <v/>
      </c>
      <c r="K219">
        <f>IF(E219="","",MAX(0,H219-I219-J219))</f>
        <v/>
      </c>
      <c r="L219">
        <f>IF(E219="","",IF(K219&gt;0,"SHORTAGE",IF(J219&gt;=H219,"RESERVED","READY TO RESERVE")))</f>
        <v/>
      </c>
    </row>
    <row r="220">
      <c r="A220">
        <f>IF('Job Cards'!$A$14="","",'Job Cards'!$A$14)</f>
        <v/>
      </c>
      <c r="B220">
        <f>IF(A220="","",'Job Cards'!$B$14)</f>
        <v/>
      </c>
      <c r="C220">
        <f>IF(A220="","",'Job Cards'!$D$14)</f>
        <v/>
      </c>
      <c r="D220">
        <f>IF(A220="","",'BOM Mapping'!$A$20)</f>
        <v/>
      </c>
      <c r="E220">
        <f>IF(C220="Longitude",'BOM Mapping'!$C$20,IF(C220="Latitude",'BOM Mapping'!$D$20,IF(C220="Altitude",'BOM Mapping'!$E$20,"")))</f>
        <v/>
      </c>
      <c r="F220">
        <f>IF(C220="Longitude",'BOM Mapping'!$J$20,IF(C220="Latitude",'BOM Mapping'!$K$20,IF(C220="Altitude",'BOM Mapping'!$L$20,0)))</f>
        <v/>
      </c>
      <c r="G220">
        <f>IF(A220="","",'Job Cards'!$E$14)</f>
        <v/>
      </c>
      <c r="H220">
        <f>IF(E220="","",F220*G220)</f>
        <v/>
      </c>
      <c r="I220">
        <f>IF(E220="","",IFERROR(VLOOKUP(E220,'Master Inventory'!$A:$N,10,FALSE),0))</f>
        <v/>
      </c>
      <c r="J220">
        <f>IF(E220="","",SUMIFS(Reservations!$G:$G,Reservations!$D:$D,A220,Reservations!$E:$E,E220,Reservations!$H:$H,"Active"))</f>
        <v/>
      </c>
      <c r="K220">
        <f>IF(E220="","",MAX(0,H220-I220-J220))</f>
        <v/>
      </c>
      <c r="L220">
        <f>IF(E220="","",IF(K220&gt;0,"SHORTAGE",IF(J220&gt;=H220,"RESERVED","READY TO RESERVE")))</f>
        <v/>
      </c>
    </row>
    <row r="221">
      <c r="A221">
        <f>IF('Job Cards'!$A$14="","",'Job Cards'!$A$14)</f>
        <v/>
      </c>
      <c r="B221">
        <f>IF(A221="","",'Job Cards'!$B$14)</f>
        <v/>
      </c>
      <c r="C221">
        <f>IF(A221="","",'Job Cards'!$D$14)</f>
        <v/>
      </c>
      <c r="D221">
        <f>IF(A221="","",'BOM Mapping'!$A$21)</f>
        <v/>
      </c>
      <c r="E221">
        <f>IF(C221="Longitude",'BOM Mapping'!$C$21,IF(C221="Latitude",'BOM Mapping'!$D$21,IF(C221="Altitude",'BOM Mapping'!$E$21,"")))</f>
        <v/>
      </c>
      <c r="F221">
        <f>IF(C221="Longitude",'BOM Mapping'!$J$21,IF(C221="Latitude",'BOM Mapping'!$K$21,IF(C221="Altitude",'BOM Mapping'!$L$21,0)))</f>
        <v/>
      </c>
      <c r="G221">
        <f>IF(A221="","",'Job Cards'!$E$14)</f>
        <v/>
      </c>
      <c r="H221">
        <f>IF(E221="","",F221*G221)</f>
        <v/>
      </c>
      <c r="I221">
        <f>IF(E221="","",IFERROR(VLOOKUP(E221,'Master Inventory'!$A:$N,10,FALSE),0))</f>
        <v/>
      </c>
      <c r="J221">
        <f>IF(E221="","",SUMIFS(Reservations!$G:$G,Reservations!$D:$D,A221,Reservations!$E:$E,E221,Reservations!$H:$H,"Active"))</f>
        <v/>
      </c>
      <c r="K221">
        <f>IF(E221="","",MAX(0,H221-I221-J221))</f>
        <v/>
      </c>
      <c r="L221">
        <f>IF(E221="","",IF(K221&gt;0,"SHORTAGE",IF(J221&gt;=H221,"RESERVED","READY TO RESERVE")))</f>
        <v/>
      </c>
    </row>
    <row r="222">
      <c r="A222">
        <f>IF('Job Cards'!$A$14="","",'Job Cards'!$A$14)</f>
        <v/>
      </c>
      <c r="B222">
        <f>IF(A222="","",'Job Cards'!$B$14)</f>
        <v/>
      </c>
      <c r="C222">
        <f>IF(A222="","",'Job Cards'!$D$14)</f>
        <v/>
      </c>
      <c r="D222">
        <f>IF(A222="","",'BOM Mapping'!$A$22)</f>
        <v/>
      </c>
      <c r="E222">
        <f>IF(C222="Longitude",'BOM Mapping'!$C$22,IF(C222="Latitude",'BOM Mapping'!$D$22,IF(C222="Altitude",'BOM Mapping'!$E$22,"")))</f>
        <v/>
      </c>
      <c r="F222">
        <f>IF(C222="Longitude",'BOM Mapping'!$J$22,IF(C222="Latitude",'BOM Mapping'!$K$22,IF(C222="Altitude",'BOM Mapping'!$L$22,0)))</f>
        <v/>
      </c>
      <c r="G222">
        <f>IF(A222="","",'Job Cards'!$E$14)</f>
        <v/>
      </c>
      <c r="H222">
        <f>IF(E222="","",F222*G222)</f>
        <v/>
      </c>
      <c r="I222">
        <f>IF(E222="","",IFERROR(VLOOKUP(E222,'Master Inventory'!$A:$N,10,FALSE),0))</f>
        <v/>
      </c>
      <c r="J222">
        <f>IF(E222="","",SUMIFS(Reservations!$G:$G,Reservations!$D:$D,A222,Reservations!$E:$E,E222,Reservations!$H:$H,"Active"))</f>
        <v/>
      </c>
      <c r="K222">
        <f>IF(E222="","",MAX(0,H222-I222-J222))</f>
        <v/>
      </c>
      <c r="L222">
        <f>IF(E222="","",IF(K222&gt;0,"SHORTAGE",IF(J222&gt;=H222,"RESERVED","READY TO RESERVE")))</f>
        <v/>
      </c>
    </row>
    <row r="223">
      <c r="A223">
        <f>IF('Job Cards'!$A$14="","",'Job Cards'!$A$14)</f>
        <v/>
      </c>
      <c r="B223">
        <f>IF(A223="","",'Job Cards'!$B$14)</f>
        <v/>
      </c>
      <c r="C223">
        <f>IF(A223="","",'Job Cards'!$D$14)</f>
        <v/>
      </c>
      <c r="D223">
        <f>IF(A223="","",'BOM Mapping'!$A$23)</f>
        <v/>
      </c>
      <c r="E223">
        <f>IF(C223="Longitude",'BOM Mapping'!$C$23,IF(C223="Latitude",'BOM Mapping'!$D$23,IF(C223="Altitude",'BOM Mapping'!$E$23,"")))</f>
        <v/>
      </c>
      <c r="F223">
        <f>IF(C223="Longitude",'BOM Mapping'!$J$23,IF(C223="Latitude",'BOM Mapping'!$K$23,IF(C223="Altitude",'BOM Mapping'!$L$23,0)))</f>
        <v/>
      </c>
      <c r="G223">
        <f>IF(A223="","",'Job Cards'!$E$14)</f>
        <v/>
      </c>
      <c r="H223">
        <f>IF(E223="","",F223*G223)</f>
        <v/>
      </c>
      <c r="I223">
        <f>IF(E223="","",IFERROR(VLOOKUP(E223,'Master Inventory'!$A:$N,10,FALSE),0))</f>
        <v/>
      </c>
      <c r="J223">
        <f>IF(E223="","",SUMIFS(Reservations!$G:$G,Reservations!$D:$D,A223,Reservations!$E:$E,E223,Reservations!$H:$H,"Active"))</f>
        <v/>
      </c>
      <c r="K223">
        <f>IF(E223="","",MAX(0,H223-I223-J223))</f>
        <v/>
      </c>
      <c r="L223">
        <f>IF(E223="","",IF(K223&gt;0,"SHORTAGE",IF(J223&gt;=H223,"RESERVED","READY TO RESERVE")))</f>
        <v/>
      </c>
    </row>
    <row r="224">
      <c r="A224">
        <f>IF('Job Cards'!$A$15="","",'Job Cards'!$A$15)</f>
        <v/>
      </c>
      <c r="B224">
        <f>IF(A224="","",'Job Cards'!$B$15)</f>
        <v/>
      </c>
      <c r="C224">
        <f>IF(A224="","",'Job Cards'!$D$15)</f>
        <v/>
      </c>
      <c r="D224">
        <f>IF(A224="","",'BOM Mapping'!$A$4)</f>
        <v/>
      </c>
      <c r="E224">
        <f>IF(C224="Longitude",'BOM Mapping'!$C$4,IF(C224="Latitude",'BOM Mapping'!$D$4,IF(C224="Altitude",'BOM Mapping'!$E$4,"")))</f>
        <v/>
      </c>
      <c r="F224">
        <f>IF(C224="Longitude",'BOM Mapping'!$J$4,IF(C224="Latitude",'BOM Mapping'!$K$4,IF(C224="Altitude",'BOM Mapping'!$L$4,0)))</f>
        <v/>
      </c>
      <c r="G224">
        <f>IF(A224="","",'Job Cards'!$E$15)</f>
        <v/>
      </c>
      <c r="H224">
        <f>IF(E224="","",F224*G224)</f>
        <v/>
      </c>
      <c r="I224">
        <f>IF(E224="","",IFERROR(VLOOKUP(E224,'Master Inventory'!$A:$N,10,FALSE),0))</f>
        <v/>
      </c>
      <c r="J224">
        <f>IF(E224="","",SUMIFS(Reservations!$G:$G,Reservations!$D:$D,A224,Reservations!$E:$E,E224,Reservations!$H:$H,"Active"))</f>
        <v/>
      </c>
      <c r="K224">
        <f>IF(E224="","",MAX(0,H224-I224-J224))</f>
        <v/>
      </c>
      <c r="L224">
        <f>IF(E224="","",IF(K224&gt;0,"SHORTAGE",IF(J224&gt;=H224,"RESERVED","READY TO RESERVE")))</f>
        <v/>
      </c>
    </row>
    <row r="225">
      <c r="A225">
        <f>IF('Job Cards'!$A$15="","",'Job Cards'!$A$15)</f>
        <v/>
      </c>
      <c r="B225">
        <f>IF(A225="","",'Job Cards'!$B$15)</f>
        <v/>
      </c>
      <c r="C225">
        <f>IF(A225="","",'Job Cards'!$D$15)</f>
        <v/>
      </c>
      <c r="D225">
        <f>IF(A225="","",'BOM Mapping'!$A$5)</f>
        <v/>
      </c>
      <c r="E225">
        <f>IF(C225="Longitude",'BOM Mapping'!$C$5,IF(C225="Latitude",'BOM Mapping'!$D$5,IF(C225="Altitude",'BOM Mapping'!$E$5,"")))</f>
        <v/>
      </c>
      <c r="F225">
        <f>IF(C225="Longitude",'BOM Mapping'!$J$5,IF(C225="Latitude",'BOM Mapping'!$K$5,IF(C225="Altitude",'BOM Mapping'!$L$5,0)))</f>
        <v/>
      </c>
      <c r="G225">
        <f>IF(A225="","",'Job Cards'!$E$15)</f>
        <v/>
      </c>
      <c r="H225">
        <f>IF(E225="","",F225*G225)</f>
        <v/>
      </c>
      <c r="I225">
        <f>IF(E225="","",IFERROR(VLOOKUP(E225,'Master Inventory'!$A:$N,10,FALSE),0))</f>
        <v/>
      </c>
      <c r="J225">
        <f>IF(E225="","",SUMIFS(Reservations!$G:$G,Reservations!$D:$D,A225,Reservations!$E:$E,E225,Reservations!$H:$H,"Active"))</f>
        <v/>
      </c>
      <c r="K225">
        <f>IF(E225="","",MAX(0,H225-I225-J225))</f>
        <v/>
      </c>
      <c r="L225">
        <f>IF(E225="","",IF(K225&gt;0,"SHORTAGE",IF(J225&gt;=H225,"RESERVED","READY TO RESERVE")))</f>
        <v/>
      </c>
    </row>
    <row r="226">
      <c r="A226">
        <f>IF('Job Cards'!$A$15="","",'Job Cards'!$A$15)</f>
        <v/>
      </c>
      <c r="B226">
        <f>IF(A226="","",'Job Cards'!$B$15)</f>
        <v/>
      </c>
      <c r="C226">
        <f>IF(A226="","",'Job Cards'!$D$15)</f>
        <v/>
      </c>
      <c r="D226">
        <f>IF(A226="","",'BOM Mapping'!$A$6)</f>
        <v/>
      </c>
      <c r="E226">
        <f>IF(C226="Longitude",'BOM Mapping'!$C$6,IF(C226="Latitude",'BOM Mapping'!$D$6,IF(C226="Altitude",'BOM Mapping'!$E$6,"")))</f>
        <v/>
      </c>
      <c r="F226">
        <f>IF(C226="Longitude",'BOM Mapping'!$J$6,IF(C226="Latitude",'BOM Mapping'!$K$6,IF(C226="Altitude",'BOM Mapping'!$L$6,0)))</f>
        <v/>
      </c>
      <c r="G226">
        <f>IF(A226="","",'Job Cards'!$E$15)</f>
        <v/>
      </c>
      <c r="H226">
        <f>IF(E226="","",F226*G226)</f>
        <v/>
      </c>
      <c r="I226">
        <f>IF(E226="","",IFERROR(VLOOKUP(E226,'Master Inventory'!$A:$N,10,FALSE),0))</f>
        <v/>
      </c>
      <c r="J226">
        <f>IF(E226="","",SUMIFS(Reservations!$G:$G,Reservations!$D:$D,A226,Reservations!$E:$E,E226,Reservations!$H:$H,"Active"))</f>
        <v/>
      </c>
      <c r="K226">
        <f>IF(E226="","",MAX(0,H226-I226-J226))</f>
        <v/>
      </c>
      <c r="L226">
        <f>IF(E226="","",IF(K226&gt;0,"SHORTAGE",IF(J226&gt;=H226,"RESERVED","READY TO RESERVE")))</f>
        <v/>
      </c>
    </row>
    <row r="227">
      <c r="A227">
        <f>IF('Job Cards'!$A$15="","",'Job Cards'!$A$15)</f>
        <v/>
      </c>
      <c r="B227">
        <f>IF(A227="","",'Job Cards'!$B$15)</f>
        <v/>
      </c>
      <c r="C227">
        <f>IF(A227="","",'Job Cards'!$D$15)</f>
        <v/>
      </c>
      <c r="D227">
        <f>IF(A227="","",'BOM Mapping'!$A$7)</f>
        <v/>
      </c>
      <c r="E227">
        <f>IF(C227="Longitude",'BOM Mapping'!$C$7,IF(C227="Latitude",'BOM Mapping'!$D$7,IF(C227="Altitude",'BOM Mapping'!$E$7,"")))</f>
        <v/>
      </c>
      <c r="F227">
        <f>IF(C227="Longitude",'BOM Mapping'!$J$7,IF(C227="Latitude",'BOM Mapping'!$K$7,IF(C227="Altitude",'BOM Mapping'!$L$7,0)))</f>
        <v/>
      </c>
      <c r="G227">
        <f>IF(A227="","",'Job Cards'!$E$15)</f>
        <v/>
      </c>
      <c r="H227">
        <f>IF(E227="","",F227*G227)</f>
        <v/>
      </c>
      <c r="I227">
        <f>IF(E227="","",IFERROR(VLOOKUP(E227,'Master Inventory'!$A:$N,10,FALSE),0))</f>
        <v/>
      </c>
      <c r="J227">
        <f>IF(E227="","",SUMIFS(Reservations!$G:$G,Reservations!$D:$D,A227,Reservations!$E:$E,E227,Reservations!$H:$H,"Active"))</f>
        <v/>
      </c>
      <c r="K227">
        <f>IF(E227="","",MAX(0,H227-I227-J227))</f>
        <v/>
      </c>
      <c r="L227">
        <f>IF(E227="","",IF(K227&gt;0,"SHORTAGE",IF(J227&gt;=H227,"RESERVED","READY TO RESERVE")))</f>
        <v/>
      </c>
    </row>
    <row r="228">
      <c r="A228">
        <f>IF('Job Cards'!$A$15="","",'Job Cards'!$A$15)</f>
        <v/>
      </c>
      <c r="B228">
        <f>IF(A228="","",'Job Cards'!$B$15)</f>
        <v/>
      </c>
      <c r="C228">
        <f>IF(A228="","",'Job Cards'!$D$15)</f>
        <v/>
      </c>
      <c r="D228">
        <f>IF(A228="","",'BOM Mapping'!$A$8)</f>
        <v/>
      </c>
      <c r="E228">
        <f>IF(C228="Longitude",'BOM Mapping'!$C$8,IF(C228="Latitude",'BOM Mapping'!$D$8,IF(C228="Altitude",'BOM Mapping'!$E$8,"")))</f>
        <v/>
      </c>
      <c r="F228">
        <f>IF(C228="Longitude",'BOM Mapping'!$J$8,IF(C228="Latitude",'BOM Mapping'!$K$8,IF(C228="Altitude",'BOM Mapping'!$L$8,0)))</f>
        <v/>
      </c>
      <c r="G228">
        <f>IF(A228="","",'Job Cards'!$E$15)</f>
        <v/>
      </c>
      <c r="H228">
        <f>IF(E228="","",F228*G228)</f>
        <v/>
      </c>
      <c r="I228">
        <f>IF(E228="","",IFERROR(VLOOKUP(E228,'Master Inventory'!$A:$N,10,FALSE),0))</f>
        <v/>
      </c>
      <c r="J228">
        <f>IF(E228="","",SUMIFS(Reservations!$G:$G,Reservations!$D:$D,A228,Reservations!$E:$E,E228,Reservations!$H:$H,"Active"))</f>
        <v/>
      </c>
      <c r="K228">
        <f>IF(E228="","",MAX(0,H228-I228-J228))</f>
        <v/>
      </c>
      <c r="L228">
        <f>IF(E228="","",IF(K228&gt;0,"SHORTAGE",IF(J228&gt;=H228,"RESERVED","READY TO RESERVE")))</f>
        <v/>
      </c>
    </row>
    <row r="229">
      <c r="A229">
        <f>IF('Job Cards'!$A$15="","",'Job Cards'!$A$15)</f>
        <v/>
      </c>
      <c r="B229">
        <f>IF(A229="","",'Job Cards'!$B$15)</f>
        <v/>
      </c>
      <c r="C229">
        <f>IF(A229="","",'Job Cards'!$D$15)</f>
        <v/>
      </c>
      <c r="D229">
        <f>IF(A229="","",'BOM Mapping'!$A$9)</f>
        <v/>
      </c>
      <c r="E229">
        <f>IF(C229="Longitude",'BOM Mapping'!$C$9,IF(C229="Latitude",'BOM Mapping'!$D$9,IF(C229="Altitude",'BOM Mapping'!$E$9,"")))</f>
        <v/>
      </c>
      <c r="F229">
        <f>IF(C229="Longitude",'BOM Mapping'!$J$9,IF(C229="Latitude",'BOM Mapping'!$K$9,IF(C229="Altitude",'BOM Mapping'!$L$9,0)))</f>
        <v/>
      </c>
      <c r="G229">
        <f>IF(A229="","",'Job Cards'!$E$15)</f>
        <v/>
      </c>
      <c r="H229">
        <f>IF(E229="","",F229*G229)</f>
        <v/>
      </c>
      <c r="I229">
        <f>IF(E229="","",IFERROR(VLOOKUP(E229,'Master Inventory'!$A:$N,10,FALSE),0))</f>
        <v/>
      </c>
      <c r="J229">
        <f>IF(E229="","",SUMIFS(Reservations!$G:$G,Reservations!$D:$D,A229,Reservations!$E:$E,E229,Reservations!$H:$H,"Active"))</f>
        <v/>
      </c>
      <c r="K229">
        <f>IF(E229="","",MAX(0,H229-I229-J229))</f>
        <v/>
      </c>
      <c r="L229">
        <f>IF(E229="","",IF(K229&gt;0,"SHORTAGE",IF(J229&gt;=H229,"RESERVED","READY TO RESERVE")))</f>
        <v/>
      </c>
    </row>
    <row r="230">
      <c r="A230">
        <f>IF('Job Cards'!$A$15="","",'Job Cards'!$A$15)</f>
        <v/>
      </c>
      <c r="B230">
        <f>IF(A230="","",'Job Cards'!$B$15)</f>
        <v/>
      </c>
      <c r="C230">
        <f>IF(A230="","",'Job Cards'!$D$15)</f>
        <v/>
      </c>
      <c r="D230">
        <f>IF(A230="","",'BOM Mapping'!$A$10)</f>
        <v/>
      </c>
      <c r="E230">
        <f>IF(C230="Longitude",'BOM Mapping'!$C$10,IF(C230="Latitude",'BOM Mapping'!$D$10,IF(C230="Altitude",'BOM Mapping'!$E$10,"")))</f>
        <v/>
      </c>
      <c r="F230">
        <f>IF(C230="Longitude",'BOM Mapping'!$J$10,IF(C230="Latitude",'BOM Mapping'!$K$10,IF(C230="Altitude",'BOM Mapping'!$L$10,0)))</f>
        <v/>
      </c>
      <c r="G230">
        <f>IF(A230="","",'Job Cards'!$E$15)</f>
        <v/>
      </c>
      <c r="H230">
        <f>IF(E230="","",F230*G230)</f>
        <v/>
      </c>
      <c r="I230">
        <f>IF(E230="","",IFERROR(VLOOKUP(E230,'Master Inventory'!$A:$N,10,FALSE),0))</f>
        <v/>
      </c>
      <c r="J230">
        <f>IF(E230="","",SUMIFS(Reservations!$G:$G,Reservations!$D:$D,A230,Reservations!$E:$E,E230,Reservations!$H:$H,"Active"))</f>
        <v/>
      </c>
      <c r="K230">
        <f>IF(E230="","",MAX(0,H230-I230-J230))</f>
        <v/>
      </c>
      <c r="L230">
        <f>IF(E230="","",IF(K230&gt;0,"SHORTAGE",IF(J230&gt;=H230,"RESERVED","READY TO RESERVE")))</f>
        <v/>
      </c>
    </row>
    <row r="231">
      <c r="A231">
        <f>IF('Job Cards'!$A$15="","",'Job Cards'!$A$15)</f>
        <v/>
      </c>
      <c r="B231">
        <f>IF(A231="","",'Job Cards'!$B$15)</f>
        <v/>
      </c>
      <c r="C231">
        <f>IF(A231="","",'Job Cards'!$D$15)</f>
        <v/>
      </c>
      <c r="D231">
        <f>IF(A231="","",'BOM Mapping'!$A$11)</f>
        <v/>
      </c>
      <c r="E231">
        <f>IF(C231="Longitude",'BOM Mapping'!$C$11,IF(C231="Latitude",'BOM Mapping'!$D$11,IF(C231="Altitude",'BOM Mapping'!$E$11,"")))</f>
        <v/>
      </c>
      <c r="F231">
        <f>IF(C231="Longitude",'BOM Mapping'!$J$11,IF(C231="Latitude",'BOM Mapping'!$K$11,IF(C231="Altitude",'BOM Mapping'!$L$11,0)))</f>
        <v/>
      </c>
      <c r="G231">
        <f>IF(A231="","",'Job Cards'!$E$15)</f>
        <v/>
      </c>
      <c r="H231">
        <f>IF(E231="","",F231*G231)</f>
        <v/>
      </c>
      <c r="I231">
        <f>IF(E231="","",IFERROR(VLOOKUP(E231,'Master Inventory'!$A:$N,10,FALSE),0))</f>
        <v/>
      </c>
      <c r="J231">
        <f>IF(E231="","",SUMIFS(Reservations!$G:$G,Reservations!$D:$D,A231,Reservations!$E:$E,E231,Reservations!$H:$H,"Active"))</f>
        <v/>
      </c>
      <c r="K231">
        <f>IF(E231="","",MAX(0,H231-I231-J231))</f>
        <v/>
      </c>
      <c r="L231">
        <f>IF(E231="","",IF(K231&gt;0,"SHORTAGE",IF(J231&gt;=H231,"RESERVED","READY TO RESERVE")))</f>
        <v/>
      </c>
    </row>
    <row r="232">
      <c r="A232">
        <f>IF('Job Cards'!$A$15="","",'Job Cards'!$A$15)</f>
        <v/>
      </c>
      <c r="B232">
        <f>IF(A232="","",'Job Cards'!$B$15)</f>
        <v/>
      </c>
      <c r="C232">
        <f>IF(A232="","",'Job Cards'!$D$15)</f>
        <v/>
      </c>
      <c r="D232">
        <f>IF(A232="","",'BOM Mapping'!$A$12)</f>
        <v/>
      </c>
      <c r="E232">
        <f>IF(C232="Longitude",'BOM Mapping'!$C$12,IF(C232="Latitude",'BOM Mapping'!$D$12,IF(C232="Altitude",'BOM Mapping'!$E$12,"")))</f>
        <v/>
      </c>
      <c r="F232">
        <f>IF(C232="Longitude",'BOM Mapping'!$J$12,IF(C232="Latitude",'BOM Mapping'!$K$12,IF(C232="Altitude",'BOM Mapping'!$L$12,0)))</f>
        <v/>
      </c>
      <c r="G232">
        <f>IF(A232="","",'Job Cards'!$E$15)</f>
        <v/>
      </c>
      <c r="H232">
        <f>IF(E232="","",F232*G232)</f>
        <v/>
      </c>
      <c r="I232">
        <f>IF(E232="","",IFERROR(VLOOKUP(E232,'Master Inventory'!$A:$N,10,FALSE),0))</f>
        <v/>
      </c>
      <c r="J232">
        <f>IF(E232="","",SUMIFS(Reservations!$G:$G,Reservations!$D:$D,A232,Reservations!$E:$E,E232,Reservations!$H:$H,"Active"))</f>
        <v/>
      </c>
      <c r="K232">
        <f>IF(E232="","",MAX(0,H232-I232-J232))</f>
        <v/>
      </c>
      <c r="L232">
        <f>IF(E232="","",IF(K232&gt;0,"SHORTAGE",IF(J232&gt;=H232,"RESERVED","READY TO RESERVE")))</f>
        <v/>
      </c>
    </row>
    <row r="233">
      <c r="A233">
        <f>IF('Job Cards'!$A$15="","",'Job Cards'!$A$15)</f>
        <v/>
      </c>
      <c r="B233">
        <f>IF(A233="","",'Job Cards'!$B$15)</f>
        <v/>
      </c>
      <c r="C233">
        <f>IF(A233="","",'Job Cards'!$D$15)</f>
        <v/>
      </c>
      <c r="D233">
        <f>IF(A233="","",'BOM Mapping'!$A$13)</f>
        <v/>
      </c>
      <c r="E233">
        <f>IF(C233="Longitude",'BOM Mapping'!$C$13,IF(C233="Latitude",'BOM Mapping'!$D$13,IF(C233="Altitude",'BOM Mapping'!$E$13,"")))</f>
        <v/>
      </c>
      <c r="F233">
        <f>IF(C233="Longitude",'BOM Mapping'!$J$13,IF(C233="Latitude",'BOM Mapping'!$K$13,IF(C233="Altitude",'BOM Mapping'!$L$13,0)))</f>
        <v/>
      </c>
      <c r="G233">
        <f>IF(A233="","",'Job Cards'!$E$15)</f>
        <v/>
      </c>
      <c r="H233">
        <f>IF(E233="","",F233*G233)</f>
        <v/>
      </c>
      <c r="I233">
        <f>IF(E233="","",IFERROR(VLOOKUP(E233,'Master Inventory'!$A:$N,10,FALSE),0))</f>
        <v/>
      </c>
      <c r="J233">
        <f>IF(E233="","",SUMIFS(Reservations!$G:$G,Reservations!$D:$D,A233,Reservations!$E:$E,E233,Reservations!$H:$H,"Active"))</f>
        <v/>
      </c>
      <c r="K233">
        <f>IF(E233="","",MAX(0,H233-I233-J233))</f>
        <v/>
      </c>
      <c r="L233">
        <f>IF(E233="","",IF(K233&gt;0,"SHORTAGE",IF(J233&gt;=H233,"RESERVED","READY TO RESERVE")))</f>
        <v/>
      </c>
    </row>
    <row r="234">
      <c r="A234">
        <f>IF('Job Cards'!$A$15="","",'Job Cards'!$A$15)</f>
        <v/>
      </c>
      <c r="B234">
        <f>IF(A234="","",'Job Cards'!$B$15)</f>
        <v/>
      </c>
      <c r="C234">
        <f>IF(A234="","",'Job Cards'!$D$15)</f>
        <v/>
      </c>
      <c r="D234">
        <f>IF(A234="","",'BOM Mapping'!$A$14)</f>
        <v/>
      </c>
      <c r="E234">
        <f>IF(C234="Longitude",'BOM Mapping'!$C$14,IF(C234="Latitude",'BOM Mapping'!$D$14,IF(C234="Altitude",'BOM Mapping'!$E$14,"")))</f>
        <v/>
      </c>
      <c r="F234">
        <f>IF(C234="Longitude",'BOM Mapping'!$J$14,IF(C234="Latitude",'BOM Mapping'!$K$14,IF(C234="Altitude",'BOM Mapping'!$L$14,0)))</f>
        <v/>
      </c>
      <c r="G234">
        <f>IF(A234="","",'Job Cards'!$E$15)</f>
        <v/>
      </c>
      <c r="H234">
        <f>IF(E234="","",F234*G234)</f>
        <v/>
      </c>
      <c r="I234">
        <f>IF(E234="","",IFERROR(VLOOKUP(E234,'Master Inventory'!$A:$N,10,FALSE),0))</f>
        <v/>
      </c>
      <c r="J234">
        <f>IF(E234="","",SUMIFS(Reservations!$G:$G,Reservations!$D:$D,A234,Reservations!$E:$E,E234,Reservations!$H:$H,"Active"))</f>
        <v/>
      </c>
      <c r="K234">
        <f>IF(E234="","",MAX(0,H234-I234-J234))</f>
        <v/>
      </c>
      <c r="L234">
        <f>IF(E234="","",IF(K234&gt;0,"SHORTAGE",IF(J234&gt;=H234,"RESERVED","READY TO RESERVE")))</f>
        <v/>
      </c>
    </row>
    <row r="235">
      <c r="A235">
        <f>IF('Job Cards'!$A$15="","",'Job Cards'!$A$15)</f>
        <v/>
      </c>
      <c r="B235">
        <f>IF(A235="","",'Job Cards'!$B$15)</f>
        <v/>
      </c>
      <c r="C235">
        <f>IF(A235="","",'Job Cards'!$D$15)</f>
        <v/>
      </c>
      <c r="D235">
        <f>IF(A235="","",'BOM Mapping'!$A$15)</f>
        <v/>
      </c>
      <c r="E235">
        <f>IF(C235="Longitude",'BOM Mapping'!$C$15,IF(C235="Latitude",'BOM Mapping'!$D$15,IF(C235="Altitude",'BOM Mapping'!$E$15,"")))</f>
        <v/>
      </c>
      <c r="F235">
        <f>IF(C235="Longitude",'BOM Mapping'!$J$15,IF(C235="Latitude",'BOM Mapping'!$K$15,IF(C235="Altitude",'BOM Mapping'!$L$15,0)))</f>
        <v/>
      </c>
      <c r="G235">
        <f>IF(A235="","",'Job Cards'!$E$15)</f>
        <v/>
      </c>
      <c r="H235">
        <f>IF(E235="","",F235*G235)</f>
        <v/>
      </c>
      <c r="I235">
        <f>IF(E235="","",IFERROR(VLOOKUP(E235,'Master Inventory'!$A:$N,10,FALSE),0))</f>
        <v/>
      </c>
      <c r="J235">
        <f>IF(E235="","",SUMIFS(Reservations!$G:$G,Reservations!$D:$D,A235,Reservations!$E:$E,E235,Reservations!$H:$H,"Active"))</f>
        <v/>
      </c>
      <c r="K235">
        <f>IF(E235="","",MAX(0,H235-I235-J235))</f>
        <v/>
      </c>
      <c r="L235">
        <f>IF(E235="","",IF(K235&gt;0,"SHORTAGE",IF(J235&gt;=H235,"RESERVED","READY TO RESERVE")))</f>
        <v/>
      </c>
    </row>
    <row r="236">
      <c r="A236">
        <f>IF('Job Cards'!$A$15="","",'Job Cards'!$A$15)</f>
        <v/>
      </c>
      <c r="B236">
        <f>IF(A236="","",'Job Cards'!$B$15)</f>
        <v/>
      </c>
      <c r="C236">
        <f>IF(A236="","",'Job Cards'!$D$15)</f>
        <v/>
      </c>
      <c r="D236">
        <f>IF(A236="","",'BOM Mapping'!$A$16)</f>
        <v/>
      </c>
      <c r="E236">
        <f>IF(C236="Longitude",'BOM Mapping'!$C$16,IF(C236="Latitude",'BOM Mapping'!$D$16,IF(C236="Altitude",'BOM Mapping'!$E$16,"")))</f>
        <v/>
      </c>
      <c r="F236">
        <f>IF(C236="Longitude",'BOM Mapping'!$J$16,IF(C236="Latitude",'BOM Mapping'!$K$16,IF(C236="Altitude",'BOM Mapping'!$L$16,0)))</f>
        <v/>
      </c>
      <c r="G236">
        <f>IF(A236="","",'Job Cards'!$E$15)</f>
        <v/>
      </c>
      <c r="H236">
        <f>IF(E236="","",F236*G236)</f>
        <v/>
      </c>
      <c r="I236">
        <f>IF(E236="","",IFERROR(VLOOKUP(E236,'Master Inventory'!$A:$N,10,FALSE),0))</f>
        <v/>
      </c>
      <c r="J236">
        <f>IF(E236="","",SUMIFS(Reservations!$G:$G,Reservations!$D:$D,A236,Reservations!$E:$E,E236,Reservations!$H:$H,"Active"))</f>
        <v/>
      </c>
      <c r="K236">
        <f>IF(E236="","",MAX(0,H236-I236-J236))</f>
        <v/>
      </c>
      <c r="L236">
        <f>IF(E236="","",IF(K236&gt;0,"SHORTAGE",IF(J236&gt;=H236,"RESERVED","READY TO RESERVE")))</f>
        <v/>
      </c>
    </row>
    <row r="237">
      <c r="A237">
        <f>IF('Job Cards'!$A$15="","",'Job Cards'!$A$15)</f>
        <v/>
      </c>
      <c r="B237">
        <f>IF(A237="","",'Job Cards'!$B$15)</f>
        <v/>
      </c>
      <c r="C237">
        <f>IF(A237="","",'Job Cards'!$D$15)</f>
        <v/>
      </c>
      <c r="D237">
        <f>IF(A237="","",'BOM Mapping'!$A$17)</f>
        <v/>
      </c>
      <c r="E237">
        <f>IF(C237="Longitude",'BOM Mapping'!$C$17,IF(C237="Latitude",'BOM Mapping'!$D$17,IF(C237="Altitude",'BOM Mapping'!$E$17,"")))</f>
        <v/>
      </c>
      <c r="F237">
        <f>IF(C237="Longitude",'BOM Mapping'!$J$17,IF(C237="Latitude",'BOM Mapping'!$K$17,IF(C237="Altitude",'BOM Mapping'!$L$17,0)))</f>
        <v/>
      </c>
      <c r="G237">
        <f>IF(A237="","",'Job Cards'!$E$15)</f>
        <v/>
      </c>
      <c r="H237">
        <f>IF(E237="","",F237*G237)</f>
        <v/>
      </c>
      <c r="I237">
        <f>IF(E237="","",IFERROR(VLOOKUP(E237,'Master Inventory'!$A:$N,10,FALSE),0))</f>
        <v/>
      </c>
      <c r="J237">
        <f>IF(E237="","",SUMIFS(Reservations!$G:$G,Reservations!$D:$D,A237,Reservations!$E:$E,E237,Reservations!$H:$H,"Active"))</f>
        <v/>
      </c>
      <c r="K237">
        <f>IF(E237="","",MAX(0,H237-I237-J237))</f>
        <v/>
      </c>
      <c r="L237">
        <f>IF(E237="","",IF(K237&gt;0,"SHORTAGE",IF(J237&gt;=H237,"RESERVED","READY TO RESERVE")))</f>
        <v/>
      </c>
    </row>
    <row r="238">
      <c r="A238">
        <f>IF('Job Cards'!$A$15="","",'Job Cards'!$A$15)</f>
        <v/>
      </c>
      <c r="B238">
        <f>IF(A238="","",'Job Cards'!$B$15)</f>
        <v/>
      </c>
      <c r="C238">
        <f>IF(A238="","",'Job Cards'!$D$15)</f>
        <v/>
      </c>
      <c r="D238">
        <f>IF(A238="","",'BOM Mapping'!$A$18)</f>
        <v/>
      </c>
      <c r="E238">
        <f>IF(C238="Longitude",'BOM Mapping'!$C$18,IF(C238="Latitude",'BOM Mapping'!$D$18,IF(C238="Altitude",'BOM Mapping'!$E$18,"")))</f>
        <v/>
      </c>
      <c r="F238">
        <f>IF(C238="Longitude",'BOM Mapping'!$J$18,IF(C238="Latitude",'BOM Mapping'!$K$18,IF(C238="Altitude",'BOM Mapping'!$L$18,0)))</f>
        <v/>
      </c>
      <c r="G238">
        <f>IF(A238="","",'Job Cards'!$E$15)</f>
        <v/>
      </c>
      <c r="H238">
        <f>IF(E238="","",F238*G238)</f>
        <v/>
      </c>
      <c r="I238">
        <f>IF(E238="","",IFERROR(VLOOKUP(E238,'Master Inventory'!$A:$N,10,FALSE),0))</f>
        <v/>
      </c>
      <c r="J238">
        <f>IF(E238="","",SUMIFS(Reservations!$G:$G,Reservations!$D:$D,A238,Reservations!$E:$E,E238,Reservations!$H:$H,"Active"))</f>
        <v/>
      </c>
      <c r="K238">
        <f>IF(E238="","",MAX(0,H238-I238-J238))</f>
        <v/>
      </c>
      <c r="L238">
        <f>IF(E238="","",IF(K238&gt;0,"SHORTAGE",IF(J238&gt;=H238,"RESERVED","READY TO RESERVE")))</f>
        <v/>
      </c>
    </row>
    <row r="239">
      <c r="A239">
        <f>IF('Job Cards'!$A$15="","",'Job Cards'!$A$15)</f>
        <v/>
      </c>
      <c r="B239">
        <f>IF(A239="","",'Job Cards'!$B$15)</f>
        <v/>
      </c>
      <c r="C239">
        <f>IF(A239="","",'Job Cards'!$D$15)</f>
        <v/>
      </c>
      <c r="D239">
        <f>IF(A239="","",'BOM Mapping'!$A$19)</f>
        <v/>
      </c>
      <c r="E239">
        <f>IF(C239="Longitude",'BOM Mapping'!$C$19,IF(C239="Latitude",'BOM Mapping'!$D$19,IF(C239="Altitude",'BOM Mapping'!$E$19,"")))</f>
        <v/>
      </c>
      <c r="F239">
        <f>IF(C239="Longitude",'BOM Mapping'!$J$19,IF(C239="Latitude",'BOM Mapping'!$K$19,IF(C239="Altitude",'BOM Mapping'!$L$19,0)))</f>
        <v/>
      </c>
      <c r="G239">
        <f>IF(A239="","",'Job Cards'!$E$15)</f>
        <v/>
      </c>
      <c r="H239">
        <f>IF(E239="","",F239*G239)</f>
        <v/>
      </c>
      <c r="I239">
        <f>IF(E239="","",IFERROR(VLOOKUP(E239,'Master Inventory'!$A:$N,10,FALSE),0))</f>
        <v/>
      </c>
      <c r="J239">
        <f>IF(E239="","",SUMIFS(Reservations!$G:$G,Reservations!$D:$D,A239,Reservations!$E:$E,E239,Reservations!$H:$H,"Active"))</f>
        <v/>
      </c>
      <c r="K239">
        <f>IF(E239="","",MAX(0,H239-I239-J239))</f>
        <v/>
      </c>
      <c r="L239">
        <f>IF(E239="","",IF(K239&gt;0,"SHORTAGE",IF(J239&gt;=H239,"RESERVED","READY TO RESERVE")))</f>
        <v/>
      </c>
    </row>
    <row r="240">
      <c r="A240">
        <f>IF('Job Cards'!$A$15="","",'Job Cards'!$A$15)</f>
        <v/>
      </c>
      <c r="B240">
        <f>IF(A240="","",'Job Cards'!$B$15)</f>
        <v/>
      </c>
      <c r="C240">
        <f>IF(A240="","",'Job Cards'!$D$15)</f>
        <v/>
      </c>
      <c r="D240">
        <f>IF(A240="","",'BOM Mapping'!$A$20)</f>
        <v/>
      </c>
      <c r="E240">
        <f>IF(C240="Longitude",'BOM Mapping'!$C$20,IF(C240="Latitude",'BOM Mapping'!$D$20,IF(C240="Altitude",'BOM Mapping'!$E$20,"")))</f>
        <v/>
      </c>
      <c r="F240">
        <f>IF(C240="Longitude",'BOM Mapping'!$J$20,IF(C240="Latitude",'BOM Mapping'!$K$20,IF(C240="Altitude",'BOM Mapping'!$L$20,0)))</f>
        <v/>
      </c>
      <c r="G240">
        <f>IF(A240="","",'Job Cards'!$E$15)</f>
        <v/>
      </c>
      <c r="H240">
        <f>IF(E240="","",F240*G240)</f>
        <v/>
      </c>
      <c r="I240">
        <f>IF(E240="","",IFERROR(VLOOKUP(E240,'Master Inventory'!$A:$N,10,FALSE),0))</f>
        <v/>
      </c>
      <c r="J240">
        <f>IF(E240="","",SUMIFS(Reservations!$G:$G,Reservations!$D:$D,A240,Reservations!$E:$E,E240,Reservations!$H:$H,"Active"))</f>
        <v/>
      </c>
      <c r="K240">
        <f>IF(E240="","",MAX(0,H240-I240-J240))</f>
        <v/>
      </c>
      <c r="L240">
        <f>IF(E240="","",IF(K240&gt;0,"SHORTAGE",IF(J240&gt;=H240,"RESERVED","READY TO RESERVE")))</f>
        <v/>
      </c>
    </row>
    <row r="241">
      <c r="A241">
        <f>IF('Job Cards'!$A$15="","",'Job Cards'!$A$15)</f>
        <v/>
      </c>
      <c r="B241">
        <f>IF(A241="","",'Job Cards'!$B$15)</f>
        <v/>
      </c>
      <c r="C241">
        <f>IF(A241="","",'Job Cards'!$D$15)</f>
        <v/>
      </c>
      <c r="D241">
        <f>IF(A241="","",'BOM Mapping'!$A$21)</f>
        <v/>
      </c>
      <c r="E241">
        <f>IF(C241="Longitude",'BOM Mapping'!$C$21,IF(C241="Latitude",'BOM Mapping'!$D$21,IF(C241="Altitude",'BOM Mapping'!$E$21,"")))</f>
        <v/>
      </c>
      <c r="F241">
        <f>IF(C241="Longitude",'BOM Mapping'!$J$21,IF(C241="Latitude",'BOM Mapping'!$K$21,IF(C241="Altitude",'BOM Mapping'!$L$21,0)))</f>
        <v/>
      </c>
      <c r="G241">
        <f>IF(A241="","",'Job Cards'!$E$15)</f>
        <v/>
      </c>
      <c r="H241">
        <f>IF(E241="","",F241*G241)</f>
        <v/>
      </c>
      <c r="I241">
        <f>IF(E241="","",IFERROR(VLOOKUP(E241,'Master Inventory'!$A:$N,10,FALSE),0))</f>
        <v/>
      </c>
      <c r="J241">
        <f>IF(E241="","",SUMIFS(Reservations!$G:$G,Reservations!$D:$D,A241,Reservations!$E:$E,E241,Reservations!$H:$H,"Active"))</f>
        <v/>
      </c>
      <c r="K241">
        <f>IF(E241="","",MAX(0,H241-I241-J241))</f>
        <v/>
      </c>
      <c r="L241">
        <f>IF(E241="","",IF(K241&gt;0,"SHORTAGE",IF(J241&gt;=H241,"RESERVED","READY TO RESERVE")))</f>
        <v/>
      </c>
    </row>
    <row r="242">
      <c r="A242">
        <f>IF('Job Cards'!$A$15="","",'Job Cards'!$A$15)</f>
        <v/>
      </c>
      <c r="B242">
        <f>IF(A242="","",'Job Cards'!$B$15)</f>
        <v/>
      </c>
      <c r="C242">
        <f>IF(A242="","",'Job Cards'!$D$15)</f>
        <v/>
      </c>
      <c r="D242">
        <f>IF(A242="","",'BOM Mapping'!$A$22)</f>
        <v/>
      </c>
      <c r="E242">
        <f>IF(C242="Longitude",'BOM Mapping'!$C$22,IF(C242="Latitude",'BOM Mapping'!$D$22,IF(C242="Altitude",'BOM Mapping'!$E$22,"")))</f>
        <v/>
      </c>
      <c r="F242">
        <f>IF(C242="Longitude",'BOM Mapping'!$J$22,IF(C242="Latitude",'BOM Mapping'!$K$22,IF(C242="Altitude",'BOM Mapping'!$L$22,0)))</f>
        <v/>
      </c>
      <c r="G242">
        <f>IF(A242="","",'Job Cards'!$E$15)</f>
        <v/>
      </c>
      <c r="H242">
        <f>IF(E242="","",F242*G242)</f>
        <v/>
      </c>
      <c r="I242">
        <f>IF(E242="","",IFERROR(VLOOKUP(E242,'Master Inventory'!$A:$N,10,FALSE),0))</f>
        <v/>
      </c>
      <c r="J242">
        <f>IF(E242="","",SUMIFS(Reservations!$G:$G,Reservations!$D:$D,A242,Reservations!$E:$E,E242,Reservations!$H:$H,"Active"))</f>
        <v/>
      </c>
      <c r="K242">
        <f>IF(E242="","",MAX(0,H242-I242-J242))</f>
        <v/>
      </c>
      <c r="L242">
        <f>IF(E242="","",IF(K242&gt;0,"SHORTAGE",IF(J242&gt;=H242,"RESERVED","READY TO RESERVE")))</f>
        <v/>
      </c>
    </row>
    <row r="243">
      <c r="A243">
        <f>IF('Job Cards'!$A$15="","",'Job Cards'!$A$15)</f>
        <v/>
      </c>
      <c r="B243">
        <f>IF(A243="","",'Job Cards'!$B$15)</f>
        <v/>
      </c>
      <c r="C243">
        <f>IF(A243="","",'Job Cards'!$D$15)</f>
        <v/>
      </c>
      <c r="D243">
        <f>IF(A243="","",'BOM Mapping'!$A$23)</f>
        <v/>
      </c>
      <c r="E243">
        <f>IF(C243="Longitude",'BOM Mapping'!$C$23,IF(C243="Latitude",'BOM Mapping'!$D$23,IF(C243="Altitude",'BOM Mapping'!$E$23,"")))</f>
        <v/>
      </c>
      <c r="F243">
        <f>IF(C243="Longitude",'BOM Mapping'!$J$23,IF(C243="Latitude",'BOM Mapping'!$K$23,IF(C243="Altitude",'BOM Mapping'!$L$23,0)))</f>
        <v/>
      </c>
      <c r="G243">
        <f>IF(A243="","",'Job Cards'!$E$15)</f>
        <v/>
      </c>
      <c r="H243">
        <f>IF(E243="","",F243*G243)</f>
        <v/>
      </c>
      <c r="I243">
        <f>IF(E243="","",IFERROR(VLOOKUP(E243,'Master Inventory'!$A:$N,10,FALSE),0))</f>
        <v/>
      </c>
      <c r="J243">
        <f>IF(E243="","",SUMIFS(Reservations!$G:$G,Reservations!$D:$D,A243,Reservations!$E:$E,E243,Reservations!$H:$H,"Active"))</f>
        <v/>
      </c>
      <c r="K243">
        <f>IF(E243="","",MAX(0,H243-I243-J243))</f>
        <v/>
      </c>
      <c r="L243">
        <f>IF(E243="","",IF(K243&gt;0,"SHORTAGE",IF(J243&gt;=H243,"RESERVED","READY TO RESERVE")))</f>
        <v/>
      </c>
    </row>
    <row r="244">
      <c r="A244">
        <f>IF('Job Cards'!$A$16="","",'Job Cards'!$A$16)</f>
        <v/>
      </c>
      <c r="B244">
        <f>IF(A244="","",'Job Cards'!$B$16)</f>
        <v/>
      </c>
      <c r="C244">
        <f>IF(A244="","",'Job Cards'!$D$16)</f>
        <v/>
      </c>
      <c r="D244">
        <f>IF(A244="","",'BOM Mapping'!$A$4)</f>
        <v/>
      </c>
      <c r="E244">
        <f>IF(C244="Longitude",'BOM Mapping'!$C$4,IF(C244="Latitude",'BOM Mapping'!$D$4,IF(C244="Altitude",'BOM Mapping'!$E$4,"")))</f>
        <v/>
      </c>
      <c r="F244">
        <f>IF(C244="Longitude",'BOM Mapping'!$J$4,IF(C244="Latitude",'BOM Mapping'!$K$4,IF(C244="Altitude",'BOM Mapping'!$L$4,0)))</f>
        <v/>
      </c>
      <c r="G244">
        <f>IF(A244="","",'Job Cards'!$E$16)</f>
        <v/>
      </c>
      <c r="H244">
        <f>IF(E244="","",F244*G244)</f>
        <v/>
      </c>
      <c r="I244">
        <f>IF(E244="","",IFERROR(VLOOKUP(E244,'Master Inventory'!$A:$N,10,FALSE),0))</f>
        <v/>
      </c>
      <c r="J244">
        <f>IF(E244="","",SUMIFS(Reservations!$G:$G,Reservations!$D:$D,A244,Reservations!$E:$E,E244,Reservations!$H:$H,"Active"))</f>
        <v/>
      </c>
      <c r="K244">
        <f>IF(E244="","",MAX(0,H244-I244-J244))</f>
        <v/>
      </c>
      <c r="L244">
        <f>IF(E244="","",IF(K244&gt;0,"SHORTAGE",IF(J244&gt;=H244,"RESERVED","READY TO RESERVE")))</f>
        <v/>
      </c>
    </row>
    <row r="245">
      <c r="A245">
        <f>IF('Job Cards'!$A$16="","",'Job Cards'!$A$16)</f>
        <v/>
      </c>
      <c r="B245">
        <f>IF(A245="","",'Job Cards'!$B$16)</f>
        <v/>
      </c>
      <c r="C245">
        <f>IF(A245="","",'Job Cards'!$D$16)</f>
        <v/>
      </c>
      <c r="D245">
        <f>IF(A245="","",'BOM Mapping'!$A$5)</f>
        <v/>
      </c>
      <c r="E245">
        <f>IF(C245="Longitude",'BOM Mapping'!$C$5,IF(C245="Latitude",'BOM Mapping'!$D$5,IF(C245="Altitude",'BOM Mapping'!$E$5,"")))</f>
        <v/>
      </c>
      <c r="F245">
        <f>IF(C245="Longitude",'BOM Mapping'!$J$5,IF(C245="Latitude",'BOM Mapping'!$K$5,IF(C245="Altitude",'BOM Mapping'!$L$5,0)))</f>
        <v/>
      </c>
      <c r="G245">
        <f>IF(A245="","",'Job Cards'!$E$16)</f>
        <v/>
      </c>
      <c r="H245">
        <f>IF(E245="","",F245*G245)</f>
        <v/>
      </c>
      <c r="I245">
        <f>IF(E245="","",IFERROR(VLOOKUP(E245,'Master Inventory'!$A:$N,10,FALSE),0))</f>
        <v/>
      </c>
      <c r="J245">
        <f>IF(E245="","",SUMIFS(Reservations!$G:$G,Reservations!$D:$D,A245,Reservations!$E:$E,E245,Reservations!$H:$H,"Active"))</f>
        <v/>
      </c>
      <c r="K245">
        <f>IF(E245="","",MAX(0,H245-I245-J245))</f>
        <v/>
      </c>
      <c r="L245">
        <f>IF(E245="","",IF(K245&gt;0,"SHORTAGE",IF(J245&gt;=H245,"RESERVED","READY TO RESERVE")))</f>
        <v/>
      </c>
    </row>
    <row r="246">
      <c r="A246">
        <f>IF('Job Cards'!$A$16="","",'Job Cards'!$A$16)</f>
        <v/>
      </c>
      <c r="B246">
        <f>IF(A246="","",'Job Cards'!$B$16)</f>
        <v/>
      </c>
      <c r="C246">
        <f>IF(A246="","",'Job Cards'!$D$16)</f>
        <v/>
      </c>
      <c r="D246">
        <f>IF(A246="","",'BOM Mapping'!$A$6)</f>
        <v/>
      </c>
      <c r="E246">
        <f>IF(C246="Longitude",'BOM Mapping'!$C$6,IF(C246="Latitude",'BOM Mapping'!$D$6,IF(C246="Altitude",'BOM Mapping'!$E$6,"")))</f>
        <v/>
      </c>
      <c r="F246">
        <f>IF(C246="Longitude",'BOM Mapping'!$J$6,IF(C246="Latitude",'BOM Mapping'!$K$6,IF(C246="Altitude",'BOM Mapping'!$L$6,0)))</f>
        <v/>
      </c>
      <c r="G246">
        <f>IF(A246="","",'Job Cards'!$E$16)</f>
        <v/>
      </c>
      <c r="H246">
        <f>IF(E246="","",F246*G246)</f>
        <v/>
      </c>
      <c r="I246">
        <f>IF(E246="","",IFERROR(VLOOKUP(E246,'Master Inventory'!$A:$N,10,FALSE),0))</f>
        <v/>
      </c>
      <c r="J246">
        <f>IF(E246="","",SUMIFS(Reservations!$G:$G,Reservations!$D:$D,A246,Reservations!$E:$E,E246,Reservations!$H:$H,"Active"))</f>
        <v/>
      </c>
      <c r="K246">
        <f>IF(E246="","",MAX(0,H246-I246-J246))</f>
        <v/>
      </c>
      <c r="L246">
        <f>IF(E246="","",IF(K246&gt;0,"SHORTAGE",IF(J246&gt;=H246,"RESERVED","READY TO RESERVE")))</f>
        <v/>
      </c>
    </row>
    <row r="247">
      <c r="A247">
        <f>IF('Job Cards'!$A$16="","",'Job Cards'!$A$16)</f>
        <v/>
      </c>
      <c r="B247">
        <f>IF(A247="","",'Job Cards'!$B$16)</f>
        <v/>
      </c>
      <c r="C247">
        <f>IF(A247="","",'Job Cards'!$D$16)</f>
        <v/>
      </c>
      <c r="D247">
        <f>IF(A247="","",'BOM Mapping'!$A$7)</f>
        <v/>
      </c>
      <c r="E247">
        <f>IF(C247="Longitude",'BOM Mapping'!$C$7,IF(C247="Latitude",'BOM Mapping'!$D$7,IF(C247="Altitude",'BOM Mapping'!$E$7,"")))</f>
        <v/>
      </c>
      <c r="F247">
        <f>IF(C247="Longitude",'BOM Mapping'!$J$7,IF(C247="Latitude",'BOM Mapping'!$K$7,IF(C247="Altitude",'BOM Mapping'!$L$7,0)))</f>
        <v/>
      </c>
      <c r="G247">
        <f>IF(A247="","",'Job Cards'!$E$16)</f>
        <v/>
      </c>
      <c r="H247">
        <f>IF(E247="","",F247*G247)</f>
        <v/>
      </c>
      <c r="I247">
        <f>IF(E247="","",IFERROR(VLOOKUP(E247,'Master Inventory'!$A:$N,10,FALSE),0))</f>
        <v/>
      </c>
      <c r="J247">
        <f>IF(E247="","",SUMIFS(Reservations!$G:$G,Reservations!$D:$D,A247,Reservations!$E:$E,E247,Reservations!$H:$H,"Active"))</f>
        <v/>
      </c>
      <c r="K247">
        <f>IF(E247="","",MAX(0,H247-I247-J247))</f>
        <v/>
      </c>
      <c r="L247">
        <f>IF(E247="","",IF(K247&gt;0,"SHORTAGE",IF(J247&gt;=H247,"RESERVED","READY TO RESERVE")))</f>
        <v/>
      </c>
    </row>
    <row r="248">
      <c r="A248">
        <f>IF('Job Cards'!$A$16="","",'Job Cards'!$A$16)</f>
        <v/>
      </c>
      <c r="B248">
        <f>IF(A248="","",'Job Cards'!$B$16)</f>
        <v/>
      </c>
      <c r="C248">
        <f>IF(A248="","",'Job Cards'!$D$16)</f>
        <v/>
      </c>
      <c r="D248">
        <f>IF(A248="","",'BOM Mapping'!$A$8)</f>
        <v/>
      </c>
      <c r="E248">
        <f>IF(C248="Longitude",'BOM Mapping'!$C$8,IF(C248="Latitude",'BOM Mapping'!$D$8,IF(C248="Altitude",'BOM Mapping'!$E$8,"")))</f>
        <v/>
      </c>
      <c r="F248">
        <f>IF(C248="Longitude",'BOM Mapping'!$J$8,IF(C248="Latitude",'BOM Mapping'!$K$8,IF(C248="Altitude",'BOM Mapping'!$L$8,0)))</f>
        <v/>
      </c>
      <c r="G248">
        <f>IF(A248="","",'Job Cards'!$E$16)</f>
        <v/>
      </c>
      <c r="H248">
        <f>IF(E248="","",F248*G248)</f>
        <v/>
      </c>
      <c r="I248">
        <f>IF(E248="","",IFERROR(VLOOKUP(E248,'Master Inventory'!$A:$N,10,FALSE),0))</f>
        <v/>
      </c>
      <c r="J248">
        <f>IF(E248="","",SUMIFS(Reservations!$G:$G,Reservations!$D:$D,A248,Reservations!$E:$E,E248,Reservations!$H:$H,"Active"))</f>
        <v/>
      </c>
      <c r="K248">
        <f>IF(E248="","",MAX(0,H248-I248-J248))</f>
        <v/>
      </c>
      <c r="L248">
        <f>IF(E248="","",IF(K248&gt;0,"SHORTAGE",IF(J248&gt;=H248,"RESERVED","READY TO RESERVE")))</f>
        <v/>
      </c>
    </row>
    <row r="249">
      <c r="A249">
        <f>IF('Job Cards'!$A$16="","",'Job Cards'!$A$16)</f>
        <v/>
      </c>
      <c r="B249">
        <f>IF(A249="","",'Job Cards'!$B$16)</f>
        <v/>
      </c>
      <c r="C249">
        <f>IF(A249="","",'Job Cards'!$D$16)</f>
        <v/>
      </c>
      <c r="D249">
        <f>IF(A249="","",'BOM Mapping'!$A$9)</f>
        <v/>
      </c>
      <c r="E249">
        <f>IF(C249="Longitude",'BOM Mapping'!$C$9,IF(C249="Latitude",'BOM Mapping'!$D$9,IF(C249="Altitude",'BOM Mapping'!$E$9,"")))</f>
        <v/>
      </c>
      <c r="F249">
        <f>IF(C249="Longitude",'BOM Mapping'!$J$9,IF(C249="Latitude",'BOM Mapping'!$K$9,IF(C249="Altitude",'BOM Mapping'!$L$9,0)))</f>
        <v/>
      </c>
      <c r="G249">
        <f>IF(A249="","",'Job Cards'!$E$16)</f>
        <v/>
      </c>
      <c r="H249">
        <f>IF(E249="","",F249*G249)</f>
        <v/>
      </c>
      <c r="I249">
        <f>IF(E249="","",IFERROR(VLOOKUP(E249,'Master Inventory'!$A:$N,10,FALSE),0))</f>
        <v/>
      </c>
      <c r="J249">
        <f>IF(E249="","",SUMIFS(Reservations!$G:$G,Reservations!$D:$D,A249,Reservations!$E:$E,E249,Reservations!$H:$H,"Active"))</f>
        <v/>
      </c>
      <c r="K249">
        <f>IF(E249="","",MAX(0,H249-I249-J249))</f>
        <v/>
      </c>
      <c r="L249">
        <f>IF(E249="","",IF(K249&gt;0,"SHORTAGE",IF(J249&gt;=H249,"RESERVED","READY TO RESERVE")))</f>
        <v/>
      </c>
    </row>
    <row r="250">
      <c r="A250">
        <f>IF('Job Cards'!$A$16="","",'Job Cards'!$A$16)</f>
        <v/>
      </c>
      <c r="B250">
        <f>IF(A250="","",'Job Cards'!$B$16)</f>
        <v/>
      </c>
      <c r="C250">
        <f>IF(A250="","",'Job Cards'!$D$16)</f>
        <v/>
      </c>
      <c r="D250">
        <f>IF(A250="","",'BOM Mapping'!$A$10)</f>
        <v/>
      </c>
      <c r="E250">
        <f>IF(C250="Longitude",'BOM Mapping'!$C$10,IF(C250="Latitude",'BOM Mapping'!$D$10,IF(C250="Altitude",'BOM Mapping'!$E$10,"")))</f>
        <v/>
      </c>
      <c r="F250">
        <f>IF(C250="Longitude",'BOM Mapping'!$J$10,IF(C250="Latitude",'BOM Mapping'!$K$10,IF(C250="Altitude",'BOM Mapping'!$L$10,0)))</f>
        <v/>
      </c>
      <c r="G250">
        <f>IF(A250="","",'Job Cards'!$E$16)</f>
        <v/>
      </c>
      <c r="H250">
        <f>IF(E250="","",F250*G250)</f>
        <v/>
      </c>
      <c r="I250">
        <f>IF(E250="","",IFERROR(VLOOKUP(E250,'Master Inventory'!$A:$N,10,FALSE),0))</f>
        <v/>
      </c>
      <c r="J250">
        <f>IF(E250="","",SUMIFS(Reservations!$G:$G,Reservations!$D:$D,A250,Reservations!$E:$E,E250,Reservations!$H:$H,"Active"))</f>
        <v/>
      </c>
      <c r="K250">
        <f>IF(E250="","",MAX(0,H250-I250-J250))</f>
        <v/>
      </c>
      <c r="L250">
        <f>IF(E250="","",IF(K250&gt;0,"SHORTAGE",IF(J250&gt;=H250,"RESERVED","READY TO RESERVE")))</f>
        <v/>
      </c>
    </row>
    <row r="251">
      <c r="A251">
        <f>IF('Job Cards'!$A$16="","",'Job Cards'!$A$16)</f>
        <v/>
      </c>
      <c r="B251">
        <f>IF(A251="","",'Job Cards'!$B$16)</f>
        <v/>
      </c>
      <c r="C251">
        <f>IF(A251="","",'Job Cards'!$D$16)</f>
        <v/>
      </c>
      <c r="D251">
        <f>IF(A251="","",'BOM Mapping'!$A$11)</f>
        <v/>
      </c>
      <c r="E251">
        <f>IF(C251="Longitude",'BOM Mapping'!$C$11,IF(C251="Latitude",'BOM Mapping'!$D$11,IF(C251="Altitude",'BOM Mapping'!$E$11,"")))</f>
        <v/>
      </c>
      <c r="F251">
        <f>IF(C251="Longitude",'BOM Mapping'!$J$11,IF(C251="Latitude",'BOM Mapping'!$K$11,IF(C251="Altitude",'BOM Mapping'!$L$11,0)))</f>
        <v/>
      </c>
      <c r="G251">
        <f>IF(A251="","",'Job Cards'!$E$16)</f>
        <v/>
      </c>
      <c r="H251">
        <f>IF(E251="","",F251*G251)</f>
        <v/>
      </c>
      <c r="I251">
        <f>IF(E251="","",IFERROR(VLOOKUP(E251,'Master Inventory'!$A:$N,10,FALSE),0))</f>
        <v/>
      </c>
      <c r="J251">
        <f>IF(E251="","",SUMIFS(Reservations!$G:$G,Reservations!$D:$D,A251,Reservations!$E:$E,E251,Reservations!$H:$H,"Active"))</f>
        <v/>
      </c>
      <c r="K251">
        <f>IF(E251="","",MAX(0,H251-I251-J251))</f>
        <v/>
      </c>
      <c r="L251">
        <f>IF(E251="","",IF(K251&gt;0,"SHORTAGE",IF(J251&gt;=H251,"RESERVED","READY TO RESERVE")))</f>
        <v/>
      </c>
    </row>
    <row r="252">
      <c r="A252">
        <f>IF('Job Cards'!$A$16="","",'Job Cards'!$A$16)</f>
        <v/>
      </c>
      <c r="B252">
        <f>IF(A252="","",'Job Cards'!$B$16)</f>
        <v/>
      </c>
      <c r="C252">
        <f>IF(A252="","",'Job Cards'!$D$16)</f>
        <v/>
      </c>
      <c r="D252">
        <f>IF(A252="","",'BOM Mapping'!$A$12)</f>
        <v/>
      </c>
      <c r="E252">
        <f>IF(C252="Longitude",'BOM Mapping'!$C$12,IF(C252="Latitude",'BOM Mapping'!$D$12,IF(C252="Altitude",'BOM Mapping'!$E$12,"")))</f>
        <v/>
      </c>
      <c r="F252">
        <f>IF(C252="Longitude",'BOM Mapping'!$J$12,IF(C252="Latitude",'BOM Mapping'!$K$12,IF(C252="Altitude",'BOM Mapping'!$L$12,0)))</f>
        <v/>
      </c>
      <c r="G252">
        <f>IF(A252="","",'Job Cards'!$E$16)</f>
        <v/>
      </c>
      <c r="H252">
        <f>IF(E252="","",F252*G252)</f>
        <v/>
      </c>
      <c r="I252">
        <f>IF(E252="","",IFERROR(VLOOKUP(E252,'Master Inventory'!$A:$N,10,FALSE),0))</f>
        <v/>
      </c>
      <c r="J252">
        <f>IF(E252="","",SUMIFS(Reservations!$G:$G,Reservations!$D:$D,A252,Reservations!$E:$E,E252,Reservations!$H:$H,"Active"))</f>
        <v/>
      </c>
      <c r="K252">
        <f>IF(E252="","",MAX(0,H252-I252-J252))</f>
        <v/>
      </c>
      <c r="L252">
        <f>IF(E252="","",IF(K252&gt;0,"SHORTAGE",IF(J252&gt;=H252,"RESERVED","READY TO RESERVE")))</f>
        <v/>
      </c>
    </row>
    <row r="253">
      <c r="A253">
        <f>IF('Job Cards'!$A$16="","",'Job Cards'!$A$16)</f>
        <v/>
      </c>
      <c r="B253">
        <f>IF(A253="","",'Job Cards'!$B$16)</f>
        <v/>
      </c>
      <c r="C253">
        <f>IF(A253="","",'Job Cards'!$D$16)</f>
        <v/>
      </c>
      <c r="D253">
        <f>IF(A253="","",'BOM Mapping'!$A$13)</f>
        <v/>
      </c>
      <c r="E253">
        <f>IF(C253="Longitude",'BOM Mapping'!$C$13,IF(C253="Latitude",'BOM Mapping'!$D$13,IF(C253="Altitude",'BOM Mapping'!$E$13,"")))</f>
        <v/>
      </c>
      <c r="F253">
        <f>IF(C253="Longitude",'BOM Mapping'!$J$13,IF(C253="Latitude",'BOM Mapping'!$K$13,IF(C253="Altitude",'BOM Mapping'!$L$13,0)))</f>
        <v/>
      </c>
      <c r="G253">
        <f>IF(A253="","",'Job Cards'!$E$16)</f>
        <v/>
      </c>
      <c r="H253">
        <f>IF(E253="","",F253*G253)</f>
        <v/>
      </c>
      <c r="I253">
        <f>IF(E253="","",IFERROR(VLOOKUP(E253,'Master Inventory'!$A:$N,10,FALSE),0))</f>
        <v/>
      </c>
      <c r="J253">
        <f>IF(E253="","",SUMIFS(Reservations!$G:$G,Reservations!$D:$D,A253,Reservations!$E:$E,E253,Reservations!$H:$H,"Active"))</f>
        <v/>
      </c>
      <c r="K253">
        <f>IF(E253="","",MAX(0,H253-I253-J253))</f>
        <v/>
      </c>
      <c r="L253">
        <f>IF(E253="","",IF(K253&gt;0,"SHORTAGE",IF(J253&gt;=H253,"RESERVED","READY TO RESERVE")))</f>
        <v/>
      </c>
    </row>
    <row r="254">
      <c r="A254">
        <f>IF('Job Cards'!$A$16="","",'Job Cards'!$A$16)</f>
        <v/>
      </c>
      <c r="B254">
        <f>IF(A254="","",'Job Cards'!$B$16)</f>
        <v/>
      </c>
      <c r="C254">
        <f>IF(A254="","",'Job Cards'!$D$16)</f>
        <v/>
      </c>
      <c r="D254">
        <f>IF(A254="","",'BOM Mapping'!$A$14)</f>
        <v/>
      </c>
      <c r="E254">
        <f>IF(C254="Longitude",'BOM Mapping'!$C$14,IF(C254="Latitude",'BOM Mapping'!$D$14,IF(C254="Altitude",'BOM Mapping'!$E$14,"")))</f>
        <v/>
      </c>
      <c r="F254">
        <f>IF(C254="Longitude",'BOM Mapping'!$J$14,IF(C254="Latitude",'BOM Mapping'!$K$14,IF(C254="Altitude",'BOM Mapping'!$L$14,0)))</f>
        <v/>
      </c>
      <c r="G254">
        <f>IF(A254="","",'Job Cards'!$E$16)</f>
        <v/>
      </c>
      <c r="H254">
        <f>IF(E254="","",F254*G254)</f>
        <v/>
      </c>
      <c r="I254">
        <f>IF(E254="","",IFERROR(VLOOKUP(E254,'Master Inventory'!$A:$N,10,FALSE),0))</f>
        <v/>
      </c>
      <c r="J254">
        <f>IF(E254="","",SUMIFS(Reservations!$G:$G,Reservations!$D:$D,A254,Reservations!$E:$E,E254,Reservations!$H:$H,"Active"))</f>
        <v/>
      </c>
      <c r="K254">
        <f>IF(E254="","",MAX(0,H254-I254-J254))</f>
        <v/>
      </c>
      <c r="L254">
        <f>IF(E254="","",IF(K254&gt;0,"SHORTAGE",IF(J254&gt;=H254,"RESERVED","READY TO RESERVE")))</f>
        <v/>
      </c>
    </row>
    <row r="255">
      <c r="A255">
        <f>IF('Job Cards'!$A$16="","",'Job Cards'!$A$16)</f>
        <v/>
      </c>
      <c r="B255">
        <f>IF(A255="","",'Job Cards'!$B$16)</f>
        <v/>
      </c>
      <c r="C255">
        <f>IF(A255="","",'Job Cards'!$D$16)</f>
        <v/>
      </c>
      <c r="D255">
        <f>IF(A255="","",'BOM Mapping'!$A$15)</f>
        <v/>
      </c>
      <c r="E255">
        <f>IF(C255="Longitude",'BOM Mapping'!$C$15,IF(C255="Latitude",'BOM Mapping'!$D$15,IF(C255="Altitude",'BOM Mapping'!$E$15,"")))</f>
        <v/>
      </c>
      <c r="F255">
        <f>IF(C255="Longitude",'BOM Mapping'!$J$15,IF(C255="Latitude",'BOM Mapping'!$K$15,IF(C255="Altitude",'BOM Mapping'!$L$15,0)))</f>
        <v/>
      </c>
      <c r="G255">
        <f>IF(A255="","",'Job Cards'!$E$16)</f>
        <v/>
      </c>
      <c r="H255">
        <f>IF(E255="","",F255*G255)</f>
        <v/>
      </c>
      <c r="I255">
        <f>IF(E255="","",IFERROR(VLOOKUP(E255,'Master Inventory'!$A:$N,10,FALSE),0))</f>
        <v/>
      </c>
      <c r="J255">
        <f>IF(E255="","",SUMIFS(Reservations!$G:$G,Reservations!$D:$D,A255,Reservations!$E:$E,E255,Reservations!$H:$H,"Active"))</f>
        <v/>
      </c>
      <c r="K255">
        <f>IF(E255="","",MAX(0,H255-I255-J255))</f>
        <v/>
      </c>
      <c r="L255">
        <f>IF(E255="","",IF(K255&gt;0,"SHORTAGE",IF(J255&gt;=H255,"RESERVED","READY TO RESERVE")))</f>
        <v/>
      </c>
    </row>
    <row r="256">
      <c r="A256">
        <f>IF('Job Cards'!$A$16="","",'Job Cards'!$A$16)</f>
        <v/>
      </c>
      <c r="B256">
        <f>IF(A256="","",'Job Cards'!$B$16)</f>
        <v/>
      </c>
      <c r="C256">
        <f>IF(A256="","",'Job Cards'!$D$16)</f>
        <v/>
      </c>
      <c r="D256">
        <f>IF(A256="","",'BOM Mapping'!$A$16)</f>
        <v/>
      </c>
      <c r="E256">
        <f>IF(C256="Longitude",'BOM Mapping'!$C$16,IF(C256="Latitude",'BOM Mapping'!$D$16,IF(C256="Altitude",'BOM Mapping'!$E$16,"")))</f>
        <v/>
      </c>
      <c r="F256">
        <f>IF(C256="Longitude",'BOM Mapping'!$J$16,IF(C256="Latitude",'BOM Mapping'!$K$16,IF(C256="Altitude",'BOM Mapping'!$L$16,0)))</f>
        <v/>
      </c>
      <c r="G256">
        <f>IF(A256="","",'Job Cards'!$E$16)</f>
        <v/>
      </c>
      <c r="H256">
        <f>IF(E256="","",F256*G256)</f>
        <v/>
      </c>
      <c r="I256">
        <f>IF(E256="","",IFERROR(VLOOKUP(E256,'Master Inventory'!$A:$N,10,FALSE),0))</f>
        <v/>
      </c>
      <c r="J256">
        <f>IF(E256="","",SUMIFS(Reservations!$G:$G,Reservations!$D:$D,A256,Reservations!$E:$E,E256,Reservations!$H:$H,"Active"))</f>
        <v/>
      </c>
      <c r="K256">
        <f>IF(E256="","",MAX(0,H256-I256-J256))</f>
        <v/>
      </c>
      <c r="L256">
        <f>IF(E256="","",IF(K256&gt;0,"SHORTAGE",IF(J256&gt;=H256,"RESERVED","READY TO RESERVE")))</f>
        <v/>
      </c>
    </row>
    <row r="257">
      <c r="A257">
        <f>IF('Job Cards'!$A$16="","",'Job Cards'!$A$16)</f>
        <v/>
      </c>
      <c r="B257">
        <f>IF(A257="","",'Job Cards'!$B$16)</f>
        <v/>
      </c>
      <c r="C257">
        <f>IF(A257="","",'Job Cards'!$D$16)</f>
        <v/>
      </c>
      <c r="D257">
        <f>IF(A257="","",'BOM Mapping'!$A$17)</f>
        <v/>
      </c>
      <c r="E257">
        <f>IF(C257="Longitude",'BOM Mapping'!$C$17,IF(C257="Latitude",'BOM Mapping'!$D$17,IF(C257="Altitude",'BOM Mapping'!$E$17,"")))</f>
        <v/>
      </c>
      <c r="F257">
        <f>IF(C257="Longitude",'BOM Mapping'!$J$17,IF(C257="Latitude",'BOM Mapping'!$K$17,IF(C257="Altitude",'BOM Mapping'!$L$17,0)))</f>
        <v/>
      </c>
      <c r="G257">
        <f>IF(A257="","",'Job Cards'!$E$16)</f>
        <v/>
      </c>
      <c r="H257">
        <f>IF(E257="","",F257*G257)</f>
        <v/>
      </c>
      <c r="I257">
        <f>IF(E257="","",IFERROR(VLOOKUP(E257,'Master Inventory'!$A:$N,10,FALSE),0))</f>
        <v/>
      </c>
      <c r="J257">
        <f>IF(E257="","",SUMIFS(Reservations!$G:$G,Reservations!$D:$D,A257,Reservations!$E:$E,E257,Reservations!$H:$H,"Active"))</f>
        <v/>
      </c>
      <c r="K257">
        <f>IF(E257="","",MAX(0,H257-I257-J257))</f>
        <v/>
      </c>
      <c r="L257">
        <f>IF(E257="","",IF(K257&gt;0,"SHORTAGE",IF(J257&gt;=H257,"RESERVED","READY TO RESERVE")))</f>
        <v/>
      </c>
    </row>
    <row r="258">
      <c r="A258">
        <f>IF('Job Cards'!$A$16="","",'Job Cards'!$A$16)</f>
        <v/>
      </c>
      <c r="B258">
        <f>IF(A258="","",'Job Cards'!$B$16)</f>
        <v/>
      </c>
      <c r="C258">
        <f>IF(A258="","",'Job Cards'!$D$16)</f>
        <v/>
      </c>
      <c r="D258">
        <f>IF(A258="","",'BOM Mapping'!$A$18)</f>
        <v/>
      </c>
      <c r="E258">
        <f>IF(C258="Longitude",'BOM Mapping'!$C$18,IF(C258="Latitude",'BOM Mapping'!$D$18,IF(C258="Altitude",'BOM Mapping'!$E$18,"")))</f>
        <v/>
      </c>
      <c r="F258">
        <f>IF(C258="Longitude",'BOM Mapping'!$J$18,IF(C258="Latitude",'BOM Mapping'!$K$18,IF(C258="Altitude",'BOM Mapping'!$L$18,0)))</f>
        <v/>
      </c>
      <c r="G258">
        <f>IF(A258="","",'Job Cards'!$E$16)</f>
        <v/>
      </c>
      <c r="H258">
        <f>IF(E258="","",F258*G258)</f>
        <v/>
      </c>
      <c r="I258">
        <f>IF(E258="","",IFERROR(VLOOKUP(E258,'Master Inventory'!$A:$N,10,FALSE),0))</f>
        <v/>
      </c>
      <c r="J258">
        <f>IF(E258="","",SUMIFS(Reservations!$G:$G,Reservations!$D:$D,A258,Reservations!$E:$E,E258,Reservations!$H:$H,"Active"))</f>
        <v/>
      </c>
      <c r="K258">
        <f>IF(E258="","",MAX(0,H258-I258-J258))</f>
        <v/>
      </c>
      <c r="L258">
        <f>IF(E258="","",IF(K258&gt;0,"SHORTAGE",IF(J258&gt;=H258,"RESERVED","READY TO RESERVE")))</f>
        <v/>
      </c>
    </row>
    <row r="259">
      <c r="A259">
        <f>IF('Job Cards'!$A$16="","",'Job Cards'!$A$16)</f>
        <v/>
      </c>
      <c r="B259">
        <f>IF(A259="","",'Job Cards'!$B$16)</f>
        <v/>
      </c>
      <c r="C259">
        <f>IF(A259="","",'Job Cards'!$D$16)</f>
        <v/>
      </c>
      <c r="D259">
        <f>IF(A259="","",'BOM Mapping'!$A$19)</f>
        <v/>
      </c>
      <c r="E259">
        <f>IF(C259="Longitude",'BOM Mapping'!$C$19,IF(C259="Latitude",'BOM Mapping'!$D$19,IF(C259="Altitude",'BOM Mapping'!$E$19,"")))</f>
        <v/>
      </c>
      <c r="F259">
        <f>IF(C259="Longitude",'BOM Mapping'!$J$19,IF(C259="Latitude",'BOM Mapping'!$K$19,IF(C259="Altitude",'BOM Mapping'!$L$19,0)))</f>
        <v/>
      </c>
      <c r="G259">
        <f>IF(A259="","",'Job Cards'!$E$16)</f>
        <v/>
      </c>
      <c r="H259">
        <f>IF(E259="","",F259*G259)</f>
        <v/>
      </c>
      <c r="I259">
        <f>IF(E259="","",IFERROR(VLOOKUP(E259,'Master Inventory'!$A:$N,10,FALSE),0))</f>
        <v/>
      </c>
      <c r="J259">
        <f>IF(E259="","",SUMIFS(Reservations!$G:$G,Reservations!$D:$D,A259,Reservations!$E:$E,E259,Reservations!$H:$H,"Active"))</f>
        <v/>
      </c>
      <c r="K259">
        <f>IF(E259="","",MAX(0,H259-I259-J259))</f>
        <v/>
      </c>
      <c r="L259">
        <f>IF(E259="","",IF(K259&gt;0,"SHORTAGE",IF(J259&gt;=H259,"RESERVED","READY TO RESERVE")))</f>
        <v/>
      </c>
    </row>
    <row r="260">
      <c r="A260">
        <f>IF('Job Cards'!$A$16="","",'Job Cards'!$A$16)</f>
        <v/>
      </c>
      <c r="B260">
        <f>IF(A260="","",'Job Cards'!$B$16)</f>
        <v/>
      </c>
      <c r="C260">
        <f>IF(A260="","",'Job Cards'!$D$16)</f>
        <v/>
      </c>
      <c r="D260">
        <f>IF(A260="","",'BOM Mapping'!$A$20)</f>
        <v/>
      </c>
      <c r="E260">
        <f>IF(C260="Longitude",'BOM Mapping'!$C$20,IF(C260="Latitude",'BOM Mapping'!$D$20,IF(C260="Altitude",'BOM Mapping'!$E$20,"")))</f>
        <v/>
      </c>
      <c r="F260">
        <f>IF(C260="Longitude",'BOM Mapping'!$J$20,IF(C260="Latitude",'BOM Mapping'!$K$20,IF(C260="Altitude",'BOM Mapping'!$L$20,0)))</f>
        <v/>
      </c>
      <c r="G260">
        <f>IF(A260="","",'Job Cards'!$E$16)</f>
        <v/>
      </c>
      <c r="H260">
        <f>IF(E260="","",F260*G260)</f>
        <v/>
      </c>
      <c r="I260">
        <f>IF(E260="","",IFERROR(VLOOKUP(E260,'Master Inventory'!$A:$N,10,FALSE),0))</f>
        <v/>
      </c>
      <c r="J260">
        <f>IF(E260="","",SUMIFS(Reservations!$G:$G,Reservations!$D:$D,A260,Reservations!$E:$E,E260,Reservations!$H:$H,"Active"))</f>
        <v/>
      </c>
      <c r="K260">
        <f>IF(E260="","",MAX(0,H260-I260-J260))</f>
        <v/>
      </c>
      <c r="L260">
        <f>IF(E260="","",IF(K260&gt;0,"SHORTAGE",IF(J260&gt;=H260,"RESERVED","READY TO RESERVE")))</f>
        <v/>
      </c>
    </row>
    <row r="261">
      <c r="A261">
        <f>IF('Job Cards'!$A$16="","",'Job Cards'!$A$16)</f>
        <v/>
      </c>
      <c r="B261">
        <f>IF(A261="","",'Job Cards'!$B$16)</f>
        <v/>
      </c>
      <c r="C261">
        <f>IF(A261="","",'Job Cards'!$D$16)</f>
        <v/>
      </c>
      <c r="D261">
        <f>IF(A261="","",'BOM Mapping'!$A$21)</f>
        <v/>
      </c>
      <c r="E261">
        <f>IF(C261="Longitude",'BOM Mapping'!$C$21,IF(C261="Latitude",'BOM Mapping'!$D$21,IF(C261="Altitude",'BOM Mapping'!$E$21,"")))</f>
        <v/>
      </c>
      <c r="F261">
        <f>IF(C261="Longitude",'BOM Mapping'!$J$21,IF(C261="Latitude",'BOM Mapping'!$K$21,IF(C261="Altitude",'BOM Mapping'!$L$21,0)))</f>
        <v/>
      </c>
      <c r="G261">
        <f>IF(A261="","",'Job Cards'!$E$16)</f>
        <v/>
      </c>
      <c r="H261">
        <f>IF(E261="","",F261*G261)</f>
        <v/>
      </c>
      <c r="I261">
        <f>IF(E261="","",IFERROR(VLOOKUP(E261,'Master Inventory'!$A:$N,10,FALSE),0))</f>
        <v/>
      </c>
      <c r="J261">
        <f>IF(E261="","",SUMIFS(Reservations!$G:$G,Reservations!$D:$D,A261,Reservations!$E:$E,E261,Reservations!$H:$H,"Active"))</f>
        <v/>
      </c>
      <c r="K261">
        <f>IF(E261="","",MAX(0,H261-I261-J261))</f>
        <v/>
      </c>
      <c r="L261">
        <f>IF(E261="","",IF(K261&gt;0,"SHORTAGE",IF(J261&gt;=H261,"RESERVED","READY TO RESERVE")))</f>
        <v/>
      </c>
    </row>
    <row r="262">
      <c r="A262">
        <f>IF('Job Cards'!$A$16="","",'Job Cards'!$A$16)</f>
        <v/>
      </c>
      <c r="B262">
        <f>IF(A262="","",'Job Cards'!$B$16)</f>
        <v/>
      </c>
      <c r="C262">
        <f>IF(A262="","",'Job Cards'!$D$16)</f>
        <v/>
      </c>
      <c r="D262">
        <f>IF(A262="","",'BOM Mapping'!$A$22)</f>
        <v/>
      </c>
      <c r="E262">
        <f>IF(C262="Longitude",'BOM Mapping'!$C$22,IF(C262="Latitude",'BOM Mapping'!$D$22,IF(C262="Altitude",'BOM Mapping'!$E$22,"")))</f>
        <v/>
      </c>
      <c r="F262">
        <f>IF(C262="Longitude",'BOM Mapping'!$J$22,IF(C262="Latitude",'BOM Mapping'!$K$22,IF(C262="Altitude",'BOM Mapping'!$L$22,0)))</f>
        <v/>
      </c>
      <c r="G262">
        <f>IF(A262="","",'Job Cards'!$E$16)</f>
        <v/>
      </c>
      <c r="H262">
        <f>IF(E262="","",F262*G262)</f>
        <v/>
      </c>
      <c r="I262">
        <f>IF(E262="","",IFERROR(VLOOKUP(E262,'Master Inventory'!$A:$N,10,FALSE),0))</f>
        <v/>
      </c>
      <c r="J262">
        <f>IF(E262="","",SUMIFS(Reservations!$G:$G,Reservations!$D:$D,A262,Reservations!$E:$E,E262,Reservations!$H:$H,"Active"))</f>
        <v/>
      </c>
      <c r="K262">
        <f>IF(E262="","",MAX(0,H262-I262-J262))</f>
        <v/>
      </c>
      <c r="L262">
        <f>IF(E262="","",IF(K262&gt;0,"SHORTAGE",IF(J262&gt;=H262,"RESERVED","READY TO RESERVE")))</f>
        <v/>
      </c>
    </row>
    <row r="263">
      <c r="A263">
        <f>IF('Job Cards'!$A$16="","",'Job Cards'!$A$16)</f>
        <v/>
      </c>
      <c r="B263">
        <f>IF(A263="","",'Job Cards'!$B$16)</f>
        <v/>
      </c>
      <c r="C263">
        <f>IF(A263="","",'Job Cards'!$D$16)</f>
        <v/>
      </c>
      <c r="D263">
        <f>IF(A263="","",'BOM Mapping'!$A$23)</f>
        <v/>
      </c>
      <c r="E263">
        <f>IF(C263="Longitude",'BOM Mapping'!$C$23,IF(C263="Latitude",'BOM Mapping'!$D$23,IF(C263="Altitude",'BOM Mapping'!$E$23,"")))</f>
        <v/>
      </c>
      <c r="F263">
        <f>IF(C263="Longitude",'BOM Mapping'!$J$23,IF(C263="Latitude",'BOM Mapping'!$K$23,IF(C263="Altitude",'BOM Mapping'!$L$23,0)))</f>
        <v/>
      </c>
      <c r="G263">
        <f>IF(A263="","",'Job Cards'!$E$16)</f>
        <v/>
      </c>
      <c r="H263">
        <f>IF(E263="","",F263*G263)</f>
        <v/>
      </c>
      <c r="I263">
        <f>IF(E263="","",IFERROR(VLOOKUP(E263,'Master Inventory'!$A:$N,10,FALSE),0))</f>
        <v/>
      </c>
      <c r="J263">
        <f>IF(E263="","",SUMIFS(Reservations!$G:$G,Reservations!$D:$D,A263,Reservations!$E:$E,E263,Reservations!$H:$H,"Active"))</f>
        <v/>
      </c>
      <c r="K263">
        <f>IF(E263="","",MAX(0,H263-I263-J263))</f>
        <v/>
      </c>
      <c r="L263">
        <f>IF(E263="","",IF(K263&gt;0,"SHORTAGE",IF(J263&gt;=H263,"RESERVED","READY TO RESERVE")))</f>
        <v/>
      </c>
    </row>
    <row r="264">
      <c r="A264">
        <f>IF('Job Cards'!$A$17="","",'Job Cards'!$A$17)</f>
        <v/>
      </c>
      <c r="B264">
        <f>IF(A264="","",'Job Cards'!$B$17)</f>
        <v/>
      </c>
      <c r="C264">
        <f>IF(A264="","",'Job Cards'!$D$17)</f>
        <v/>
      </c>
      <c r="D264">
        <f>IF(A264="","",'BOM Mapping'!$A$4)</f>
        <v/>
      </c>
      <c r="E264">
        <f>IF(C264="Longitude",'BOM Mapping'!$C$4,IF(C264="Latitude",'BOM Mapping'!$D$4,IF(C264="Altitude",'BOM Mapping'!$E$4,"")))</f>
        <v/>
      </c>
      <c r="F264">
        <f>IF(C264="Longitude",'BOM Mapping'!$J$4,IF(C264="Latitude",'BOM Mapping'!$K$4,IF(C264="Altitude",'BOM Mapping'!$L$4,0)))</f>
        <v/>
      </c>
      <c r="G264">
        <f>IF(A264="","",'Job Cards'!$E$17)</f>
        <v/>
      </c>
      <c r="H264">
        <f>IF(E264="","",F264*G264)</f>
        <v/>
      </c>
      <c r="I264">
        <f>IF(E264="","",IFERROR(VLOOKUP(E264,'Master Inventory'!$A:$N,10,FALSE),0))</f>
        <v/>
      </c>
      <c r="J264">
        <f>IF(E264="","",SUMIFS(Reservations!$G:$G,Reservations!$D:$D,A264,Reservations!$E:$E,E264,Reservations!$H:$H,"Active"))</f>
        <v/>
      </c>
      <c r="K264">
        <f>IF(E264="","",MAX(0,H264-I264-J264))</f>
        <v/>
      </c>
      <c r="L264">
        <f>IF(E264="","",IF(K264&gt;0,"SHORTAGE",IF(J264&gt;=H264,"RESERVED","READY TO RESERVE")))</f>
        <v/>
      </c>
    </row>
    <row r="265">
      <c r="A265">
        <f>IF('Job Cards'!$A$17="","",'Job Cards'!$A$17)</f>
        <v/>
      </c>
      <c r="B265">
        <f>IF(A265="","",'Job Cards'!$B$17)</f>
        <v/>
      </c>
      <c r="C265">
        <f>IF(A265="","",'Job Cards'!$D$17)</f>
        <v/>
      </c>
      <c r="D265">
        <f>IF(A265="","",'BOM Mapping'!$A$5)</f>
        <v/>
      </c>
      <c r="E265">
        <f>IF(C265="Longitude",'BOM Mapping'!$C$5,IF(C265="Latitude",'BOM Mapping'!$D$5,IF(C265="Altitude",'BOM Mapping'!$E$5,"")))</f>
        <v/>
      </c>
      <c r="F265">
        <f>IF(C265="Longitude",'BOM Mapping'!$J$5,IF(C265="Latitude",'BOM Mapping'!$K$5,IF(C265="Altitude",'BOM Mapping'!$L$5,0)))</f>
        <v/>
      </c>
      <c r="G265">
        <f>IF(A265="","",'Job Cards'!$E$17)</f>
        <v/>
      </c>
      <c r="H265">
        <f>IF(E265="","",F265*G265)</f>
        <v/>
      </c>
      <c r="I265">
        <f>IF(E265="","",IFERROR(VLOOKUP(E265,'Master Inventory'!$A:$N,10,FALSE),0))</f>
        <v/>
      </c>
      <c r="J265">
        <f>IF(E265="","",SUMIFS(Reservations!$G:$G,Reservations!$D:$D,A265,Reservations!$E:$E,E265,Reservations!$H:$H,"Active"))</f>
        <v/>
      </c>
      <c r="K265">
        <f>IF(E265="","",MAX(0,H265-I265-J265))</f>
        <v/>
      </c>
      <c r="L265">
        <f>IF(E265="","",IF(K265&gt;0,"SHORTAGE",IF(J265&gt;=H265,"RESERVED","READY TO RESERVE")))</f>
        <v/>
      </c>
    </row>
    <row r="266">
      <c r="A266">
        <f>IF('Job Cards'!$A$17="","",'Job Cards'!$A$17)</f>
        <v/>
      </c>
      <c r="B266">
        <f>IF(A266="","",'Job Cards'!$B$17)</f>
        <v/>
      </c>
      <c r="C266">
        <f>IF(A266="","",'Job Cards'!$D$17)</f>
        <v/>
      </c>
      <c r="D266">
        <f>IF(A266="","",'BOM Mapping'!$A$6)</f>
        <v/>
      </c>
      <c r="E266">
        <f>IF(C266="Longitude",'BOM Mapping'!$C$6,IF(C266="Latitude",'BOM Mapping'!$D$6,IF(C266="Altitude",'BOM Mapping'!$E$6,"")))</f>
        <v/>
      </c>
      <c r="F266">
        <f>IF(C266="Longitude",'BOM Mapping'!$J$6,IF(C266="Latitude",'BOM Mapping'!$K$6,IF(C266="Altitude",'BOM Mapping'!$L$6,0)))</f>
        <v/>
      </c>
      <c r="G266">
        <f>IF(A266="","",'Job Cards'!$E$17)</f>
        <v/>
      </c>
      <c r="H266">
        <f>IF(E266="","",F266*G266)</f>
        <v/>
      </c>
      <c r="I266">
        <f>IF(E266="","",IFERROR(VLOOKUP(E266,'Master Inventory'!$A:$N,10,FALSE),0))</f>
        <v/>
      </c>
      <c r="J266">
        <f>IF(E266="","",SUMIFS(Reservations!$G:$G,Reservations!$D:$D,A266,Reservations!$E:$E,E266,Reservations!$H:$H,"Active"))</f>
        <v/>
      </c>
      <c r="K266">
        <f>IF(E266="","",MAX(0,H266-I266-J266))</f>
        <v/>
      </c>
      <c r="L266">
        <f>IF(E266="","",IF(K266&gt;0,"SHORTAGE",IF(J266&gt;=H266,"RESERVED","READY TO RESERVE")))</f>
        <v/>
      </c>
    </row>
    <row r="267">
      <c r="A267">
        <f>IF('Job Cards'!$A$17="","",'Job Cards'!$A$17)</f>
        <v/>
      </c>
      <c r="B267">
        <f>IF(A267="","",'Job Cards'!$B$17)</f>
        <v/>
      </c>
      <c r="C267">
        <f>IF(A267="","",'Job Cards'!$D$17)</f>
        <v/>
      </c>
      <c r="D267">
        <f>IF(A267="","",'BOM Mapping'!$A$7)</f>
        <v/>
      </c>
      <c r="E267">
        <f>IF(C267="Longitude",'BOM Mapping'!$C$7,IF(C267="Latitude",'BOM Mapping'!$D$7,IF(C267="Altitude",'BOM Mapping'!$E$7,"")))</f>
        <v/>
      </c>
      <c r="F267">
        <f>IF(C267="Longitude",'BOM Mapping'!$J$7,IF(C267="Latitude",'BOM Mapping'!$K$7,IF(C267="Altitude",'BOM Mapping'!$L$7,0)))</f>
        <v/>
      </c>
      <c r="G267">
        <f>IF(A267="","",'Job Cards'!$E$17)</f>
        <v/>
      </c>
      <c r="H267">
        <f>IF(E267="","",F267*G267)</f>
        <v/>
      </c>
      <c r="I267">
        <f>IF(E267="","",IFERROR(VLOOKUP(E267,'Master Inventory'!$A:$N,10,FALSE),0))</f>
        <v/>
      </c>
      <c r="J267">
        <f>IF(E267="","",SUMIFS(Reservations!$G:$G,Reservations!$D:$D,A267,Reservations!$E:$E,E267,Reservations!$H:$H,"Active"))</f>
        <v/>
      </c>
      <c r="K267">
        <f>IF(E267="","",MAX(0,H267-I267-J267))</f>
        <v/>
      </c>
      <c r="L267">
        <f>IF(E267="","",IF(K267&gt;0,"SHORTAGE",IF(J267&gt;=H267,"RESERVED","READY TO RESERVE")))</f>
        <v/>
      </c>
    </row>
    <row r="268">
      <c r="A268">
        <f>IF('Job Cards'!$A$17="","",'Job Cards'!$A$17)</f>
        <v/>
      </c>
      <c r="B268">
        <f>IF(A268="","",'Job Cards'!$B$17)</f>
        <v/>
      </c>
      <c r="C268">
        <f>IF(A268="","",'Job Cards'!$D$17)</f>
        <v/>
      </c>
      <c r="D268">
        <f>IF(A268="","",'BOM Mapping'!$A$8)</f>
        <v/>
      </c>
      <c r="E268">
        <f>IF(C268="Longitude",'BOM Mapping'!$C$8,IF(C268="Latitude",'BOM Mapping'!$D$8,IF(C268="Altitude",'BOM Mapping'!$E$8,"")))</f>
        <v/>
      </c>
      <c r="F268">
        <f>IF(C268="Longitude",'BOM Mapping'!$J$8,IF(C268="Latitude",'BOM Mapping'!$K$8,IF(C268="Altitude",'BOM Mapping'!$L$8,0)))</f>
        <v/>
      </c>
      <c r="G268">
        <f>IF(A268="","",'Job Cards'!$E$17)</f>
        <v/>
      </c>
      <c r="H268">
        <f>IF(E268="","",F268*G268)</f>
        <v/>
      </c>
      <c r="I268">
        <f>IF(E268="","",IFERROR(VLOOKUP(E268,'Master Inventory'!$A:$N,10,FALSE),0))</f>
        <v/>
      </c>
      <c r="J268">
        <f>IF(E268="","",SUMIFS(Reservations!$G:$G,Reservations!$D:$D,A268,Reservations!$E:$E,E268,Reservations!$H:$H,"Active"))</f>
        <v/>
      </c>
      <c r="K268">
        <f>IF(E268="","",MAX(0,H268-I268-J268))</f>
        <v/>
      </c>
      <c r="L268">
        <f>IF(E268="","",IF(K268&gt;0,"SHORTAGE",IF(J268&gt;=H268,"RESERVED","READY TO RESERVE")))</f>
        <v/>
      </c>
    </row>
    <row r="269">
      <c r="A269">
        <f>IF('Job Cards'!$A$17="","",'Job Cards'!$A$17)</f>
        <v/>
      </c>
      <c r="B269">
        <f>IF(A269="","",'Job Cards'!$B$17)</f>
        <v/>
      </c>
      <c r="C269">
        <f>IF(A269="","",'Job Cards'!$D$17)</f>
        <v/>
      </c>
      <c r="D269">
        <f>IF(A269="","",'BOM Mapping'!$A$9)</f>
        <v/>
      </c>
      <c r="E269">
        <f>IF(C269="Longitude",'BOM Mapping'!$C$9,IF(C269="Latitude",'BOM Mapping'!$D$9,IF(C269="Altitude",'BOM Mapping'!$E$9,"")))</f>
        <v/>
      </c>
      <c r="F269">
        <f>IF(C269="Longitude",'BOM Mapping'!$J$9,IF(C269="Latitude",'BOM Mapping'!$K$9,IF(C269="Altitude",'BOM Mapping'!$L$9,0)))</f>
        <v/>
      </c>
      <c r="G269">
        <f>IF(A269="","",'Job Cards'!$E$17)</f>
        <v/>
      </c>
      <c r="H269">
        <f>IF(E269="","",F269*G269)</f>
        <v/>
      </c>
      <c r="I269">
        <f>IF(E269="","",IFERROR(VLOOKUP(E269,'Master Inventory'!$A:$N,10,FALSE),0))</f>
        <v/>
      </c>
      <c r="J269">
        <f>IF(E269="","",SUMIFS(Reservations!$G:$G,Reservations!$D:$D,A269,Reservations!$E:$E,E269,Reservations!$H:$H,"Active"))</f>
        <v/>
      </c>
      <c r="K269">
        <f>IF(E269="","",MAX(0,H269-I269-J269))</f>
        <v/>
      </c>
      <c r="L269">
        <f>IF(E269="","",IF(K269&gt;0,"SHORTAGE",IF(J269&gt;=H269,"RESERVED","READY TO RESERVE")))</f>
        <v/>
      </c>
    </row>
    <row r="270">
      <c r="A270">
        <f>IF('Job Cards'!$A$17="","",'Job Cards'!$A$17)</f>
        <v/>
      </c>
      <c r="B270">
        <f>IF(A270="","",'Job Cards'!$B$17)</f>
        <v/>
      </c>
      <c r="C270">
        <f>IF(A270="","",'Job Cards'!$D$17)</f>
        <v/>
      </c>
      <c r="D270">
        <f>IF(A270="","",'BOM Mapping'!$A$10)</f>
        <v/>
      </c>
      <c r="E270">
        <f>IF(C270="Longitude",'BOM Mapping'!$C$10,IF(C270="Latitude",'BOM Mapping'!$D$10,IF(C270="Altitude",'BOM Mapping'!$E$10,"")))</f>
        <v/>
      </c>
      <c r="F270">
        <f>IF(C270="Longitude",'BOM Mapping'!$J$10,IF(C270="Latitude",'BOM Mapping'!$K$10,IF(C270="Altitude",'BOM Mapping'!$L$10,0)))</f>
        <v/>
      </c>
      <c r="G270">
        <f>IF(A270="","",'Job Cards'!$E$17)</f>
        <v/>
      </c>
      <c r="H270">
        <f>IF(E270="","",F270*G270)</f>
        <v/>
      </c>
      <c r="I270">
        <f>IF(E270="","",IFERROR(VLOOKUP(E270,'Master Inventory'!$A:$N,10,FALSE),0))</f>
        <v/>
      </c>
      <c r="J270">
        <f>IF(E270="","",SUMIFS(Reservations!$G:$G,Reservations!$D:$D,A270,Reservations!$E:$E,E270,Reservations!$H:$H,"Active"))</f>
        <v/>
      </c>
      <c r="K270">
        <f>IF(E270="","",MAX(0,H270-I270-J270))</f>
        <v/>
      </c>
      <c r="L270">
        <f>IF(E270="","",IF(K270&gt;0,"SHORTAGE",IF(J270&gt;=H270,"RESERVED","READY TO RESERVE")))</f>
        <v/>
      </c>
    </row>
    <row r="271">
      <c r="A271">
        <f>IF('Job Cards'!$A$17="","",'Job Cards'!$A$17)</f>
        <v/>
      </c>
      <c r="B271">
        <f>IF(A271="","",'Job Cards'!$B$17)</f>
        <v/>
      </c>
      <c r="C271">
        <f>IF(A271="","",'Job Cards'!$D$17)</f>
        <v/>
      </c>
      <c r="D271">
        <f>IF(A271="","",'BOM Mapping'!$A$11)</f>
        <v/>
      </c>
      <c r="E271">
        <f>IF(C271="Longitude",'BOM Mapping'!$C$11,IF(C271="Latitude",'BOM Mapping'!$D$11,IF(C271="Altitude",'BOM Mapping'!$E$11,"")))</f>
        <v/>
      </c>
      <c r="F271">
        <f>IF(C271="Longitude",'BOM Mapping'!$J$11,IF(C271="Latitude",'BOM Mapping'!$K$11,IF(C271="Altitude",'BOM Mapping'!$L$11,0)))</f>
        <v/>
      </c>
      <c r="G271">
        <f>IF(A271="","",'Job Cards'!$E$17)</f>
        <v/>
      </c>
      <c r="H271">
        <f>IF(E271="","",F271*G271)</f>
        <v/>
      </c>
      <c r="I271">
        <f>IF(E271="","",IFERROR(VLOOKUP(E271,'Master Inventory'!$A:$N,10,FALSE),0))</f>
        <v/>
      </c>
      <c r="J271">
        <f>IF(E271="","",SUMIFS(Reservations!$G:$G,Reservations!$D:$D,A271,Reservations!$E:$E,E271,Reservations!$H:$H,"Active"))</f>
        <v/>
      </c>
      <c r="K271">
        <f>IF(E271="","",MAX(0,H271-I271-J271))</f>
        <v/>
      </c>
      <c r="L271">
        <f>IF(E271="","",IF(K271&gt;0,"SHORTAGE",IF(J271&gt;=H271,"RESERVED","READY TO RESERVE")))</f>
        <v/>
      </c>
    </row>
    <row r="272">
      <c r="A272">
        <f>IF('Job Cards'!$A$17="","",'Job Cards'!$A$17)</f>
        <v/>
      </c>
      <c r="B272">
        <f>IF(A272="","",'Job Cards'!$B$17)</f>
        <v/>
      </c>
      <c r="C272">
        <f>IF(A272="","",'Job Cards'!$D$17)</f>
        <v/>
      </c>
      <c r="D272">
        <f>IF(A272="","",'BOM Mapping'!$A$12)</f>
        <v/>
      </c>
      <c r="E272">
        <f>IF(C272="Longitude",'BOM Mapping'!$C$12,IF(C272="Latitude",'BOM Mapping'!$D$12,IF(C272="Altitude",'BOM Mapping'!$E$12,"")))</f>
        <v/>
      </c>
      <c r="F272">
        <f>IF(C272="Longitude",'BOM Mapping'!$J$12,IF(C272="Latitude",'BOM Mapping'!$K$12,IF(C272="Altitude",'BOM Mapping'!$L$12,0)))</f>
        <v/>
      </c>
      <c r="G272">
        <f>IF(A272="","",'Job Cards'!$E$17)</f>
        <v/>
      </c>
      <c r="H272">
        <f>IF(E272="","",F272*G272)</f>
        <v/>
      </c>
      <c r="I272">
        <f>IF(E272="","",IFERROR(VLOOKUP(E272,'Master Inventory'!$A:$N,10,FALSE),0))</f>
        <v/>
      </c>
      <c r="J272">
        <f>IF(E272="","",SUMIFS(Reservations!$G:$G,Reservations!$D:$D,A272,Reservations!$E:$E,E272,Reservations!$H:$H,"Active"))</f>
        <v/>
      </c>
      <c r="K272">
        <f>IF(E272="","",MAX(0,H272-I272-J272))</f>
        <v/>
      </c>
      <c r="L272">
        <f>IF(E272="","",IF(K272&gt;0,"SHORTAGE",IF(J272&gt;=H272,"RESERVED","READY TO RESERVE")))</f>
        <v/>
      </c>
    </row>
    <row r="273">
      <c r="A273">
        <f>IF('Job Cards'!$A$17="","",'Job Cards'!$A$17)</f>
        <v/>
      </c>
      <c r="B273">
        <f>IF(A273="","",'Job Cards'!$B$17)</f>
        <v/>
      </c>
      <c r="C273">
        <f>IF(A273="","",'Job Cards'!$D$17)</f>
        <v/>
      </c>
      <c r="D273">
        <f>IF(A273="","",'BOM Mapping'!$A$13)</f>
        <v/>
      </c>
      <c r="E273">
        <f>IF(C273="Longitude",'BOM Mapping'!$C$13,IF(C273="Latitude",'BOM Mapping'!$D$13,IF(C273="Altitude",'BOM Mapping'!$E$13,"")))</f>
        <v/>
      </c>
      <c r="F273">
        <f>IF(C273="Longitude",'BOM Mapping'!$J$13,IF(C273="Latitude",'BOM Mapping'!$K$13,IF(C273="Altitude",'BOM Mapping'!$L$13,0)))</f>
        <v/>
      </c>
      <c r="G273">
        <f>IF(A273="","",'Job Cards'!$E$17)</f>
        <v/>
      </c>
      <c r="H273">
        <f>IF(E273="","",F273*G273)</f>
        <v/>
      </c>
      <c r="I273">
        <f>IF(E273="","",IFERROR(VLOOKUP(E273,'Master Inventory'!$A:$N,10,FALSE),0))</f>
        <v/>
      </c>
      <c r="J273">
        <f>IF(E273="","",SUMIFS(Reservations!$G:$G,Reservations!$D:$D,A273,Reservations!$E:$E,E273,Reservations!$H:$H,"Active"))</f>
        <v/>
      </c>
      <c r="K273">
        <f>IF(E273="","",MAX(0,H273-I273-J273))</f>
        <v/>
      </c>
      <c r="L273">
        <f>IF(E273="","",IF(K273&gt;0,"SHORTAGE",IF(J273&gt;=H273,"RESERVED","READY TO RESERVE")))</f>
        <v/>
      </c>
    </row>
    <row r="274">
      <c r="A274">
        <f>IF('Job Cards'!$A$17="","",'Job Cards'!$A$17)</f>
        <v/>
      </c>
      <c r="B274">
        <f>IF(A274="","",'Job Cards'!$B$17)</f>
        <v/>
      </c>
      <c r="C274">
        <f>IF(A274="","",'Job Cards'!$D$17)</f>
        <v/>
      </c>
      <c r="D274">
        <f>IF(A274="","",'BOM Mapping'!$A$14)</f>
        <v/>
      </c>
      <c r="E274">
        <f>IF(C274="Longitude",'BOM Mapping'!$C$14,IF(C274="Latitude",'BOM Mapping'!$D$14,IF(C274="Altitude",'BOM Mapping'!$E$14,"")))</f>
        <v/>
      </c>
      <c r="F274">
        <f>IF(C274="Longitude",'BOM Mapping'!$J$14,IF(C274="Latitude",'BOM Mapping'!$K$14,IF(C274="Altitude",'BOM Mapping'!$L$14,0)))</f>
        <v/>
      </c>
      <c r="G274">
        <f>IF(A274="","",'Job Cards'!$E$17)</f>
        <v/>
      </c>
      <c r="H274">
        <f>IF(E274="","",F274*G274)</f>
        <v/>
      </c>
      <c r="I274">
        <f>IF(E274="","",IFERROR(VLOOKUP(E274,'Master Inventory'!$A:$N,10,FALSE),0))</f>
        <v/>
      </c>
      <c r="J274">
        <f>IF(E274="","",SUMIFS(Reservations!$G:$G,Reservations!$D:$D,A274,Reservations!$E:$E,E274,Reservations!$H:$H,"Active"))</f>
        <v/>
      </c>
      <c r="K274">
        <f>IF(E274="","",MAX(0,H274-I274-J274))</f>
        <v/>
      </c>
      <c r="L274">
        <f>IF(E274="","",IF(K274&gt;0,"SHORTAGE",IF(J274&gt;=H274,"RESERVED","READY TO RESERVE")))</f>
        <v/>
      </c>
    </row>
    <row r="275">
      <c r="A275">
        <f>IF('Job Cards'!$A$17="","",'Job Cards'!$A$17)</f>
        <v/>
      </c>
      <c r="B275">
        <f>IF(A275="","",'Job Cards'!$B$17)</f>
        <v/>
      </c>
      <c r="C275">
        <f>IF(A275="","",'Job Cards'!$D$17)</f>
        <v/>
      </c>
      <c r="D275">
        <f>IF(A275="","",'BOM Mapping'!$A$15)</f>
        <v/>
      </c>
      <c r="E275">
        <f>IF(C275="Longitude",'BOM Mapping'!$C$15,IF(C275="Latitude",'BOM Mapping'!$D$15,IF(C275="Altitude",'BOM Mapping'!$E$15,"")))</f>
        <v/>
      </c>
      <c r="F275">
        <f>IF(C275="Longitude",'BOM Mapping'!$J$15,IF(C275="Latitude",'BOM Mapping'!$K$15,IF(C275="Altitude",'BOM Mapping'!$L$15,0)))</f>
        <v/>
      </c>
      <c r="G275">
        <f>IF(A275="","",'Job Cards'!$E$17)</f>
        <v/>
      </c>
      <c r="H275">
        <f>IF(E275="","",F275*G275)</f>
        <v/>
      </c>
      <c r="I275">
        <f>IF(E275="","",IFERROR(VLOOKUP(E275,'Master Inventory'!$A:$N,10,FALSE),0))</f>
        <v/>
      </c>
      <c r="J275">
        <f>IF(E275="","",SUMIFS(Reservations!$G:$G,Reservations!$D:$D,A275,Reservations!$E:$E,E275,Reservations!$H:$H,"Active"))</f>
        <v/>
      </c>
      <c r="K275">
        <f>IF(E275="","",MAX(0,H275-I275-J275))</f>
        <v/>
      </c>
      <c r="L275">
        <f>IF(E275="","",IF(K275&gt;0,"SHORTAGE",IF(J275&gt;=H275,"RESERVED","READY TO RESERVE")))</f>
        <v/>
      </c>
    </row>
    <row r="276">
      <c r="A276">
        <f>IF('Job Cards'!$A$17="","",'Job Cards'!$A$17)</f>
        <v/>
      </c>
      <c r="B276">
        <f>IF(A276="","",'Job Cards'!$B$17)</f>
        <v/>
      </c>
      <c r="C276">
        <f>IF(A276="","",'Job Cards'!$D$17)</f>
        <v/>
      </c>
      <c r="D276">
        <f>IF(A276="","",'BOM Mapping'!$A$16)</f>
        <v/>
      </c>
      <c r="E276">
        <f>IF(C276="Longitude",'BOM Mapping'!$C$16,IF(C276="Latitude",'BOM Mapping'!$D$16,IF(C276="Altitude",'BOM Mapping'!$E$16,"")))</f>
        <v/>
      </c>
      <c r="F276">
        <f>IF(C276="Longitude",'BOM Mapping'!$J$16,IF(C276="Latitude",'BOM Mapping'!$K$16,IF(C276="Altitude",'BOM Mapping'!$L$16,0)))</f>
        <v/>
      </c>
      <c r="G276">
        <f>IF(A276="","",'Job Cards'!$E$17)</f>
        <v/>
      </c>
      <c r="H276">
        <f>IF(E276="","",F276*G276)</f>
        <v/>
      </c>
      <c r="I276">
        <f>IF(E276="","",IFERROR(VLOOKUP(E276,'Master Inventory'!$A:$N,10,FALSE),0))</f>
        <v/>
      </c>
      <c r="J276">
        <f>IF(E276="","",SUMIFS(Reservations!$G:$G,Reservations!$D:$D,A276,Reservations!$E:$E,E276,Reservations!$H:$H,"Active"))</f>
        <v/>
      </c>
      <c r="K276">
        <f>IF(E276="","",MAX(0,H276-I276-J276))</f>
        <v/>
      </c>
      <c r="L276">
        <f>IF(E276="","",IF(K276&gt;0,"SHORTAGE",IF(J276&gt;=H276,"RESERVED","READY TO RESERVE")))</f>
        <v/>
      </c>
    </row>
    <row r="277">
      <c r="A277">
        <f>IF('Job Cards'!$A$17="","",'Job Cards'!$A$17)</f>
        <v/>
      </c>
      <c r="B277">
        <f>IF(A277="","",'Job Cards'!$B$17)</f>
        <v/>
      </c>
      <c r="C277">
        <f>IF(A277="","",'Job Cards'!$D$17)</f>
        <v/>
      </c>
      <c r="D277">
        <f>IF(A277="","",'BOM Mapping'!$A$17)</f>
        <v/>
      </c>
      <c r="E277">
        <f>IF(C277="Longitude",'BOM Mapping'!$C$17,IF(C277="Latitude",'BOM Mapping'!$D$17,IF(C277="Altitude",'BOM Mapping'!$E$17,"")))</f>
        <v/>
      </c>
      <c r="F277">
        <f>IF(C277="Longitude",'BOM Mapping'!$J$17,IF(C277="Latitude",'BOM Mapping'!$K$17,IF(C277="Altitude",'BOM Mapping'!$L$17,0)))</f>
        <v/>
      </c>
      <c r="G277">
        <f>IF(A277="","",'Job Cards'!$E$17)</f>
        <v/>
      </c>
      <c r="H277">
        <f>IF(E277="","",F277*G277)</f>
        <v/>
      </c>
      <c r="I277">
        <f>IF(E277="","",IFERROR(VLOOKUP(E277,'Master Inventory'!$A:$N,10,FALSE),0))</f>
        <v/>
      </c>
      <c r="J277">
        <f>IF(E277="","",SUMIFS(Reservations!$G:$G,Reservations!$D:$D,A277,Reservations!$E:$E,E277,Reservations!$H:$H,"Active"))</f>
        <v/>
      </c>
      <c r="K277">
        <f>IF(E277="","",MAX(0,H277-I277-J277))</f>
        <v/>
      </c>
      <c r="L277">
        <f>IF(E277="","",IF(K277&gt;0,"SHORTAGE",IF(J277&gt;=H277,"RESERVED","READY TO RESERVE")))</f>
        <v/>
      </c>
    </row>
    <row r="278">
      <c r="A278">
        <f>IF('Job Cards'!$A$17="","",'Job Cards'!$A$17)</f>
        <v/>
      </c>
      <c r="B278">
        <f>IF(A278="","",'Job Cards'!$B$17)</f>
        <v/>
      </c>
      <c r="C278">
        <f>IF(A278="","",'Job Cards'!$D$17)</f>
        <v/>
      </c>
      <c r="D278">
        <f>IF(A278="","",'BOM Mapping'!$A$18)</f>
        <v/>
      </c>
      <c r="E278">
        <f>IF(C278="Longitude",'BOM Mapping'!$C$18,IF(C278="Latitude",'BOM Mapping'!$D$18,IF(C278="Altitude",'BOM Mapping'!$E$18,"")))</f>
        <v/>
      </c>
      <c r="F278">
        <f>IF(C278="Longitude",'BOM Mapping'!$J$18,IF(C278="Latitude",'BOM Mapping'!$K$18,IF(C278="Altitude",'BOM Mapping'!$L$18,0)))</f>
        <v/>
      </c>
      <c r="G278">
        <f>IF(A278="","",'Job Cards'!$E$17)</f>
        <v/>
      </c>
      <c r="H278">
        <f>IF(E278="","",F278*G278)</f>
        <v/>
      </c>
      <c r="I278">
        <f>IF(E278="","",IFERROR(VLOOKUP(E278,'Master Inventory'!$A:$N,10,FALSE),0))</f>
        <v/>
      </c>
      <c r="J278">
        <f>IF(E278="","",SUMIFS(Reservations!$G:$G,Reservations!$D:$D,A278,Reservations!$E:$E,E278,Reservations!$H:$H,"Active"))</f>
        <v/>
      </c>
      <c r="K278">
        <f>IF(E278="","",MAX(0,H278-I278-J278))</f>
        <v/>
      </c>
      <c r="L278">
        <f>IF(E278="","",IF(K278&gt;0,"SHORTAGE",IF(J278&gt;=H278,"RESERVED","READY TO RESERVE")))</f>
        <v/>
      </c>
    </row>
    <row r="279">
      <c r="A279">
        <f>IF('Job Cards'!$A$17="","",'Job Cards'!$A$17)</f>
        <v/>
      </c>
      <c r="B279">
        <f>IF(A279="","",'Job Cards'!$B$17)</f>
        <v/>
      </c>
      <c r="C279">
        <f>IF(A279="","",'Job Cards'!$D$17)</f>
        <v/>
      </c>
      <c r="D279">
        <f>IF(A279="","",'BOM Mapping'!$A$19)</f>
        <v/>
      </c>
      <c r="E279">
        <f>IF(C279="Longitude",'BOM Mapping'!$C$19,IF(C279="Latitude",'BOM Mapping'!$D$19,IF(C279="Altitude",'BOM Mapping'!$E$19,"")))</f>
        <v/>
      </c>
      <c r="F279">
        <f>IF(C279="Longitude",'BOM Mapping'!$J$19,IF(C279="Latitude",'BOM Mapping'!$K$19,IF(C279="Altitude",'BOM Mapping'!$L$19,0)))</f>
        <v/>
      </c>
      <c r="G279">
        <f>IF(A279="","",'Job Cards'!$E$17)</f>
        <v/>
      </c>
      <c r="H279">
        <f>IF(E279="","",F279*G279)</f>
        <v/>
      </c>
      <c r="I279">
        <f>IF(E279="","",IFERROR(VLOOKUP(E279,'Master Inventory'!$A:$N,10,FALSE),0))</f>
        <v/>
      </c>
      <c r="J279">
        <f>IF(E279="","",SUMIFS(Reservations!$G:$G,Reservations!$D:$D,A279,Reservations!$E:$E,E279,Reservations!$H:$H,"Active"))</f>
        <v/>
      </c>
      <c r="K279">
        <f>IF(E279="","",MAX(0,H279-I279-J279))</f>
        <v/>
      </c>
      <c r="L279">
        <f>IF(E279="","",IF(K279&gt;0,"SHORTAGE",IF(J279&gt;=H279,"RESERVED","READY TO RESERVE")))</f>
        <v/>
      </c>
    </row>
    <row r="280">
      <c r="A280">
        <f>IF('Job Cards'!$A$17="","",'Job Cards'!$A$17)</f>
        <v/>
      </c>
      <c r="B280">
        <f>IF(A280="","",'Job Cards'!$B$17)</f>
        <v/>
      </c>
      <c r="C280">
        <f>IF(A280="","",'Job Cards'!$D$17)</f>
        <v/>
      </c>
      <c r="D280">
        <f>IF(A280="","",'BOM Mapping'!$A$20)</f>
        <v/>
      </c>
      <c r="E280">
        <f>IF(C280="Longitude",'BOM Mapping'!$C$20,IF(C280="Latitude",'BOM Mapping'!$D$20,IF(C280="Altitude",'BOM Mapping'!$E$20,"")))</f>
        <v/>
      </c>
      <c r="F280">
        <f>IF(C280="Longitude",'BOM Mapping'!$J$20,IF(C280="Latitude",'BOM Mapping'!$K$20,IF(C280="Altitude",'BOM Mapping'!$L$20,0)))</f>
        <v/>
      </c>
      <c r="G280">
        <f>IF(A280="","",'Job Cards'!$E$17)</f>
        <v/>
      </c>
      <c r="H280">
        <f>IF(E280="","",F280*G280)</f>
        <v/>
      </c>
      <c r="I280">
        <f>IF(E280="","",IFERROR(VLOOKUP(E280,'Master Inventory'!$A:$N,10,FALSE),0))</f>
        <v/>
      </c>
      <c r="J280">
        <f>IF(E280="","",SUMIFS(Reservations!$G:$G,Reservations!$D:$D,A280,Reservations!$E:$E,E280,Reservations!$H:$H,"Active"))</f>
        <v/>
      </c>
      <c r="K280">
        <f>IF(E280="","",MAX(0,H280-I280-J280))</f>
        <v/>
      </c>
      <c r="L280">
        <f>IF(E280="","",IF(K280&gt;0,"SHORTAGE",IF(J280&gt;=H280,"RESERVED","READY TO RESERVE")))</f>
        <v/>
      </c>
    </row>
    <row r="281">
      <c r="A281">
        <f>IF('Job Cards'!$A$17="","",'Job Cards'!$A$17)</f>
        <v/>
      </c>
      <c r="B281">
        <f>IF(A281="","",'Job Cards'!$B$17)</f>
        <v/>
      </c>
      <c r="C281">
        <f>IF(A281="","",'Job Cards'!$D$17)</f>
        <v/>
      </c>
      <c r="D281">
        <f>IF(A281="","",'BOM Mapping'!$A$21)</f>
        <v/>
      </c>
      <c r="E281">
        <f>IF(C281="Longitude",'BOM Mapping'!$C$21,IF(C281="Latitude",'BOM Mapping'!$D$21,IF(C281="Altitude",'BOM Mapping'!$E$21,"")))</f>
        <v/>
      </c>
      <c r="F281">
        <f>IF(C281="Longitude",'BOM Mapping'!$J$21,IF(C281="Latitude",'BOM Mapping'!$K$21,IF(C281="Altitude",'BOM Mapping'!$L$21,0)))</f>
        <v/>
      </c>
      <c r="G281">
        <f>IF(A281="","",'Job Cards'!$E$17)</f>
        <v/>
      </c>
      <c r="H281">
        <f>IF(E281="","",F281*G281)</f>
        <v/>
      </c>
      <c r="I281">
        <f>IF(E281="","",IFERROR(VLOOKUP(E281,'Master Inventory'!$A:$N,10,FALSE),0))</f>
        <v/>
      </c>
      <c r="J281">
        <f>IF(E281="","",SUMIFS(Reservations!$G:$G,Reservations!$D:$D,A281,Reservations!$E:$E,E281,Reservations!$H:$H,"Active"))</f>
        <v/>
      </c>
      <c r="K281">
        <f>IF(E281="","",MAX(0,H281-I281-J281))</f>
        <v/>
      </c>
      <c r="L281">
        <f>IF(E281="","",IF(K281&gt;0,"SHORTAGE",IF(J281&gt;=H281,"RESERVED","READY TO RESERVE")))</f>
        <v/>
      </c>
    </row>
    <row r="282">
      <c r="A282">
        <f>IF('Job Cards'!$A$17="","",'Job Cards'!$A$17)</f>
        <v/>
      </c>
      <c r="B282">
        <f>IF(A282="","",'Job Cards'!$B$17)</f>
        <v/>
      </c>
      <c r="C282">
        <f>IF(A282="","",'Job Cards'!$D$17)</f>
        <v/>
      </c>
      <c r="D282">
        <f>IF(A282="","",'BOM Mapping'!$A$22)</f>
        <v/>
      </c>
      <c r="E282">
        <f>IF(C282="Longitude",'BOM Mapping'!$C$22,IF(C282="Latitude",'BOM Mapping'!$D$22,IF(C282="Altitude",'BOM Mapping'!$E$22,"")))</f>
        <v/>
      </c>
      <c r="F282">
        <f>IF(C282="Longitude",'BOM Mapping'!$J$22,IF(C282="Latitude",'BOM Mapping'!$K$22,IF(C282="Altitude",'BOM Mapping'!$L$22,0)))</f>
        <v/>
      </c>
      <c r="G282">
        <f>IF(A282="","",'Job Cards'!$E$17)</f>
        <v/>
      </c>
      <c r="H282">
        <f>IF(E282="","",F282*G282)</f>
        <v/>
      </c>
      <c r="I282">
        <f>IF(E282="","",IFERROR(VLOOKUP(E282,'Master Inventory'!$A:$N,10,FALSE),0))</f>
        <v/>
      </c>
      <c r="J282">
        <f>IF(E282="","",SUMIFS(Reservations!$G:$G,Reservations!$D:$D,A282,Reservations!$E:$E,E282,Reservations!$H:$H,"Active"))</f>
        <v/>
      </c>
      <c r="K282">
        <f>IF(E282="","",MAX(0,H282-I282-J282))</f>
        <v/>
      </c>
      <c r="L282">
        <f>IF(E282="","",IF(K282&gt;0,"SHORTAGE",IF(J282&gt;=H282,"RESERVED","READY TO RESERVE")))</f>
        <v/>
      </c>
    </row>
    <row r="283">
      <c r="A283">
        <f>IF('Job Cards'!$A$17="","",'Job Cards'!$A$17)</f>
        <v/>
      </c>
      <c r="B283">
        <f>IF(A283="","",'Job Cards'!$B$17)</f>
        <v/>
      </c>
      <c r="C283">
        <f>IF(A283="","",'Job Cards'!$D$17)</f>
        <v/>
      </c>
      <c r="D283">
        <f>IF(A283="","",'BOM Mapping'!$A$23)</f>
        <v/>
      </c>
      <c r="E283">
        <f>IF(C283="Longitude",'BOM Mapping'!$C$23,IF(C283="Latitude",'BOM Mapping'!$D$23,IF(C283="Altitude",'BOM Mapping'!$E$23,"")))</f>
        <v/>
      </c>
      <c r="F283">
        <f>IF(C283="Longitude",'BOM Mapping'!$J$23,IF(C283="Latitude",'BOM Mapping'!$K$23,IF(C283="Altitude",'BOM Mapping'!$L$23,0)))</f>
        <v/>
      </c>
      <c r="G283">
        <f>IF(A283="","",'Job Cards'!$E$17)</f>
        <v/>
      </c>
      <c r="H283">
        <f>IF(E283="","",F283*G283)</f>
        <v/>
      </c>
      <c r="I283">
        <f>IF(E283="","",IFERROR(VLOOKUP(E283,'Master Inventory'!$A:$N,10,FALSE),0))</f>
        <v/>
      </c>
      <c r="J283">
        <f>IF(E283="","",SUMIFS(Reservations!$G:$G,Reservations!$D:$D,A283,Reservations!$E:$E,E283,Reservations!$H:$H,"Active"))</f>
        <v/>
      </c>
      <c r="K283">
        <f>IF(E283="","",MAX(0,H283-I283-J283))</f>
        <v/>
      </c>
      <c r="L283">
        <f>IF(E283="","",IF(K283&gt;0,"SHORTAGE",IF(J283&gt;=H283,"RESERVED","READY TO RESERVE")))</f>
        <v/>
      </c>
    </row>
    <row r="284">
      <c r="A284">
        <f>IF('Job Cards'!$A$18="","",'Job Cards'!$A$18)</f>
        <v/>
      </c>
      <c r="B284">
        <f>IF(A284="","",'Job Cards'!$B$18)</f>
        <v/>
      </c>
      <c r="C284">
        <f>IF(A284="","",'Job Cards'!$D$18)</f>
        <v/>
      </c>
      <c r="D284">
        <f>IF(A284="","",'BOM Mapping'!$A$4)</f>
        <v/>
      </c>
      <c r="E284">
        <f>IF(C284="Longitude",'BOM Mapping'!$C$4,IF(C284="Latitude",'BOM Mapping'!$D$4,IF(C284="Altitude",'BOM Mapping'!$E$4,"")))</f>
        <v/>
      </c>
      <c r="F284">
        <f>IF(C284="Longitude",'BOM Mapping'!$J$4,IF(C284="Latitude",'BOM Mapping'!$K$4,IF(C284="Altitude",'BOM Mapping'!$L$4,0)))</f>
        <v/>
      </c>
      <c r="G284">
        <f>IF(A284="","",'Job Cards'!$E$18)</f>
        <v/>
      </c>
      <c r="H284">
        <f>IF(E284="","",F284*G284)</f>
        <v/>
      </c>
      <c r="I284">
        <f>IF(E284="","",IFERROR(VLOOKUP(E284,'Master Inventory'!$A:$N,10,FALSE),0))</f>
        <v/>
      </c>
      <c r="J284">
        <f>IF(E284="","",SUMIFS(Reservations!$G:$G,Reservations!$D:$D,A284,Reservations!$E:$E,E284,Reservations!$H:$H,"Active"))</f>
        <v/>
      </c>
      <c r="K284">
        <f>IF(E284="","",MAX(0,H284-I284-J284))</f>
        <v/>
      </c>
      <c r="L284">
        <f>IF(E284="","",IF(K284&gt;0,"SHORTAGE",IF(J284&gt;=H284,"RESERVED","READY TO RESERVE")))</f>
        <v/>
      </c>
    </row>
    <row r="285">
      <c r="A285">
        <f>IF('Job Cards'!$A$18="","",'Job Cards'!$A$18)</f>
        <v/>
      </c>
      <c r="B285">
        <f>IF(A285="","",'Job Cards'!$B$18)</f>
        <v/>
      </c>
      <c r="C285">
        <f>IF(A285="","",'Job Cards'!$D$18)</f>
        <v/>
      </c>
      <c r="D285">
        <f>IF(A285="","",'BOM Mapping'!$A$5)</f>
        <v/>
      </c>
      <c r="E285">
        <f>IF(C285="Longitude",'BOM Mapping'!$C$5,IF(C285="Latitude",'BOM Mapping'!$D$5,IF(C285="Altitude",'BOM Mapping'!$E$5,"")))</f>
        <v/>
      </c>
      <c r="F285">
        <f>IF(C285="Longitude",'BOM Mapping'!$J$5,IF(C285="Latitude",'BOM Mapping'!$K$5,IF(C285="Altitude",'BOM Mapping'!$L$5,0)))</f>
        <v/>
      </c>
      <c r="G285">
        <f>IF(A285="","",'Job Cards'!$E$18)</f>
        <v/>
      </c>
      <c r="H285">
        <f>IF(E285="","",F285*G285)</f>
        <v/>
      </c>
      <c r="I285">
        <f>IF(E285="","",IFERROR(VLOOKUP(E285,'Master Inventory'!$A:$N,10,FALSE),0))</f>
        <v/>
      </c>
      <c r="J285">
        <f>IF(E285="","",SUMIFS(Reservations!$G:$G,Reservations!$D:$D,A285,Reservations!$E:$E,E285,Reservations!$H:$H,"Active"))</f>
        <v/>
      </c>
      <c r="K285">
        <f>IF(E285="","",MAX(0,H285-I285-J285))</f>
        <v/>
      </c>
      <c r="L285">
        <f>IF(E285="","",IF(K285&gt;0,"SHORTAGE",IF(J285&gt;=H285,"RESERVED","READY TO RESERVE")))</f>
        <v/>
      </c>
    </row>
    <row r="286">
      <c r="A286">
        <f>IF('Job Cards'!$A$18="","",'Job Cards'!$A$18)</f>
        <v/>
      </c>
      <c r="B286">
        <f>IF(A286="","",'Job Cards'!$B$18)</f>
        <v/>
      </c>
      <c r="C286">
        <f>IF(A286="","",'Job Cards'!$D$18)</f>
        <v/>
      </c>
      <c r="D286">
        <f>IF(A286="","",'BOM Mapping'!$A$6)</f>
        <v/>
      </c>
      <c r="E286">
        <f>IF(C286="Longitude",'BOM Mapping'!$C$6,IF(C286="Latitude",'BOM Mapping'!$D$6,IF(C286="Altitude",'BOM Mapping'!$E$6,"")))</f>
        <v/>
      </c>
      <c r="F286">
        <f>IF(C286="Longitude",'BOM Mapping'!$J$6,IF(C286="Latitude",'BOM Mapping'!$K$6,IF(C286="Altitude",'BOM Mapping'!$L$6,0)))</f>
        <v/>
      </c>
      <c r="G286">
        <f>IF(A286="","",'Job Cards'!$E$18)</f>
        <v/>
      </c>
      <c r="H286">
        <f>IF(E286="","",F286*G286)</f>
        <v/>
      </c>
      <c r="I286">
        <f>IF(E286="","",IFERROR(VLOOKUP(E286,'Master Inventory'!$A:$N,10,FALSE),0))</f>
        <v/>
      </c>
      <c r="J286">
        <f>IF(E286="","",SUMIFS(Reservations!$G:$G,Reservations!$D:$D,A286,Reservations!$E:$E,E286,Reservations!$H:$H,"Active"))</f>
        <v/>
      </c>
      <c r="K286">
        <f>IF(E286="","",MAX(0,H286-I286-J286))</f>
        <v/>
      </c>
      <c r="L286">
        <f>IF(E286="","",IF(K286&gt;0,"SHORTAGE",IF(J286&gt;=H286,"RESERVED","READY TO RESERVE")))</f>
        <v/>
      </c>
    </row>
    <row r="287">
      <c r="A287">
        <f>IF('Job Cards'!$A$18="","",'Job Cards'!$A$18)</f>
        <v/>
      </c>
      <c r="B287">
        <f>IF(A287="","",'Job Cards'!$B$18)</f>
        <v/>
      </c>
      <c r="C287">
        <f>IF(A287="","",'Job Cards'!$D$18)</f>
        <v/>
      </c>
      <c r="D287">
        <f>IF(A287="","",'BOM Mapping'!$A$7)</f>
        <v/>
      </c>
      <c r="E287">
        <f>IF(C287="Longitude",'BOM Mapping'!$C$7,IF(C287="Latitude",'BOM Mapping'!$D$7,IF(C287="Altitude",'BOM Mapping'!$E$7,"")))</f>
        <v/>
      </c>
      <c r="F287">
        <f>IF(C287="Longitude",'BOM Mapping'!$J$7,IF(C287="Latitude",'BOM Mapping'!$K$7,IF(C287="Altitude",'BOM Mapping'!$L$7,0)))</f>
        <v/>
      </c>
      <c r="G287">
        <f>IF(A287="","",'Job Cards'!$E$18)</f>
        <v/>
      </c>
      <c r="H287">
        <f>IF(E287="","",F287*G287)</f>
        <v/>
      </c>
      <c r="I287">
        <f>IF(E287="","",IFERROR(VLOOKUP(E287,'Master Inventory'!$A:$N,10,FALSE),0))</f>
        <v/>
      </c>
      <c r="J287">
        <f>IF(E287="","",SUMIFS(Reservations!$G:$G,Reservations!$D:$D,A287,Reservations!$E:$E,E287,Reservations!$H:$H,"Active"))</f>
        <v/>
      </c>
      <c r="K287">
        <f>IF(E287="","",MAX(0,H287-I287-J287))</f>
        <v/>
      </c>
      <c r="L287">
        <f>IF(E287="","",IF(K287&gt;0,"SHORTAGE",IF(J287&gt;=H287,"RESERVED","READY TO RESERVE")))</f>
        <v/>
      </c>
    </row>
    <row r="288">
      <c r="A288">
        <f>IF('Job Cards'!$A$18="","",'Job Cards'!$A$18)</f>
        <v/>
      </c>
      <c r="B288">
        <f>IF(A288="","",'Job Cards'!$B$18)</f>
        <v/>
      </c>
      <c r="C288">
        <f>IF(A288="","",'Job Cards'!$D$18)</f>
        <v/>
      </c>
      <c r="D288">
        <f>IF(A288="","",'BOM Mapping'!$A$8)</f>
        <v/>
      </c>
      <c r="E288">
        <f>IF(C288="Longitude",'BOM Mapping'!$C$8,IF(C288="Latitude",'BOM Mapping'!$D$8,IF(C288="Altitude",'BOM Mapping'!$E$8,"")))</f>
        <v/>
      </c>
      <c r="F288">
        <f>IF(C288="Longitude",'BOM Mapping'!$J$8,IF(C288="Latitude",'BOM Mapping'!$K$8,IF(C288="Altitude",'BOM Mapping'!$L$8,0)))</f>
        <v/>
      </c>
      <c r="G288">
        <f>IF(A288="","",'Job Cards'!$E$18)</f>
        <v/>
      </c>
      <c r="H288">
        <f>IF(E288="","",F288*G288)</f>
        <v/>
      </c>
      <c r="I288">
        <f>IF(E288="","",IFERROR(VLOOKUP(E288,'Master Inventory'!$A:$N,10,FALSE),0))</f>
        <v/>
      </c>
      <c r="J288">
        <f>IF(E288="","",SUMIFS(Reservations!$G:$G,Reservations!$D:$D,A288,Reservations!$E:$E,E288,Reservations!$H:$H,"Active"))</f>
        <v/>
      </c>
      <c r="K288">
        <f>IF(E288="","",MAX(0,H288-I288-J288))</f>
        <v/>
      </c>
      <c r="L288">
        <f>IF(E288="","",IF(K288&gt;0,"SHORTAGE",IF(J288&gt;=H288,"RESERVED","READY TO RESERVE")))</f>
        <v/>
      </c>
    </row>
    <row r="289">
      <c r="A289">
        <f>IF('Job Cards'!$A$18="","",'Job Cards'!$A$18)</f>
        <v/>
      </c>
      <c r="B289">
        <f>IF(A289="","",'Job Cards'!$B$18)</f>
        <v/>
      </c>
      <c r="C289">
        <f>IF(A289="","",'Job Cards'!$D$18)</f>
        <v/>
      </c>
      <c r="D289">
        <f>IF(A289="","",'BOM Mapping'!$A$9)</f>
        <v/>
      </c>
      <c r="E289">
        <f>IF(C289="Longitude",'BOM Mapping'!$C$9,IF(C289="Latitude",'BOM Mapping'!$D$9,IF(C289="Altitude",'BOM Mapping'!$E$9,"")))</f>
        <v/>
      </c>
      <c r="F289">
        <f>IF(C289="Longitude",'BOM Mapping'!$J$9,IF(C289="Latitude",'BOM Mapping'!$K$9,IF(C289="Altitude",'BOM Mapping'!$L$9,0)))</f>
        <v/>
      </c>
      <c r="G289">
        <f>IF(A289="","",'Job Cards'!$E$18)</f>
        <v/>
      </c>
      <c r="H289">
        <f>IF(E289="","",F289*G289)</f>
        <v/>
      </c>
      <c r="I289">
        <f>IF(E289="","",IFERROR(VLOOKUP(E289,'Master Inventory'!$A:$N,10,FALSE),0))</f>
        <v/>
      </c>
      <c r="J289">
        <f>IF(E289="","",SUMIFS(Reservations!$G:$G,Reservations!$D:$D,A289,Reservations!$E:$E,E289,Reservations!$H:$H,"Active"))</f>
        <v/>
      </c>
      <c r="K289">
        <f>IF(E289="","",MAX(0,H289-I289-J289))</f>
        <v/>
      </c>
      <c r="L289">
        <f>IF(E289="","",IF(K289&gt;0,"SHORTAGE",IF(J289&gt;=H289,"RESERVED","READY TO RESERVE")))</f>
        <v/>
      </c>
    </row>
    <row r="290">
      <c r="A290">
        <f>IF('Job Cards'!$A$18="","",'Job Cards'!$A$18)</f>
        <v/>
      </c>
      <c r="B290">
        <f>IF(A290="","",'Job Cards'!$B$18)</f>
        <v/>
      </c>
      <c r="C290">
        <f>IF(A290="","",'Job Cards'!$D$18)</f>
        <v/>
      </c>
      <c r="D290">
        <f>IF(A290="","",'BOM Mapping'!$A$10)</f>
        <v/>
      </c>
      <c r="E290">
        <f>IF(C290="Longitude",'BOM Mapping'!$C$10,IF(C290="Latitude",'BOM Mapping'!$D$10,IF(C290="Altitude",'BOM Mapping'!$E$10,"")))</f>
        <v/>
      </c>
      <c r="F290">
        <f>IF(C290="Longitude",'BOM Mapping'!$J$10,IF(C290="Latitude",'BOM Mapping'!$K$10,IF(C290="Altitude",'BOM Mapping'!$L$10,0)))</f>
        <v/>
      </c>
      <c r="G290">
        <f>IF(A290="","",'Job Cards'!$E$18)</f>
        <v/>
      </c>
      <c r="H290">
        <f>IF(E290="","",F290*G290)</f>
        <v/>
      </c>
      <c r="I290">
        <f>IF(E290="","",IFERROR(VLOOKUP(E290,'Master Inventory'!$A:$N,10,FALSE),0))</f>
        <v/>
      </c>
      <c r="J290">
        <f>IF(E290="","",SUMIFS(Reservations!$G:$G,Reservations!$D:$D,A290,Reservations!$E:$E,E290,Reservations!$H:$H,"Active"))</f>
        <v/>
      </c>
      <c r="K290">
        <f>IF(E290="","",MAX(0,H290-I290-J290))</f>
        <v/>
      </c>
      <c r="L290">
        <f>IF(E290="","",IF(K290&gt;0,"SHORTAGE",IF(J290&gt;=H290,"RESERVED","READY TO RESERVE")))</f>
        <v/>
      </c>
    </row>
    <row r="291">
      <c r="A291">
        <f>IF('Job Cards'!$A$18="","",'Job Cards'!$A$18)</f>
        <v/>
      </c>
      <c r="B291">
        <f>IF(A291="","",'Job Cards'!$B$18)</f>
        <v/>
      </c>
      <c r="C291">
        <f>IF(A291="","",'Job Cards'!$D$18)</f>
        <v/>
      </c>
      <c r="D291">
        <f>IF(A291="","",'BOM Mapping'!$A$11)</f>
        <v/>
      </c>
      <c r="E291">
        <f>IF(C291="Longitude",'BOM Mapping'!$C$11,IF(C291="Latitude",'BOM Mapping'!$D$11,IF(C291="Altitude",'BOM Mapping'!$E$11,"")))</f>
        <v/>
      </c>
      <c r="F291">
        <f>IF(C291="Longitude",'BOM Mapping'!$J$11,IF(C291="Latitude",'BOM Mapping'!$K$11,IF(C291="Altitude",'BOM Mapping'!$L$11,0)))</f>
        <v/>
      </c>
      <c r="G291">
        <f>IF(A291="","",'Job Cards'!$E$18)</f>
        <v/>
      </c>
      <c r="H291">
        <f>IF(E291="","",F291*G291)</f>
        <v/>
      </c>
      <c r="I291">
        <f>IF(E291="","",IFERROR(VLOOKUP(E291,'Master Inventory'!$A:$N,10,FALSE),0))</f>
        <v/>
      </c>
      <c r="J291">
        <f>IF(E291="","",SUMIFS(Reservations!$G:$G,Reservations!$D:$D,A291,Reservations!$E:$E,E291,Reservations!$H:$H,"Active"))</f>
        <v/>
      </c>
      <c r="K291">
        <f>IF(E291="","",MAX(0,H291-I291-J291))</f>
        <v/>
      </c>
      <c r="L291">
        <f>IF(E291="","",IF(K291&gt;0,"SHORTAGE",IF(J291&gt;=H291,"RESERVED","READY TO RESERVE")))</f>
        <v/>
      </c>
    </row>
    <row r="292">
      <c r="A292">
        <f>IF('Job Cards'!$A$18="","",'Job Cards'!$A$18)</f>
        <v/>
      </c>
      <c r="B292">
        <f>IF(A292="","",'Job Cards'!$B$18)</f>
        <v/>
      </c>
      <c r="C292">
        <f>IF(A292="","",'Job Cards'!$D$18)</f>
        <v/>
      </c>
      <c r="D292">
        <f>IF(A292="","",'BOM Mapping'!$A$12)</f>
        <v/>
      </c>
      <c r="E292">
        <f>IF(C292="Longitude",'BOM Mapping'!$C$12,IF(C292="Latitude",'BOM Mapping'!$D$12,IF(C292="Altitude",'BOM Mapping'!$E$12,"")))</f>
        <v/>
      </c>
      <c r="F292">
        <f>IF(C292="Longitude",'BOM Mapping'!$J$12,IF(C292="Latitude",'BOM Mapping'!$K$12,IF(C292="Altitude",'BOM Mapping'!$L$12,0)))</f>
        <v/>
      </c>
      <c r="G292">
        <f>IF(A292="","",'Job Cards'!$E$18)</f>
        <v/>
      </c>
      <c r="H292">
        <f>IF(E292="","",F292*G292)</f>
        <v/>
      </c>
      <c r="I292">
        <f>IF(E292="","",IFERROR(VLOOKUP(E292,'Master Inventory'!$A:$N,10,FALSE),0))</f>
        <v/>
      </c>
      <c r="J292">
        <f>IF(E292="","",SUMIFS(Reservations!$G:$G,Reservations!$D:$D,A292,Reservations!$E:$E,E292,Reservations!$H:$H,"Active"))</f>
        <v/>
      </c>
      <c r="K292">
        <f>IF(E292="","",MAX(0,H292-I292-J292))</f>
        <v/>
      </c>
      <c r="L292">
        <f>IF(E292="","",IF(K292&gt;0,"SHORTAGE",IF(J292&gt;=H292,"RESERVED","READY TO RESERVE")))</f>
        <v/>
      </c>
    </row>
    <row r="293">
      <c r="A293">
        <f>IF('Job Cards'!$A$18="","",'Job Cards'!$A$18)</f>
        <v/>
      </c>
      <c r="B293">
        <f>IF(A293="","",'Job Cards'!$B$18)</f>
        <v/>
      </c>
      <c r="C293">
        <f>IF(A293="","",'Job Cards'!$D$18)</f>
        <v/>
      </c>
      <c r="D293">
        <f>IF(A293="","",'BOM Mapping'!$A$13)</f>
        <v/>
      </c>
      <c r="E293">
        <f>IF(C293="Longitude",'BOM Mapping'!$C$13,IF(C293="Latitude",'BOM Mapping'!$D$13,IF(C293="Altitude",'BOM Mapping'!$E$13,"")))</f>
        <v/>
      </c>
      <c r="F293">
        <f>IF(C293="Longitude",'BOM Mapping'!$J$13,IF(C293="Latitude",'BOM Mapping'!$K$13,IF(C293="Altitude",'BOM Mapping'!$L$13,0)))</f>
        <v/>
      </c>
      <c r="G293">
        <f>IF(A293="","",'Job Cards'!$E$18)</f>
        <v/>
      </c>
      <c r="H293">
        <f>IF(E293="","",F293*G293)</f>
        <v/>
      </c>
      <c r="I293">
        <f>IF(E293="","",IFERROR(VLOOKUP(E293,'Master Inventory'!$A:$N,10,FALSE),0))</f>
        <v/>
      </c>
      <c r="J293">
        <f>IF(E293="","",SUMIFS(Reservations!$G:$G,Reservations!$D:$D,A293,Reservations!$E:$E,E293,Reservations!$H:$H,"Active"))</f>
        <v/>
      </c>
      <c r="K293">
        <f>IF(E293="","",MAX(0,H293-I293-J293))</f>
        <v/>
      </c>
      <c r="L293">
        <f>IF(E293="","",IF(K293&gt;0,"SHORTAGE",IF(J293&gt;=H293,"RESERVED","READY TO RESERVE")))</f>
        <v/>
      </c>
    </row>
    <row r="294">
      <c r="A294">
        <f>IF('Job Cards'!$A$18="","",'Job Cards'!$A$18)</f>
        <v/>
      </c>
      <c r="B294">
        <f>IF(A294="","",'Job Cards'!$B$18)</f>
        <v/>
      </c>
      <c r="C294">
        <f>IF(A294="","",'Job Cards'!$D$18)</f>
        <v/>
      </c>
      <c r="D294">
        <f>IF(A294="","",'BOM Mapping'!$A$14)</f>
        <v/>
      </c>
      <c r="E294">
        <f>IF(C294="Longitude",'BOM Mapping'!$C$14,IF(C294="Latitude",'BOM Mapping'!$D$14,IF(C294="Altitude",'BOM Mapping'!$E$14,"")))</f>
        <v/>
      </c>
      <c r="F294">
        <f>IF(C294="Longitude",'BOM Mapping'!$J$14,IF(C294="Latitude",'BOM Mapping'!$K$14,IF(C294="Altitude",'BOM Mapping'!$L$14,0)))</f>
        <v/>
      </c>
      <c r="G294">
        <f>IF(A294="","",'Job Cards'!$E$18)</f>
        <v/>
      </c>
      <c r="H294">
        <f>IF(E294="","",F294*G294)</f>
        <v/>
      </c>
      <c r="I294">
        <f>IF(E294="","",IFERROR(VLOOKUP(E294,'Master Inventory'!$A:$N,10,FALSE),0))</f>
        <v/>
      </c>
      <c r="J294">
        <f>IF(E294="","",SUMIFS(Reservations!$G:$G,Reservations!$D:$D,A294,Reservations!$E:$E,E294,Reservations!$H:$H,"Active"))</f>
        <v/>
      </c>
      <c r="K294">
        <f>IF(E294="","",MAX(0,H294-I294-J294))</f>
        <v/>
      </c>
      <c r="L294">
        <f>IF(E294="","",IF(K294&gt;0,"SHORTAGE",IF(J294&gt;=H294,"RESERVED","READY TO RESERVE")))</f>
        <v/>
      </c>
    </row>
    <row r="295">
      <c r="A295">
        <f>IF('Job Cards'!$A$18="","",'Job Cards'!$A$18)</f>
        <v/>
      </c>
      <c r="B295">
        <f>IF(A295="","",'Job Cards'!$B$18)</f>
        <v/>
      </c>
      <c r="C295">
        <f>IF(A295="","",'Job Cards'!$D$18)</f>
        <v/>
      </c>
      <c r="D295">
        <f>IF(A295="","",'BOM Mapping'!$A$15)</f>
        <v/>
      </c>
      <c r="E295">
        <f>IF(C295="Longitude",'BOM Mapping'!$C$15,IF(C295="Latitude",'BOM Mapping'!$D$15,IF(C295="Altitude",'BOM Mapping'!$E$15,"")))</f>
        <v/>
      </c>
      <c r="F295">
        <f>IF(C295="Longitude",'BOM Mapping'!$J$15,IF(C295="Latitude",'BOM Mapping'!$K$15,IF(C295="Altitude",'BOM Mapping'!$L$15,0)))</f>
        <v/>
      </c>
      <c r="G295">
        <f>IF(A295="","",'Job Cards'!$E$18)</f>
        <v/>
      </c>
      <c r="H295">
        <f>IF(E295="","",F295*G295)</f>
        <v/>
      </c>
      <c r="I295">
        <f>IF(E295="","",IFERROR(VLOOKUP(E295,'Master Inventory'!$A:$N,10,FALSE),0))</f>
        <v/>
      </c>
      <c r="J295">
        <f>IF(E295="","",SUMIFS(Reservations!$G:$G,Reservations!$D:$D,A295,Reservations!$E:$E,E295,Reservations!$H:$H,"Active"))</f>
        <v/>
      </c>
      <c r="K295">
        <f>IF(E295="","",MAX(0,H295-I295-J295))</f>
        <v/>
      </c>
      <c r="L295">
        <f>IF(E295="","",IF(K295&gt;0,"SHORTAGE",IF(J295&gt;=H295,"RESERVED","READY TO RESERVE")))</f>
        <v/>
      </c>
    </row>
    <row r="296">
      <c r="A296">
        <f>IF('Job Cards'!$A$18="","",'Job Cards'!$A$18)</f>
        <v/>
      </c>
      <c r="B296">
        <f>IF(A296="","",'Job Cards'!$B$18)</f>
        <v/>
      </c>
      <c r="C296">
        <f>IF(A296="","",'Job Cards'!$D$18)</f>
        <v/>
      </c>
      <c r="D296">
        <f>IF(A296="","",'BOM Mapping'!$A$16)</f>
        <v/>
      </c>
      <c r="E296">
        <f>IF(C296="Longitude",'BOM Mapping'!$C$16,IF(C296="Latitude",'BOM Mapping'!$D$16,IF(C296="Altitude",'BOM Mapping'!$E$16,"")))</f>
        <v/>
      </c>
      <c r="F296">
        <f>IF(C296="Longitude",'BOM Mapping'!$J$16,IF(C296="Latitude",'BOM Mapping'!$K$16,IF(C296="Altitude",'BOM Mapping'!$L$16,0)))</f>
        <v/>
      </c>
      <c r="G296">
        <f>IF(A296="","",'Job Cards'!$E$18)</f>
        <v/>
      </c>
      <c r="H296">
        <f>IF(E296="","",F296*G296)</f>
        <v/>
      </c>
      <c r="I296">
        <f>IF(E296="","",IFERROR(VLOOKUP(E296,'Master Inventory'!$A:$N,10,FALSE),0))</f>
        <v/>
      </c>
      <c r="J296">
        <f>IF(E296="","",SUMIFS(Reservations!$G:$G,Reservations!$D:$D,A296,Reservations!$E:$E,E296,Reservations!$H:$H,"Active"))</f>
        <v/>
      </c>
      <c r="K296">
        <f>IF(E296="","",MAX(0,H296-I296-J296))</f>
        <v/>
      </c>
      <c r="L296">
        <f>IF(E296="","",IF(K296&gt;0,"SHORTAGE",IF(J296&gt;=H296,"RESERVED","READY TO RESERVE")))</f>
        <v/>
      </c>
    </row>
    <row r="297">
      <c r="A297">
        <f>IF('Job Cards'!$A$18="","",'Job Cards'!$A$18)</f>
        <v/>
      </c>
      <c r="B297">
        <f>IF(A297="","",'Job Cards'!$B$18)</f>
        <v/>
      </c>
      <c r="C297">
        <f>IF(A297="","",'Job Cards'!$D$18)</f>
        <v/>
      </c>
      <c r="D297">
        <f>IF(A297="","",'BOM Mapping'!$A$17)</f>
        <v/>
      </c>
      <c r="E297">
        <f>IF(C297="Longitude",'BOM Mapping'!$C$17,IF(C297="Latitude",'BOM Mapping'!$D$17,IF(C297="Altitude",'BOM Mapping'!$E$17,"")))</f>
        <v/>
      </c>
      <c r="F297">
        <f>IF(C297="Longitude",'BOM Mapping'!$J$17,IF(C297="Latitude",'BOM Mapping'!$K$17,IF(C297="Altitude",'BOM Mapping'!$L$17,0)))</f>
        <v/>
      </c>
      <c r="G297">
        <f>IF(A297="","",'Job Cards'!$E$18)</f>
        <v/>
      </c>
      <c r="H297">
        <f>IF(E297="","",F297*G297)</f>
        <v/>
      </c>
      <c r="I297">
        <f>IF(E297="","",IFERROR(VLOOKUP(E297,'Master Inventory'!$A:$N,10,FALSE),0))</f>
        <v/>
      </c>
      <c r="J297">
        <f>IF(E297="","",SUMIFS(Reservations!$G:$G,Reservations!$D:$D,A297,Reservations!$E:$E,E297,Reservations!$H:$H,"Active"))</f>
        <v/>
      </c>
      <c r="K297">
        <f>IF(E297="","",MAX(0,H297-I297-J297))</f>
        <v/>
      </c>
      <c r="L297">
        <f>IF(E297="","",IF(K297&gt;0,"SHORTAGE",IF(J297&gt;=H297,"RESERVED","READY TO RESERVE")))</f>
        <v/>
      </c>
    </row>
    <row r="298">
      <c r="A298">
        <f>IF('Job Cards'!$A$18="","",'Job Cards'!$A$18)</f>
        <v/>
      </c>
      <c r="B298">
        <f>IF(A298="","",'Job Cards'!$B$18)</f>
        <v/>
      </c>
      <c r="C298">
        <f>IF(A298="","",'Job Cards'!$D$18)</f>
        <v/>
      </c>
      <c r="D298">
        <f>IF(A298="","",'BOM Mapping'!$A$18)</f>
        <v/>
      </c>
      <c r="E298">
        <f>IF(C298="Longitude",'BOM Mapping'!$C$18,IF(C298="Latitude",'BOM Mapping'!$D$18,IF(C298="Altitude",'BOM Mapping'!$E$18,"")))</f>
        <v/>
      </c>
      <c r="F298">
        <f>IF(C298="Longitude",'BOM Mapping'!$J$18,IF(C298="Latitude",'BOM Mapping'!$K$18,IF(C298="Altitude",'BOM Mapping'!$L$18,0)))</f>
        <v/>
      </c>
      <c r="G298">
        <f>IF(A298="","",'Job Cards'!$E$18)</f>
        <v/>
      </c>
      <c r="H298">
        <f>IF(E298="","",F298*G298)</f>
        <v/>
      </c>
      <c r="I298">
        <f>IF(E298="","",IFERROR(VLOOKUP(E298,'Master Inventory'!$A:$N,10,FALSE),0))</f>
        <v/>
      </c>
      <c r="J298">
        <f>IF(E298="","",SUMIFS(Reservations!$G:$G,Reservations!$D:$D,A298,Reservations!$E:$E,E298,Reservations!$H:$H,"Active"))</f>
        <v/>
      </c>
      <c r="K298">
        <f>IF(E298="","",MAX(0,H298-I298-J298))</f>
        <v/>
      </c>
      <c r="L298">
        <f>IF(E298="","",IF(K298&gt;0,"SHORTAGE",IF(J298&gt;=H298,"RESERVED","READY TO RESERVE")))</f>
        <v/>
      </c>
    </row>
    <row r="299">
      <c r="A299">
        <f>IF('Job Cards'!$A$18="","",'Job Cards'!$A$18)</f>
        <v/>
      </c>
      <c r="B299">
        <f>IF(A299="","",'Job Cards'!$B$18)</f>
        <v/>
      </c>
      <c r="C299">
        <f>IF(A299="","",'Job Cards'!$D$18)</f>
        <v/>
      </c>
      <c r="D299">
        <f>IF(A299="","",'BOM Mapping'!$A$19)</f>
        <v/>
      </c>
      <c r="E299">
        <f>IF(C299="Longitude",'BOM Mapping'!$C$19,IF(C299="Latitude",'BOM Mapping'!$D$19,IF(C299="Altitude",'BOM Mapping'!$E$19,"")))</f>
        <v/>
      </c>
      <c r="F299">
        <f>IF(C299="Longitude",'BOM Mapping'!$J$19,IF(C299="Latitude",'BOM Mapping'!$K$19,IF(C299="Altitude",'BOM Mapping'!$L$19,0)))</f>
        <v/>
      </c>
      <c r="G299">
        <f>IF(A299="","",'Job Cards'!$E$18)</f>
        <v/>
      </c>
      <c r="H299">
        <f>IF(E299="","",F299*G299)</f>
        <v/>
      </c>
      <c r="I299">
        <f>IF(E299="","",IFERROR(VLOOKUP(E299,'Master Inventory'!$A:$N,10,FALSE),0))</f>
        <v/>
      </c>
      <c r="J299">
        <f>IF(E299="","",SUMIFS(Reservations!$G:$G,Reservations!$D:$D,A299,Reservations!$E:$E,E299,Reservations!$H:$H,"Active"))</f>
        <v/>
      </c>
      <c r="K299">
        <f>IF(E299="","",MAX(0,H299-I299-J299))</f>
        <v/>
      </c>
      <c r="L299">
        <f>IF(E299="","",IF(K299&gt;0,"SHORTAGE",IF(J299&gt;=H299,"RESERVED","READY TO RESERVE")))</f>
        <v/>
      </c>
    </row>
    <row r="300">
      <c r="A300">
        <f>IF('Job Cards'!$A$18="","",'Job Cards'!$A$18)</f>
        <v/>
      </c>
      <c r="B300">
        <f>IF(A300="","",'Job Cards'!$B$18)</f>
        <v/>
      </c>
      <c r="C300">
        <f>IF(A300="","",'Job Cards'!$D$18)</f>
        <v/>
      </c>
      <c r="D300">
        <f>IF(A300="","",'BOM Mapping'!$A$20)</f>
        <v/>
      </c>
      <c r="E300">
        <f>IF(C300="Longitude",'BOM Mapping'!$C$20,IF(C300="Latitude",'BOM Mapping'!$D$20,IF(C300="Altitude",'BOM Mapping'!$E$20,"")))</f>
        <v/>
      </c>
      <c r="F300">
        <f>IF(C300="Longitude",'BOM Mapping'!$J$20,IF(C300="Latitude",'BOM Mapping'!$K$20,IF(C300="Altitude",'BOM Mapping'!$L$20,0)))</f>
        <v/>
      </c>
      <c r="G300">
        <f>IF(A300="","",'Job Cards'!$E$18)</f>
        <v/>
      </c>
      <c r="H300">
        <f>IF(E300="","",F300*G300)</f>
        <v/>
      </c>
      <c r="I300">
        <f>IF(E300="","",IFERROR(VLOOKUP(E300,'Master Inventory'!$A:$N,10,FALSE),0))</f>
        <v/>
      </c>
      <c r="J300">
        <f>IF(E300="","",SUMIFS(Reservations!$G:$G,Reservations!$D:$D,A300,Reservations!$E:$E,E300,Reservations!$H:$H,"Active"))</f>
        <v/>
      </c>
      <c r="K300">
        <f>IF(E300="","",MAX(0,H300-I300-J300))</f>
        <v/>
      </c>
      <c r="L300">
        <f>IF(E300="","",IF(K300&gt;0,"SHORTAGE",IF(J300&gt;=H300,"RESERVED","READY TO RESERVE")))</f>
        <v/>
      </c>
    </row>
    <row r="301">
      <c r="A301">
        <f>IF('Job Cards'!$A$18="","",'Job Cards'!$A$18)</f>
        <v/>
      </c>
      <c r="B301">
        <f>IF(A301="","",'Job Cards'!$B$18)</f>
        <v/>
      </c>
      <c r="C301">
        <f>IF(A301="","",'Job Cards'!$D$18)</f>
        <v/>
      </c>
      <c r="D301">
        <f>IF(A301="","",'BOM Mapping'!$A$21)</f>
        <v/>
      </c>
      <c r="E301">
        <f>IF(C301="Longitude",'BOM Mapping'!$C$21,IF(C301="Latitude",'BOM Mapping'!$D$21,IF(C301="Altitude",'BOM Mapping'!$E$21,"")))</f>
        <v/>
      </c>
      <c r="F301">
        <f>IF(C301="Longitude",'BOM Mapping'!$J$21,IF(C301="Latitude",'BOM Mapping'!$K$21,IF(C301="Altitude",'BOM Mapping'!$L$21,0)))</f>
        <v/>
      </c>
      <c r="G301">
        <f>IF(A301="","",'Job Cards'!$E$18)</f>
        <v/>
      </c>
      <c r="H301">
        <f>IF(E301="","",F301*G301)</f>
        <v/>
      </c>
      <c r="I301">
        <f>IF(E301="","",IFERROR(VLOOKUP(E301,'Master Inventory'!$A:$N,10,FALSE),0))</f>
        <v/>
      </c>
      <c r="J301">
        <f>IF(E301="","",SUMIFS(Reservations!$G:$G,Reservations!$D:$D,A301,Reservations!$E:$E,E301,Reservations!$H:$H,"Active"))</f>
        <v/>
      </c>
      <c r="K301">
        <f>IF(E301="","",MAX(0,H301-I301-J301))</f>
        <v/>
      </c>
      <c r="L301">
        <f>IF(E301="","",IF(K301&gt;0,"SHORTAGE",IF(J301&gt;=H301,"RESERVED","READY TO RESERVE")))</f>
        <v/>
      </c>
    </row>
    <row r="302">
      <c r="A302">
        <f>IF('Job Cards'!$A$18="","",'Job Cards'!$A$18)</f>
        <v/>
      </c>
      <c r="B302">
        <f>IF(A302="","",'Job Cards'!$B$18)</f>
        <v/>
      </c>
      <c r="C302">
        <f>IF(A302="","",'Job Cards'!$D$18)</f>
        <v/>
      </c>
      <c r="D302">
        <f>IF(A302="","",'BOM Mapping'!$A$22)</f>
        <v/>
      </c>
      <c r="E302">
        <f>IF(C302="Longitude",'BOM Mapping'!$C$22,IF(C302="Latitude",'BOM Mapping'!$D$22,IF(C302="Altitude",'BOM Mapping'!$E$22,"")))</f>
        <v/>
      </c>
      <c r="F302">
        <f>IF(C302="Longitude",'BOM Mapping'!$J$22,IF(C302="Latitude",'BOM Mapping'!$K$22,IF(C302="Altitude",'BOM Mapping'!$L$22,0)))</f>
        <v/>
      </c>
      <c r="G302">
        <f>IF(A302="","",'Job Cards'!$E$18)</f>
        <v/>
      </c>
      <c r="H302">
        <f>IF(E302="","",F302*G302)</f>
        <v/>
      </c>
      <c r="I302">
        <f>IF(E302="","",IFERROR(VLOOKUP(E302,'Master Inventory'!$A:$N,10,FALSE),0))</f>
        <v/>
      </c>
      <c r="J302">
        <f>IF(E302="","",SUMIFS(Reservations!$G:$G,Reservations!$D:$D,A302,Reservations!$E:$E,E302,Reservations!$H:$H,"Active"))</f>
        <v/>
      </c>
      <c r="K302">
        <f>IF(E302="","",MAX(0,H302-I302-J302))</f>
        <v/>
      </c>
      <c r="L302">
        <f>IF(E302="","",IF(K302&gt;0,"SHORTAGE",IF(J302&gt;=H302,"RESERVED","READY TO RESERVE")))</f>
        <v/>
      </c>
    </row>
    <row r="303">
      <c r="A303">
        <f>IF('Job Cards'!$A$18="","",'Job Cards'!$A$18)</f>
        <v/>
      </c>
      <c r="B303">
        <f>IF(A303="","",'Job Cards'!$B$18)</f>
        <v/>
      </c>
      <c r="C303">
        <f>IF(A303="","",'Job Cards'!$D$18)</f>
        <v/>
      </c>
      <c r="D303">
        <f>IF(A303="","",'BOM Mapping'!$A$23)</f>
        <v/>
      </c>
      <c r="E303">
        <f>IF(C303="Longitude",'BOM Mapping'!$C$23,IF(C303="Latitude",'BOM Mapping'!$D$23,IF(C303="Altitude",'BOM Mapping'!$E$23,"")))</f>
        <v/>
      </c>
      <c r="F303">
        <f>IF(C303="Longitude",'BOM Mapping'!$J$23,IF(C303="Latitude",'BOM Mapping'!$K$23,IF(C303="Altitude",'BOM Mapping'!$L$23,0)))</f>
        <v/>
      </c>
      <c r="G303">
        <f>IF(A303="","",'Job Cards'!$E$18)</f>
        <v/>
      </c>
      <c r="H303">
        <f>IF(E303="","",F303*G303)</f>
        <v/>
      </c>
      <c r="I303">
        <f>IF(E303="","",IFERROR(VLOOKUP(E303,'Master Inventory'!$A:$N,10,FALSE),0))</f>
        <v/>
      </c>
      <c r="J303">
        <f>IF(E303="","",SUMIFS(Reservations!$G:$G,Reservations!$D:$D,A303,Reservations!$E:$E,E303,Reservations!$H:$H,"Active"))</f>
        <v/>
      </c>
      <c r="K303">
        <f>IF(E303="","",MAX(0,H303-I303-J303))</f>
        <v/>
      </c>
      <c r="L303">
        <f>IF(E303="","",IF(K303&gt;0,"SHORTAGE",IF(J303&gt;=H303,"RESERVED","READY TO RESERVE")))</f>
        <v/>
      </c>
    </row>
    <row r="304">
      <c r="A304">
        <f>IF('Job Cards'!$A$19="","",'Job Cards'!$A$19)</f>
        <v/>
      </c>
      <c r="B304">
        <f>IF(A304="","",'Job Cards'!$B$19)</f>
        <v/>
      </c>
      <c r="C304">
        <f>IF(A304="","",'Job Cards'!$D$19)</f>
        <v/>
      </c>
      <c r="D304">
        <f>IF(A304="","",'BOM Mapping'!$A$4)</f>
        <v/>
      </c>
      <c r="E304">
        <f>IF(C304="Longitude",'BOM Mapping'!$C$4,IF(C304="Latitude",'BOM Mapping'!$D$4,IF(C304="Altitude",'BOM Mapping'!$E$4,"")))</f>
        <v/>
      </c>
      <c r="F304">
        <f>IF(C304="Longitude",'BOM Mapping'!$J$4,IF(C304="Latitude",'BOM Mapping'!$K$4,IF(C304="Altitude",'BOM Mapping'!$L$4,0)))</f>
        <v/>
      </c>
      <c r="G304">
        <f>IF(A304="","",'Job Cards'!$E$19)</f>
        <v/>
      </c>
      <c r="H304">
        <f>IF(E304="","",F304*G304)</f>
        <v/>
      </c>
      <c r="I304">
        <f>IF(E304="","",IFERROR(VLOOKUP(E304,'Master Inventory'!$A:$N,10,FALSE),0))</f>
        <v/>
      </c>
      <c r="J304">
        <f>IF(E304="","",SUMIFS(Reservations!$G:$G,Reservations!$D:$D,A304,Reservations!$E:$E,E304,Reservations!$H:$H,"Active"))</f>
        <v/>
      </c>
      <c r="K304">
        <f>IF(E304="","",MAX(0,H304-I304-J304))</f>
        <v/>
      </c>
      <c r="L304">
        <f>IF(E304="","",IF(K304&gt;0,"SHORTAGE",IF(J304&gt;=H304,"RESERVED","READY TO RESERVE")))</f>
        <v/>
      </c>
    </row>
    <row r="305">
      <c r="A305">
        <f>IF('Job Cards'!$A$19="","",'Job Cards'!$A$19)</f>
        <v/>
      </c>
      <c r="B305">
        <f>IF(A305="","",'Job Cards'!$B$19)</f>
        <v/>
      </c>
      <c r="C305">
        <f>IF(A305="","",'Job Cards'!$D$19)</f>
        <v/>
      </c>
      <c r="D305">
        <f>IF(A305="","",'BOM Mapping'!$A$5)</f>
        <v/>
      </c>
      <c r="E305">
        <f>IF(C305="Longitude",'BOM Mapping'!$C$5,IF(C305="Latitude",'BOM Mapping'!$D$5,IF(C305="Altitude",'BOM Mapping'!$E$5,"")))</f>
        <v/>
      </c>
      <c r="F305">
        <f>IF(C305="Longitude",'BOM Mapping'!$J$5,IF(C305="Latitude",'BOM Mapping'!$K$5,IF(C305="Altitude",'BOM Mapping'!$L$5,0)))</f>
        <v/>
      </c>
      <c r="G305">
        <f>IF(A305="","",'Job Cards'!$E$19)</f>
        <v/>
      </c>
      <c r="H305">
        <f>IF(E305="","",F305*G305)</f>
        <v/>
      </c>
      <c r="I305">
        <f>IF(E305="","",IFERROR(VLOOKUP(E305,'Master Inventory'!$A:$N,10,FALSE),0))</f>
        <v/>
      </c>
      <c r="J305">
        <f>IF(E305="","",SUMIFS(Reservations!$G:$G,Reservations!$D:$D,A305,Reservations!$E:$E,E305,Reservations!$H:$H,"Active"))</f>
        <v/>
      </c>
      <c r="K305">
        <f>IF(E305="","",MAX(0,H305-I305-J305))</f>
        <v/>
      </c>
      <c r="L305">
        <f>IF(E305="","",IF(K305&gt;0,"SHORTAGE",IF(J305&gt;=H305,"RESERVED","READY TO RESERVE")))</f>
        <v/>
      </c>
    </row>
    <row r="306">
      <c r="A306">
        <f>IF('Job Cards'!$A$19="","",'Job Cards'!$A$19)</f>
        <v/>
      </c>
      <c r="B306">
        <f>IF(A306="","",'Job Cards'!$B$19)</f>
        <v/>
      </c>
      <c r="C306">
        <f>IF(A306="","",'Job Cards'!$D$19)</f>
        <v/>
      </c>
      <c r="D306">
        <f>IF(A306="","",'BOM Mapping'!$A$6)</f>
        <v/>
      </c>
      <c r="E306">
        <f>IF(C306="Longitude",'BOM Mapping'!$C$6,IF(C306="Latitude",'BOM Mapping'!$D$6,IF(C306="Altitude",'BOM Mapping'!$E$6,"")))</f>
        <v/>
      </c>
      <c r="F306">
        <f>IF(C306="Longitude",'BOM Mapping'!$J$6,IF(C306="Latitude",'BOM Mapping'!$K$6,IF(C306="Altitude",'BOM Mapping'!$L$6,0)))</f>
        <v/>
      </c>
      <c r="G306">
        <f>IF(A306="","",'Job Cards'!$E$19)</f>
        <v/>
      </c>
      <c r="H306">
        <f>IF(E306="","",F306*G306)</f>
        <v/>
      </c>
      <c r="I306">
        <f>IF(E306="","",IFERROR(VLOOKUP(E306,'Master Inventory'!$A:$N,10,FALSE),0))</f>
        <v/>
      </c>
      <c r="J306">
        <f>IF(E306="","",SUMIFS(Reservations!$G:$G,Reservations!$D:$D,A306,Reservations!$E:$E,E306,Reservations!$H:$H,"Active"))</f>
        <v/>
      </c>
      <c r="K306">
        <f>IF(E306="","",MAX(0,H306-I306-J306))</f>
        <v/>
      </c>
      <c r="L306">
        <f>IF(E306="","",IF(K306&gt;0,"SHORTAGE",IF(J306&gt;=H306,"RESERVED","READY TO RESERVE")))</f>
        <v/>
      </c>
    </row>
    <row r="307">
      <c r="A307">
        <f>IF('Job Cards'!$A$19="","",'Job Cards'!$A$19)</f>
        <v/>
      </c>
      <c r="B307">
        <f>IF(A307="","",'Job Cards'!$B$19)</f>
        <v/>
      </c>
      <c r="C307">
        <f>IF(A307="","",'Job Cards'!$D$19)</f>
        <v/>
      </c>
      <c r="D307">
        <f>IF(A307="","",'BOM Mapping'!$A$7)</f>
        <v/>
      </c>
      <c r="E307">
        <f>IF(C307="Longitude",'BOM Mapping'!$C$7,IF(C307="Latitude",'BOM Mapping'!$D$7,IF(C307="Altitude",'BOM Mapping'!$E$7,"")))</f>
        <v/>
      </c>
      <c r="F307">
        <f>IF(C307="Longitude",'BOM Mapping'!$J$7,IF(C307="Latitude",'BOM Mapping'!$K$7,IF(C307="Altitude",'BOM Mapping'!$L$7,0)))</f>
        <v/>
      </c>
      <c r="G307">
        <f>IF(A307="","",'Job Cards'!$E$19)</f>
        <v/>
      </c>
      <c r="H307">
        <f>IF(E307="","",F307*G307)</f>
        <v/>
      </c>
      <c r="I307">
        <f>IF(E307="","",IFERROR(VLOOKUP(E307,'Master Inventory'!$A:$N,10,FALSE),0))</f>
        <v/>
      </c>
      <c r="J307">
        <f>IF(E307="","",SUMIFS(Reservations!$G:$G,Reservations!$D:$D,A307,Reservations!$E:$E,E307,Reservations!$H:$H,"Active"))</f>
        <v/>
      </c>
      <c r="K307">
        <f>IF(E307="","",MAX(0,H307-I307-J307))</f>
        <v/>
      </c>
      <c r="L307">
        <f>IF(E307="","",IF(K307&gt;0,"SHORTAGE",IF(J307&gt;=H307,"RESERVED","READY TO RESERVE")))</f>
        <v/>
      </c>
    </row>
    <row r="308">
      <c r="A308">
        <f>IF('Job Cards'!$A$19="","",'Job Cards'!$A$19)</f>
        <v/>
      </c>
      <c r="B308">
        <f>IF(A308="","",'Job Cards'!$B$19)</f>
        <v/>
      </c>
      <c r="C308">
        <f>IF(A308="","",'Job Cards'!$D$19)</f>
        <v/>
      </c>
      <c r="D308">
        <f>IF(A308="","",'BOM Mapping'!$A$8)</f>
        <v/>
      </c>
      <c r="E308">
        <f>IF(C308="Longitude",'BOM Mapping'!$C$8,IF(C308="Latitude",'BOM Mapping'!$D$8,IF(C308="Altitude",'BOM Mapping'!$E$8,"")))</f>
        <v/>
      </c>
      <c r="F308">
        <f>IF(C308="Longitude",'BOM Mapping'!$J$8,IF(C308="Latitude",'BOM Mapping'!$K$8,IF(C308="Altitude",'BOM Mapping'!$L$8,0)))</f>
        <v/>
      </c>
      <c r="G308">
        <f>IF(A308="","",'Job Cards'!$E$19)</f>
        <v/>
      </c>
      <c r="H308">
        <f>IF(E308="","",F308*G308)</f>
        <v/>
      </c>
      <c r="I308">
        <f>IF(E308="","",IFERROR(VLOOKUP(E308,'Master Inventory'!$A:$N,10,FALSE),0))</f>
        <v/>
      </c>
      <c r="J308">
        <f>IF(E308="","",SUMIFS(Reservations!$G:$G,Reservations!$D:$D,A308,Reservations!$E:$E,E308,Reservations!$H:$H,"Active"))</f>
        <v/>
      </c>
      <c r="K308">
        <f>IF(E308="","",MAX(0,H308-I308-J308))</f>
        <v/>
      </c>
      <c r="L308">
        <f>IF(E308="","",IF(K308&gt;0,"SHORTAGE",IF(J308&gt;=H308,"RESERVED","READY TO RESERVE")))</f>
        <v/>
      </c>
    </row>
    <row r="309">
      <c r="A309">
        <f>IF('Job Cards'!$A$19="","",'Job Cards'!$A$19)</f>
        <v/>
      </c>
      <c r="B309">
        <f>IF(A309="","",'Job Cards'!$B$19)</f>
        <v/>
      </c>
      <c r="C309">
        <f>IF(A309="","",'Job Cards'!$D$19)</f>
        <v/>
      </c>
      <c r="D309">
        <f>IF(A309="","",'BOM Mapping'!$A$9)</f>
        <v/>
      </c>
      <c r="E309">
        <f>IF(C309="Longitude",'BOM Mapping'!$C$9,IF(C309="Latitude",'BOM Mapping'!$D$9,IF(C309="Altitude",'BOM Mapping'!$E$9,"")))</f>
        <v/>
      </c>
      <c r="F309">
        <f>IF(C309="Longitude",'BOM Mapping'!$J$9,IF(C309="Latitude",'BOM Mapping'!$K$9,IF(C309="Altitude",'BOM Mapping'!$L$9,0)))</f>
        <v/>
      </c>
      <c r="G309">
        <f>IF(A309="","",'Job Cards'!$E$19)</f>
        <v/>
      </c>
      <c r="H309">
        <f>IF(E309="","",F309*G309)</f>
        <v/>
      </c>
      <c r="I309">
        <f>IF(E309="","",IFERROR(VLOOKUP(E309,'Master Inventory'!$A:$N,10,FALSE),0))</f>
        <v/>
      </c>
      <c r="J309">
        <f>IF(E309="","",SUMIFS(Reservations!$G:$G,Reservations!$D:$D,A309,Reservations!$E:$E,E309,Reservations!$H:$H,"Active"))</f>
        <v/>
      </c>
      <c r="K309">
        <f>IF(E309="","",MAX(0,H309-I309-J309))</f>
        <v/>
      </c>
      <c r="L309">
        <f>IF(E309="","",IF(K309&gt;0,"SHORTAGE",IF(J309&gt;=H309,"RESERVED","READY TO RESERVE")))</f>
        <v/>
      </c>
    </row>
    <row r="310">
      <c r="A310">
        <f>IF('Job Cards'!$A$19="","",'Job Cards'!$A$19)</f>
        <v/>
      </c>
      <c r="B310">
        <f>IF(A310="","",'Job Cards'!$B$19)</f>
        <v/>
      </c>
      <c r="C310">
        <f>IF(A310="","",'Job Cards'!$D$19)</f>
        <v/>
      </c>
      <c r="D310">
        <f>IF(A310="","",'BOM Mapping'!$A$10)</f>
        <v/>
      </c>
      <c r="E310">
        <f>IF(C310="Longitude",'BOM Mapping'!$C$10,IF(C310="Latitude",'BOM Mapping'!$D$10,IF(C310="Altitude",'BOM Mapping'!$E$10,"")))</f>
        <v/>
      </c>
      <c r="F310">
        <f>IF(C310="Longitude",'BOM Mapping'!$J$10,IF(C310="Latitude",'BOM Mapping'!$K$10,IF(C310="Altitude",'BOM Mapping'!$L$10,0)))</f>
        <v/>
      </c>
      <c r="G310">
        <f>IF(A310="","",'Job Cards'!$E$19)</f>
        <v/>
      </c>
      <c r="H310">
        <f>IF(E310="","",F310*G310)</f>
        <v/>
      </c>
      <c r="I310">
        <f>IF(E310="","",IFERROR(VLOOKUP(E310,'Master Inventory'!$A:$N,10,FALSE),0))</f>
        <v/>
      </c>
      <c r="J310">
        <f>IF(E310="","",SUMIFS(Reservations!$G:$G,Reservations!$D:$D,A310,Reservations!$E:$E,E310,Reservations!$H:$H,"Active"))</f>
        <v/>
      </c>
      <c r="K310">
        <f>IF(E310="","",MAX(0,H310-I310-J310))</f>
        <v/>
      </c>
      <c r="L310">
        <f>IF(E310="","",IF(K310&gt;0,"SHORTAGE",IF(J310&gt;=H310,"RESERVED","READY TO RESERVE")))</f>
        <v/>
      </c>
    </row>
    <row r="311">
      <c r="A311">
        <f>IF('Job Cards'!$A$19="","",'Job Cards'!$A$19)</f>
        <v/>
      </c>
      <c r="B311">
        <f>IF(A311="","",'Job Cards'!$B$19)</f>
        <v/>
      </c>
      <c r="C311">
        <f>IF(A311="","",'Job Cards'!$D$19)</f>
        <v/>
      </c>
      <c r="D311">
        <f>IF(A311="","",'BOM Mapping'!$A$11)</f>
        <v/>
      </c>
      <c r="E311">
        <f>IF(C311="Longitude",'BOM Mapping'!$C$11,IF(C311="Latitude",'BOM Mapping'!$D$11,IF(C311="Altitude",'BOM Mapping'!$E$11,"")))</f>
        <v/>
      </c>
      <c r="F311">
        <f>IF(C311="Longitude",'BOM Mapping'!$J$11,IF(C311="Latitude",'BOM Mapping'!$K$11,IF(C311="Altitude",'BOM Mapping'!$L$11,0)))</f>
        <v/>
      </c>
      <c r="G311">
        <f>IF(A311="","",'Job Cards'!$E$19)</f>
        <v/>
      </c>
      <c r="H311">
        <f>IF(E311="","",F311*G311)</f>
        <v/>
      </c>
      <c r="I311">
        <f>IF(E311="","",IFERROR(VLOOKUP(E311,'Master Inventory'!$A:$N,10,FALSE),0))</f>
        <v/>
      </c>
      <c r="J311">
        <f>IF(E311="","",SUMIFS(Reservations!$G:$G,Reservations!$D:$D,A311,Reservations!$E:$E,E311,Reservations!$H:$H,"Active"))</f>
        <v/>
      </c>
      <c r="K311">
        <f>IF(E311="","",MAX(0,H311-I311-J311))</f>
        <v/>
      </c>
      <c r="L311">
        <f>IF(E311="","",IF(K311&gt;0,"SHORTAGE",IF(J311&gt;=H311,"RESERVED","READY TO RESERVE")))</f>
        <v/>
      </c>
    </row>
    <row r="312">
      <c r="A312">
        <f>IF('Job Cards'!$A$19="","",'Job Cards'!$A$19)</f>
        <v/>
      </c>
      <c r="B312">
        <f>IF(A312="","",'Job Cards'!$B$19)</f>
        <v/>
      </c>
      <c r="C312">
        <f>IF(A312="","",'Job Cards'!$D$19)</f>
        <v/>
      </c>
      <c r="D312">
        <f>IF(A312="","",'BOM Mapping'!$A$12)</f>
        <v/>
      </c>
      <c r="E312">
        <f>IF(C312="Longitude",'BOM Mapping'!$C$12,IF(C312="Latitude",'BOM Mapping'!$D$12,IF(C312="Altitude",'BOM Mapping'!$E$12,"")))</f>
        <v/>
      </c>
      <c r="F312">
        <f>IF(C312="Longitude",'BOM Mapping'!$J$12,IF(C312="Latitude",'BOM Mapping'!$K$12,IF(C312="Altitude",'BOM Mapping'!$L$12,0)))</f>
        <v/>
      </c>
      <c r="G312">
        <f>IF(A312="","",'Job Cards'!$E$19)</f>
        <v/>
      </c>
      <c r="H312">
        <f>IF(E312="","",F312*G312)</f>
        <v/>
      </c>
      <c r="I312">
        <f>IF(E312="","",IFERROR(VLOOKUP(E312,'Master Inventory'!$A:$N,10,FALSE),0))</f>
        <v/>
      </c>
      <c r="J312">
        <f>IF(E312="","",SUMIFS(Reservations!$G:$G,Reservations!$D:$D,A312,Reservations!$E:$E,E312,Reservations!$H:$H,"Active"))</f>
        <v/>
      </c>
      <c r="K312">
        <f>IF(E312="","",MAX(0,H312-I312-J312))</f>
        <v/>
      </c>
      <c r="L312">
        <f>IF(E312="","",IF(K312&gt;0,"SHORTAGE",IF(J312&gt;=H312,"RESERVED","READY TO RESERVE")))</f>
        <v/>
      </c>
    </row>
    <row r="313">
      <c r="A313">
        <f>IF('Job Cards'!$A$19="","",'Job Cards'!$A$19)</f>
        <v/>
      </c>
      <c r="B313">
        <f>IF(A313="","",'Job Cards'!$B$19)</f>
        <v/>
      </c>
      <c r="C313">
        <f>IF(A313="","",'Job Cards'!$D$19)</f>
        <v/>
      </c>
      <c r="D313">
        <f>IF(A313="","",'BOM Mapping'!$A$13)</f>
        <v/>
      </c>
      <c r="E313">
        <f>IF(C313="Longitude",'BOM Mapping'!$C$13,IF(C313="Latitude",'BOM Mapping'!$D$13,IF(C313="Altitude",'BOM Mapping'!$E$13,"")))</f>
        <v/>
      </c>
      <c r="F313">
        <f>IF(C313="Longitude",'BOM Mapping'!$J$13,IF(C313="Latitude",'BOM Mapping'!$K$13,IF(C313="Altitude",'BOM Mapping'!$L$13,0)))</f>
        <v/>
      </c>
      <c r="G313">
        <f>IF(A313="","",'Job Cards'!$E$19)</f>
        <v/>
      </c>
      <c r="H313">
        <f>IF(E313="","",F313*G313)</f>
        <v/>
      </c>
      <c r="I313">
        <f>IF(E313="","",IFERROR(VLOOKUP(E313,'Master Inventory'!$A:$N,10,FALSE),0))</f>
        <v/>
      </c>
      <c r="J313">
        <f>IF(E313="","",SUMIFS(Reservations!$G:$G,Reservations!$D:$D,A313,Reservations!$E:$E,E313,Reservations!$H:$H,"Active"))</f>
        <v/>
      </c>
      <c r="K313">
        <f>IF(E313="","",MAX(0,H313-I313-J313))</f>
        <v/>
      </c>
      <c r="L313">
        <f>IF(E313="","",IF(K313&gt;0,"SHORTAGE",IF(J313&gt;=H313,"RESERVED","READY TO RESERVE")))</f>
        <v/>
      </c>
    </row>
    <row r="314">
      <c r="A314">
        <f>IF('Job Cards'!$A$19="","",'Job Cards'!$A$19)</f>
        <v/>
      </c>
      <c r="B314">
        <f>IF(A314="","",'Job Cards'!$B$19)</f>
        <v/>
      </c>
      <c r="C314">
        <f>IF(A314="","",'Job Cards'!$D$19)</f>
        <v/>
      </c>
      <c r="D314">
        <f>IF(A314="","",'BOM Mapping'!$A$14)</f>
        <v/>
      </c>
      <c r="E314">
        <f>IF(C314="Longitude",'BOM Mapping'!$C$14,IF(C314="Latitude",'BOM Mapping'!$D$14,IF(C314="Altitude",'BOM Mapping'!$E$14,"")))</f>
        <v/>
      </c>
      <c r="F314">
        <f>IF(C314="Longitude",'BOM Mapping'!$J$14,IF(C314="Latitude",'BOM Mapping'!$K$14,IF(C314="Altitude",'BOM Mapping'!$L$14,0)))</f>
        <v/>
      </c>
      <c r="G314">
        <f>IF(A314="","",'Job Cards'!$E$19)</f>
        <v/>
      </c>
      <c r="H314">
        <f>IF(E314="","",F314*G314)</f>
        <v/>
      </c>
      <c r="I314">
        <f>IF(E314="","",IFERROR(VLOOKUP(E314,'Master Inventory'!$A:$N,10,FALSE),0))</f>
        <v/>
      </c>
      <c r="J314">
        <f>IF(E314="","",SUMIFS(Reservations!$G:$G,Reservations!$D:$D,A314,Reservations!$E:$E,E314,Reservations!$H:$H,"Active"))</f>
        <v/>
      </c>
      <c r="K314">
        <f>IF(E314="","",MAX(0,H314-I314-J314))</f>
        <v/>
      </c>
      <c r="L314">
        <f>IF(E314="","",IF(K314&gt;0,"SHORTAGE",IF(J314&gt;=H314,"RESERVED","READY TO RESERVE")))</f>
        <v/>
      </c>
    </row>
    <row r="315">
      <c r="A315">
        <f>IF('Job Cards'!$A$19="","",'Job Cards'!$A$19)</f>
        <v/>
      </c>
      <c r="B315">
        <f>IF(A315="","",'Job Cards'!$B$19)</f>
        <v/>
      </c>
      <c r="C315">
        <f>IF(A315="","",'Job Cards'!$D$19)</f>
        <v/>
      </c>
      <c r="D315">
        <f>IF(A315="","",'BOM Mapping'!$A$15)</f>
        <v/>
      </c>
      <c r="E315">
        <f>IF(C315="Longitude",'BOM Mapping'!$C$15,IF(C315="Latitude",'BOM Mapping'!$D$15,IF(C315="Altitude",'BOM Mapping'!$E$15,"")))</f>
        <v/>
      </c>
      <c r="F315">
        <f>IF(C315="Longitude",'BOM Mapping'!$J$15,IF(C315="Latitude",'BOM Mapping'!$K$15,IF(C315="Altitude",'BOM Mapping'!$L$15,0)))</f>
        <v/>
      </c>
      <c r="G315">
        <f>IF(A315="","",'Job Cards'!$E$19)</f>
        <v/>
      </c>
      <c r="H315">
        <f>IF(E315="","",F315*G315)</f>
        <v/>
      </c>
      <c r="I315">
        <f>IF(E315="","",IFERROR(VLOOKUP(E315,'Master Inventory'!$A:$N,10,FALSE),0))</f>
        <v/>
      </c>
      <c r="J315">
        <f>IF(E315="","",SUMIFS(Reservations!$G:$G,Reservations!$D:$D,A315,Reservations!$E:$E,E315,Reservations!$H:$H,"Active"))</f>
        <v/>
      </c>
      <c r="K315">
        <f>IF(E315="","",MAX(0,H315-I315-J315))</f>
        <v/>
      </c>
      <c r="L315">
        <f>IF(E315="","",IF(K315&gt;0,"SHORTAGE",IF(J315&gt;=H315,"RESERVED","READY TO RESERVE")))</f>
        <v/>
      </c>
    </row>
    <row r="316">
      <c r="A316">
        <f>IF('Job Cards'!$A$19="","",'Job Cards'!$A$19)</f>
        <v/>
      </c>
      <c r="B316">
        <f>IF(A316="","",'Job Cards'!$B$19)</f>
        <v/>
      </c>
      <c r="C316">
        <f>IF(A316="","",'Job Cards'!$D$19)</f>
        <v/>
      </c>
      <c r="D316">
        <f>IF(A316="","",'BOM Mapping'!$A$16)</f>
        <v/>
      </c>
      <c r="E316">
        <f>IF(C316="Longitude",'BOM Mapping'!$C$16,IF(C316="Latitude",'BOM Mapping'!$D$16,IF(C316="Altitude",'BOM Mapping'!$E$16,"")))</f>
        <v/>
      </c>
      <c r="F316">
        <f>IF(C316="Longitude",'BOM Mapping'!$J$16,IF(C316="Latitude",'BOM Mapping'!$K$16,IF(C316="Altitude",'BOM Mapping'!$L$16,0)))</f>
        <v/>
      </c>
      <c r="G316">
        <f>IF(A316="","",'Job Cards'!$E$19)</f>
        <v/>
      </c>
      <c r="H316">
        <f>IF(E316="","",F316*G316)</f>
        <v/>
      </c>
      <c r="I316">
        <f>IF(E316="","",IFERROR(VLOOKUP(E316,'Master Inventory'!$A:$N,10,FALSE),0))</f>
        <v/>
      </c>
      <c r="J316">
        <f>IF(E316="","",SUMIFS(Reservations!$G:$G,Reservations!$D:$D,A316,Reservations!$E:$E,E316,Reservations!$H:$H,"Active"))</f>
        <v/>
      </c>
      <c r="K316">
        <f>IF(E316="","",MAX(0,H316-I316-J316))</f>
        <v/>
      </c>
      <c r="L316">
        <f>IF(E316="","",IF(K316&gt;0,"SHORTAGE",IF(J316&gt;=H316,"RESERVED","READY TO RESERVE")))</f>
        <v/>
      </c>
    </row>
    <row r="317">
      <c r="A317">
        <f>IF('Job Cards'!$A$19="","",'Job Cards'!$A$19)</f>
        <v/>
      </c>
      <c r="B317">
        <f>IF(A317="","",'Job Cards'!$B$19)</f>
        <v/>
      </c>
      <c r="C317">
        <f>IF(A317="","",'Job Cards'!$D$19)</f>
        <v/>
      </c>
      <c r="D317">
        <f>IF(A317="","",'BOM Mapping'!$A$17)</f>
        <v/>
      </c>
      <c r="E317">
        <f>IF(C317="Longitude",'BOM Mapping'!$C$17,IF(C317="Latitude",'BOM Mapping'!$D$17,IF(C317="Altitude",'BOM Mapping'!$E$17,"")))</f>
        <v/>
      </c>
      <c r="F317">
        <f>IF(C317="Longitude",'BOM Mapping'!$J$17,IF(C317="Latitude",'BOM Mapping'!$K$17,IF(C317="Altitude",'BOM Mapping'!$L$17,0)))</f>
        <v/>
      </c>
      <c r="G317">
        <f>IF(A317="","",'Job Cards'!$E$19)</f>
        <v/>
      </c>
      <c r="H317">
        <f>IF(E317="","",F317*G317)</f>
        <v/>
      </c>
      <c r="I317">
        <f>IF(E317="","",IFERROR(VLOOKUP(E317,'Master Inventory'!$A:$N,10,FALSE),0))</f>
        <v/>
      </c>
      <c r="J317">
        <f>IF(E317="","",SUMIFS(Reservations!$G:$G,Reservations!$D:$D,A317,Reservations!$E:$E,E317,Reservations!$H:$H,"Active"))</f>
        <v/>
      </c>
      <c r="K317">
        <f>IF(E317="","",MAX(0,H317-I317-J317))</f>
        <v/>
      </c>
      <c r="L317">
        <f>IF(E317="","",IF(K317&gt;0,"SHORTAGE",IF(J317&gt;=H317,"RESERVED","READY TO RESERVE")))</f>
        <v/>
      </c>
    </row>
    <row r="318">
      <c r="A318">
        <f>IF('Job Cards'!$A$19="","",'Job Cards'!$A$19)</f>
        <v/>
      </c>
      <c r="B318">
        <f>IF(A318="","",'Job Cards'!$B$19)</f>
        <v/>
      </c>
      <c r="C318">
        <f>IF(A318="","",'Job Cards'!$D$19)</f>
        <v/>
      </c>
      <c r="D318">
        <f>IF(A318="","",'BOM Mapping'!$A$18)</f>
        <v/>
      </c>
      <c r="E318">
        <f>IF(C318="Longitude",'BOM Mapping'!$C$18,IF(C318="Latitude",'BOM Mapping'!$D$18,IF(C318="Altitude",'BOM Mapping'!$E$18,"")))</f>
        <v/>
      </c>
      <c r="F318">
        <f>IF(C318="Longitude",'BOM Mapping'!$J$18,IF(C318="Latitude",'BOM Mapping'!$K$18,IF(C318="Altitude",'BOM Mapping'!$L$18,0)))</f>
        <v/>
      </c>
      <c r="G318">
        <f>IF(A318="","",'Job Cards'!$E$19)</f>
        <v/>
      </c>
      <c r="H318">
        <f>IF(E318="","",F318*G318)</f>
        <v/>
      </c>
      <c r="I318">
        <f>IF(E318="","",IFERROR(VLOOKUP(E318,'Master Inventory'!$A:$N,10,FALSE),0))</f>
        <v/>
      </c>
      <c r="J318">
        <f>IF(E318="","",SUMIFS(Reservations!$G:$G,Reservations!$D:$D,A318,Reservations!$E:$E,E318,Reservations!$H:$H,"Active"))</f>
        <v/>
      </c>
      <c r="K318">
        <f>IF(E318="","",MAX(0,H318-I318-J318))</f>
        <v/>
      </c>
      <c r="L318">
        <f>IF(E318="","",IF(K318&gt;0,"SHORTAGE",IF(J318&gt;=H318,"RESERVED","READY TO RESERVE")))</f>
        <v/>
      </c>
    </row>
    <row r="319">
      <c r="A319">
        <f>IF('Job Cards'!$A$19="","",'Job Cards'!$A$19)</f>
        <v/>
      </c>
      <c r="B319">
        <f>IF(A319="","",'Job Cards'!$B$19)</f>
        <v/>
      </c>
      <c r="C319">
        <f>IF(A319="","",'Job Cards'!$D$19)</f>
        <v/>
      </c>
      <c r="D319">
        <f>IF(A319="","",'BOM Mapping'!$A$19)</f>
        <v/>
      </c>
      <c r="E319">
        <f>IF(C319="Longitude",'BOM Mapping'!$C$19,IF(C319="Latitude",'BOM Mapping'!$D$19,IF(C319="Altitude",'BOM Mapping'!$E$19,"")))</f>
        <v/>
      </c>
      <c r="F319">
        <f>IF(C319="Longitude",'BOM Mapping'!$J$19,IF(C319="Latitude",'BOM Mapping'!$K$19,IF(C319="Altitude",'BOM Mapping'!$L$19,0)))</f>
        <v/>
      </c>
      <c r="G319">
        <f>IF(A319="","",'Job Cards'!$E$19)</f>
        <v/>
      </c>
      <c r="H319">
        <f>IF(E319="","",F319*G319)</f>
        <v/>
      </c>
      <c r="I319">
        <f>IF(E319="","",IFERROR(VLOOKUP(E319,'Master Inventory'!$A:$N,10,FALSE),0))</f>
        <v/>
      </c>
      <c r="J319">
        <f>IF(E319="","",SUMIFS(Reservations!$G:$G,Reservations!$D:$D,A319,Reservations!$E:$E,E319,Reservations!$H:$H,"Active"))</f>
        <v/>
      </c>
      <c r="K319">
        <f>IF(E319="","",MAX(0,H319-I319-J319))</f>
        <v/>
      </c>
      <c r="L319">
        <f>IF(E319="","",IF(K319&gt;0,"SHORTAGE",IF(J319&gt;=H319,"RESERVED","READY TO RESERVE")))</f>
        <v/>
      </c>
    </row>
    <row r="320">
      <c r="A320">
        <f>IF('Job Cards'!$A$19="","",'Job Cards'!$A$19)</f>
        <v/>
      </c>
      <c r="B320">
        <f>IF(A320="","",'Job Cards'!$B$19)</f>
        <v/>
      </c>
      <c r="C320">
        <f>IF(A320="","",'Job Cards'!$D$19)</f>
        <v/>
      </c>
      <c r="D320">
        <f>IF(A320="","",'BOM Mapping'!$A$20)</f>
        <v/>
      </c>
      <c r="E320">
        <f>IF(C320="Longitude",'BOM Mapping'!$C$20,IF(C320="Latitude",'BOM Mapping'!$D$20,IF(C320="Altitude",'BOM Mapping'!$E$20,"")))</f>
        <v/>
      </c>
      <c r="F320">
        <f>IF(C320="Longitude",'BOM Mapping'!$J$20,IF(C320="Latitude",'BOM Mapping'!$K$20,IF(C320="Altitude",'BOM Mapping'!$L$20,0)))</f>
        <v/>
      </c>
      <c r="G320">
        <f>IF(A320="","",'Job Cards'!$E$19)</f>
        <v/>
      </c>
      <c r="H320">
        <f>IF(E320="","",F320*G320)</f>
        <v/>
      </c>
      <c r="I320">
        <f>IF(E320="","",IFERROR(VLOOKUP(E320,'Master Inventory'!$A:$N,10,FALSE),0))</f>
        <v/>
      </c>
      <c r="J320">
        <f>IF(E320="","",SUMIFS(Reservations!$G:$G,Reservations!$D:$D,A320,Reservations!$E:$E,E320,Reservations!$H:$H,"Active"))</f>
        <v/>
      </c>
      <c r="K320">
        <f>IF(E320="","",MAX(0,H320-I320-J320))</f>
        <v/>
      </c>
      <c r="L320">
        <f>IF(E320="","",IF(K320&gt;0,"SHORTAGE",IF(J320&gt;=H320,"RESERVED","READY TO RESERVE")))</f>
        <v/>
      </c>
    </row>
    <row r="321">
      <c r="A321">
        <f>IF('Job Cards'!$A$19="","",'Job Cards'!$A$19)</f>
        <v/>
      </c>
      <c r="B321">
        <f>IF(A321="","",'Job Cards'!$B$19)</f>
        <v/>
      </c>
      <c r="C321">
        <f>IF(A321="","",'Job Cards'!$D$19)</f>
        <v/>
      </c>
      <c r="D321">
        <f>IF(A321="","",'BOM Mapping'!$A$21)</f>
        <v/>
      </c>
      <c r="E321">
        <f>IF(C321="Longitude",'BOM Mapping'!$C$21,IF(C321="Latitude",'BOM Mapping'!$D$21,IF(C321="Altitude",'BOM Mapping'!$E$21,"")))</f>
        <v/>
      </c>
      <c r="F321">
        <f>IF(C321="Longitude",'BOM Mapping'!$J$21,IF(C321="Latitude",'BOM Mapping'!$K$21,IF(C321="Altitude",'BOM Mapping'!$L$21,0)))</f>
        <v/>
      </c>
      <c r="G321">
        <f>IF(A321="","",'Job Cards'!$E$19)</f>
        <v/>
      </c>
      <c r="H321">
        <f>IF(E321="","",F321*G321)</f>
        <v/>
      </c>
      <c r="I321">
        <f>IF(E321="","",IFERROR(VLOOKUP(E321,'Master Inventory'!$A:$N,10,FALSE),0))</f>
        <v/>
      </c>
      <c r="J321">
        <f>IF(E321="","",SUMIFS(Reservations!$G:$G,Reservations!$D:$D,A321,Reservations!$E:$E,E321,Reservations!$H:$H,"Active"))</f>
        <v/>
      </c>
      <c r="K321">
        <f>IF(E321="","",MAX(0,H321-I321-J321))</f>
        <v/>
      </c>
      <c r="L321">
        <f>IF(E321="","",IF(K321&gt;0,"SHORTAGE",IF(J321&gt;=H321,"RESERVED","READY TO RESERVE")))</f>
        <v/>
      </c>
    </row>
    <row r="322">
      <c r="A322">
        <f>IF('Job Cards'!$A$19="","",'Job Cards'!$A$19)</f>
        <v/>
      </c>
      <c r="B322">
        <f>IF(A322="","",'Job Cards'!$B$19)</f>
        <v/>
      </c>
      <c r="C322">
        <f>IF(A322="","",'Job Cards'!$D$19)</f>
        <v/>
      </c>
      <c r="D322">
        <f>IF(A322="","",'BOM Mapping'!$A$22)</f>
        <v/>
      </c>
      <c r="E322">
        <f>IF(C322="Longitude",'BOM Mapping'!$C$22,IF(C322="Latitude",'BOM Mapping'!$D$22,IF(C322="Altitude",'BOM Mapping'!$E$22,"")))</f>
        <v/>
      </c>
      <c r="F322">
        <f>IF(C322="Longitude",'BOM Mapping'!$J$22,IF(C322="Latitude",'BOM Mapping'!$K$22,IF(C322="Altitude",'BOM Mapping'!$L$22,0)))</f>
        <v/>
      </c>
      <c r="G322">
        <f>IF(A322="","",'Job Cards'!$E$19)</f>
        <v/>
      </c>
      <c r="H322">
        <f>IF(E322="","",F322*G322)</f>
        <v/>
      </c>
      <c r="I322">
        <f>IF(E322="","",IFERROR(VLOOKUP(E322,'Master Inventory'!$A:$N,10,FALSE),0))</f>
        <v/>
      </c>
      <c r="J322">
        <f>IF(E322="","",SUMIFS(Reservations!$G:$G,Reservations!$D:$D,A322,Reservations!$E:$E,E322,Reservations!$H:$H,"Active"))</f>
        <v/>
      </c>
      <c r="K322">
        <f>IF(E322="","",MAX(0,H322-I322-J322))</f>
        <v/>
      </c>
      <c r="L322">
        <f>IF(E322="","",IF(K322&gt;0,"SHORTAGE",IF(J322&gt;=H322,"RESERVED","READY TO RESERVE")))</f>
        <v/>
      </c>
    </row>
    <row r="323">
      <c r="A323">
        <f>IF('Job Cards'!$A$19="","",'Job Cards'!$A$19)</f>
        <v/>
      </c>
      <c r="B323">
        <f>IF(A323="","",'Job Cards'!$B$19)</f>
        <v/>
      </c>
      <c r="C323">
        <f>IF(A323="","",'Job Cards'!$D$19)</f>
        <v/>
      </c>
      <c r="D323">
        <f>IF(A323="","",'BOM Mapping'!$A$23)</f>
        <v/>
      </c>
      <c r="E323">
        <f>IF(C323="Longitude",'BOM Mapping'!$C$23,IF(C323="Latitude",'BOM Mapping'!$D$23,IF(C323="Altitude",'BOM Mapping'!$E$23,"")))</f>
        <v/>
      </c>
      <c r="F323">
        <f>IF(C323="Longitude",'BOM Mapping'!$J$23,IF(C323="Latitude",'BOM Mapping'!$K$23,IF(C323="Altitude",'BOM Mapping'!$L$23,0)))</f>
        <v/>
      </c>
      <c r="G323">
        <f>IF(A323="","",'Job Cards'!$E$19)</f>
        <v/>
      </c>
      <c r="H323">
        <f>IF(E323="","",F323*G323)</f>
        <v/>
      </c>
      <c r="I323">
        <f>IF(E323="","",IFERROR(VLOOKUP(E323,'Master Inventory'!$A:$N,10,FALSE),0))</f>
        <v/>
      </c>
      <c r="J323">
        <f>IF(E323="","",SUMIFS(Reservations!$G:$G,Reservations!$D:$D,A323,Reservations!$E:$E,E323,Reservations!$H:$H,"Active"))</f>
        <v/>
      </c>
      <c r="K323">
        <f>IF(E323="","",MAX(0,H323-I323-J323))</f>
        <v/>
      </c>
      <c r="L323">
        <f>IF(E323="","",IF(K323&gt;0,"SHORTAGE",IF(J323&gt;=H323,"RESERVED","READY TO RESERVE")))</f>
        <v/>
      </c>
    </row>
    <row r="324">
      <c r="A324">
        <f>IF('Job Cards'!$A$20="","",'Job Cards'!$A$20)</f>
        <v/>
      </c>
      <c r="B324">
        <f>IF(A324="","",'Job Cards'!$B$20)</f>
        <v/>
      </c>
      <c r="C324">
        <f>IF(A324="","",'Job Cards'!$D$20)</f>
        <v/>
      </c>
      <c r="D324">
        <f>IF(A324="","",'BOM Mapping'!$A$4)</f>
        <v/>
      </c>
      <c r="E324">
        <f>IF(C324="Longitude",'BOM Mapping'!$C$4,IF(C324="Latitude",'BOM Mapping'!$D$4,IF(C324="Altitude",'BOM Mapping'!$E$4,"")))</f>
        <v/>
      </c>
      <c r="F324">
        <f>IF(C324="Longitude",'BOM Mapping'!$J$4,IF(C324="Latitude",'BOM Mapping'!$K$4,IF(C324="Altitude",'BOM Mapping'!$L$4,0)))</f>
        <v/>
      </c>
      <c r="G324">
        <f>IF(A324="","",'Job Cards'!$E$20)</f>
        <v/>
      </c>
      <c r="H324">
        <f>IF(E324="","",F324*G324)</f>
        <v/>
      </c>
      <c r="I324">
        <f>IF(E324="","",IFERROR(VLOOKUP(E324,'Master Inventory'!$A:$N,10,FALSE),0))</f>
        <v/>
      </c>
      <c r="J324">
        <f>IF(E324="","",SUMIFS(Reservations!$G:$G,Reservations!$D:$D,A324,Reservations!$E:$E,E324,Reservations!$H:$H,"Active"))</f>
        <v/>
      </c>
      <c r="K324">
        <f>IF(E324="","",MAX(0,H324-I324-J324))</f>
        <v/>
      </c>
      <c r="L324">
        <f>IF(E324="","",IF(K324&gt;0,"SHORTAGE",IF(J324&gt;=H324,"RESERVED","READY TO RESERVE")))</f>
        <v/>
      </c>
    </row>
    <row r="325">
      <c r="A325">
        <f>IF('Job Cards'!$A$20="","",'Job Cards'!$A$20)</f>
        <v/>
      </c>
      <c r="B325">
        <f>IF(A325="","",'Job Cards'!$B$20)</f>
        <v/>
      </c>
      <c r="C325">
        <f>IF(A325="","",'Job Cards'!$D$20)</f>
        <v/>
      </c>
      <c r="D325">
        <f>IF(A325="","",'BOM Mapping'!$A$5)</f>
        <v/>
      </c>
      <c r="E325">
        <f>IF(C325="Longitude",'BOM Mapping'!$C$5,IF(C325="Latitude",'BOM Mapping'!$D$5,IF(C325="Altitude",'BOM Mapping'!$E$5,"")))</f>
        <v/>
      </c>
      <c r="F325">
        <f>IF(C325="Longitude",'BOM Mapping'!$J$5,IF(C325="Latitude",'BOM Mapping'!$K$5,IF(C325="Altitude",'BOM Mapping'!$L$5,0)))</f>
        <v/>
      </c>
      <c r="G325">
        <f>IF(A325="","",'Job Cards'!$E$20)</f>
        <v/>
      </c>
      <c r="H325">
        <f>IF(E325="","",F325*G325)</f>
        <v/>
      </c>
      <c r="I325">
        <f>IF(E325="","",IFERROR(VLOOKUP(E325,'Master Inventory'!$A:$N,10,FALSE),0))</f>
        <v/>
      </c>
      <c r="J325">
        <f>IF(E325="","",SUMIFS(Reservations!$G:$G,Reservations!$D:$D,A325,Reservations!$E:$E,E325,Reservations!$H:$H,"Active"))</f>
        <v/>
      </c>
      <c r="K325">
        <f>IF(E325="","",MAX(0,H325-I325-J325))</f>
        <v/>
      </c>
      <c r="L325">
        <f>IF(E325="","",IF(K325&gt;0,"SHORTAGE",IF(J325&gt;=H325,"RESERVED","READY TO RESERVE")))</f>
        <v/>
      </c>
    </row>
    <row r="326">
      <c r="A326">
        <f>IF('Job Cards'!$A$20="","",'Job Cards'!$A$20)</f>
        <v/>
      </c>
      <c r="B326">
        <f>IF(A326="","",'Job Cards'!$B$20)</f>
        <v/>
      </c>
      <c r="C326">
        <f>IF(A326="","",'Job Cards'!$D$20)</f>
        <v/>
      </c>
      <c r="D326">
        <f>IF(A326="","",'BOM Mapping'!$A$6)</f>
        <v/>
      </c>
      <c r="E326">
        <f>IF(C326="Longitude",'BOM Mapping'!$C$6,IF(C326="Latitude",'BOM Mapping'!$D$6,IF(C326="Altitude",'BOM Mapping'!$E$6,"")))</f>
        <v/>
      </c>
      <c r="F326">
        <f>IF(C326="Longitude",'BOM Mapping'!$J$6,IF(C326="Latitude",'BOM Mapping'!$K$6,IF(C326="Altitude",'BOM Mapping'!$L$6,0)))</f>
        <v/>
      </c>
      <c r="G326">
        <f>IF(A326="","",'Job Cards'!$E$20)</f>
        <v/>
      </c>
      <c r="H326">
        <f>IF(E326="","",F326*G326)</f>
        <v/>
      </c>
      <c r="I326">
        <f>IF(E326="","",IFERROR(VLOOKUP(E326,'Master Inventory'!$A:$N,10,FALSE),0))</f>
        <v/>
      </c>
      <c r="J326">
        <f>IF(E326="","",SUMIFS(Reservations!$G:$G,Reservations!$D:$D,A326,Reservations!$E:$E,E326,Reservations!$H:$H,"Active"))</f>
        <v/>
      </c>
      <c r="K326">
        <f>IF(E326="","",MAX(0,H326-I326-J326))</f>
        <v/>
      </c>
      <c r="L326">
        <f>IF(E326="","",IF(K326&gt;0,"SHORTAGE",IF(J326&gt;=H326,"RESERVED","READY TO RESERVE")))</f>
        <v/>
      </c>
    </row>
    <row r="327">
      <c r="A327">
        <f>IF('Job Cards'!$A$20="","",'Job Cards'!$A$20)</f>
        <v/>
      </c>
      <c r="B327">
        <f>IF(A327="","",'Job Cards'!$B$20)</f>
        <v/>
      </c>
      <c r="C327">
        <f>IF(A327="","",'Job Cards'!$D$20)</f>
        <v/>
      </c>
      <c r="D327">
        <f>IF(A327="","",'BOM Mapping'!$A$7)</f>
        <v/>
      </c>
      <c r="E327">
        <f>IF(C327="Longitude",'BOM Mapping'!$C$7,IF(C327="Latitude",'BOM Mapping'!$D$7,IF(C327="Altitude",'BOM Mapping'!$E$7,"")))</f>
        <v/>
      </c>
      <c r="F327">
        <f>IF(C327="Longitude",'BOM Mapping'!$J$7,IF(C327="Latitude",'BOM Mapping'!$K$7,IF(C327="Altitude",'BOM Mapping'!$L$7,0)))</f>
        <v/>
      </c>
      <c r="G327">
        <f>IF(A327="","",'Job Cards'!$E$20)</f>
        <v/>
      </c>
      <c r="H327">
        <f>IF(E327="","",F327*G327)</f>
        <v/>
      </c>
      <c r="I327">
        <f>IF(E327="","",IFERROR(VLOOKUP(E327,'Master Inventory'!$A:$N,10,FALSE),0))</f>
        <v/>
      </c>
      <c r="J327">
        <f>IF(E327="","",SUMIFS(Reservations!$G:$G,Reservations!$D:$D,A327,Reservations!$E:$E,E327,Reservations!$H:$H,"Active"))</f>
        <v/>
      </c>
      <c r="K327">
        <f>IF(E327="","",MAX(0,H327-I327-J327))</f>
        <v/>
      </c>
      <c r="L327">
        <f>IF(E327="","",IF(K327&gt;0,"SHORTAGE",IF(J327&gt;=H327,"RESERVED","READY TO RESERVE")))</f>
        <v/>
      </c>
    </row>
    <row r="328">
      <c r="A328">
        <f>IF('Job Cards'!$A$20="","",'Job Cards'!$A$20)</f>
        <v/>
      </c>
      <c r="B328">
        <f>IF(A328="","",'Job Cards'!$B$20)</f>
        <v/>
      </c>
      <c r="C328">
        <f>IF(A328="","",'Job Cards'!$D$20)</f>
        <v/>
      </c>
      <c r="D328">
        <f>IF(A328="","",'BOM Mapping'!$A$8)</f>
        <v/>
      </c>
      <c r="E328">
        <f>IF(C328="Longitude",'BOM Mapping'!$C$8,IF(C328="Latitude",'BOM Mapping'!$D$8,IF(C328="Altitude",'BOM Mapping'!$E$8,"")))</f>
        <v/>
      </c>
      <c r="F328">
        <f>IF(C328="Longitude",'BOM Mapping'!$J$8,IF(C328="Latitude",'BOM Mapping'!$K$8,IF(C328="Altitude",'BOM Mapping'!$L$8,0)))</f>
        <v/>
      </c>
      <c r="G328">
        <f>IF(A328="","",'Job Cards'!$E$20)</f>
        <v/>
      </c>
      <c r="H328">
        <f>IF(E328="","",F328*G328)</f>
        <v/>
      </c>
      <c r="I328">
        <f>IF(E328="","",IFERROR(VLOOKUP(E328,'Master Inventory'!$A:$N,10,FALSE),0))</f>
        <v/>
      </c>
      <c r="J328">
        <f>IF(E328="","",SUMIFS(Reservations!$G:$G,Reservations!$D:$D,A328,Reservations!$E:$E,E328,Reservations!$H:$H,"Active"))</f>
        <v/>
      </c>
      <c r="K328">
        <f>IF(E328="","",MAX(0,H328-I328-J328))</f>
        <v/>
      </c>
      <c r="L328">
        <f>IF(E328="","",IF(K328&gt;0,"SHORTAGE",IF(J328&gt;=H328,"RESERVED","READY TO RESERVE")))</f>
        <v/>
      </c>
    </row>
    <row r="329">
      <c r="A329">
        <f>IF('Job Cards'!$A$20="","",'Job Cards'!$A$20)</f>
        <v/>
      </c>
      <c r="B329">
        <f>IF(A329="","",'Job Cards'!$B$20)</f>
        <v/>
      </c>
      <c r="C329">
        <f>IF(A329="","",'Job Cards'!$D$20)</f>
        <v/>
      </c>
      <c r="D329">
        <f>IF(A329="","",'BOM Mapping'!$A$9)</f>
        <v/>
      </c>
      <c r="E329">
        <f>IF(C329="Longitude",'BOM Mapping'!$C$9,IF(C329="Latitude",'BOM Mapping'!$D$9,IF(C329="Altitude",'BOM Mapping'!$E$9,"")))</f>
        <v/>
      </c>
      <c r="F329">
        <f>IF(C329="Longitude",'BOM Mapping'!$J$9,IF(C329="Latitude",'BOM Mapping'!$K$9,IF(C329="Altitude",'BOM Mapping'!$L$9,0)))</f>
        <v/>
      </c>
      <c r="G329">
        <f>IF(A329="","",'Job Cards'!$E$20)</f>
        <v/>
      </c>
      <c r="H329">
        <f>IF(E329="","",F329*G329)</f>
        <v/>
      </c>
      <c r="I329">
        <f>IF(E329="","",IFERROR(VLOOKUP(E329,'Master Inventory'!$A:$N,10,FALSE),0))</f>
        <v/>
      </c>
      <c r="J329">
        <f>IF(E329="","",SUMIFS(Reservations!$G:$G,Reservations!$D:$D,A329,Reservations!$E:$E,E329,Reservations!$H:$H,"Active"))</f>
        <v/>
      </c>
      <c r="K329">
        <f>IF(E329="","",MAX(0,H329-I329-J329))</f>
        <v/>
      </c>
      <c r="L329">
        <f>IF(E329="","",IF(K329&gt;0,"SHORTAGE",IF(J329&gt;=H329,"RESERVED","READY TO RESERVE")))</f>
        <v/>
      </c>
    </row>
    <row r="330">
      <c r="A330">
        <f>IF('Job Cards'!$A$20="","",'Job Cards'!$A$20)</f>
        <v/>
      </c>
      <c r="B330">
        <f>IF(A330="","",'Job Cards'!$B$20)</f>
        <v/>
      </c>
      <c r="C330">
        <f>IF(A330="","",'Job Cards'!$D$20)</f>
        <v/>
      </c>
      <c r="D330">
        <f>IF(A330="","",'BOM Mapping'!$A$10)</f>
        <v/>
      </c>
      <c r="E330">
        <f>IF(C330="Longitude",'BOM Mapping'!$C$10,IF(C330="Latitude",'BOM Mapping'!$D$10,IF(C330="Altitude",'BOM Mapping'!$E$10,"")))</f>
        <v/>
      </c>
      <c r="F330">
        <f>IF(C330="Longitude",'BOM Mapping'!$J$10,IF(C330="Latitude",'BOM Mapping'!$K$10,IF(C330="Altitude",'BOM Mapping'!$L$10,0)))</f>
        <v/>
      </c>
      <c r="G330">
        <f>IF(A330="","",'Job Cards'!$E$20)</f>
        <v/>
      </c>
      <c r="H330">
        <f>IF(E330="","",F330*G330)</f>
        <v/>
      </c>
      <c r="I330">
        <f>IF(E330="","",IFERROR(VLOOKUP(E330,'Master Inventory'!$A:$N,10,FALSE),0))</f>
        <v/>
      </c>
      <c r="J330">
        <f>IF(E330="","",SUMIFS(Reservations!$G:$G,Reservations!$D:$D,A330,Reservations!$E:$E,E330,Reservations!$H:$H,"Active"))</f>
        <v/>
      </c>
      <c r="K330">
        <f>IF(E330="","",MAX(0,H330-I330-J330))</f>
        <v/>
      </c>
      <c r="L330">
        <f>IF(E330="","",IF(K330&gt;0,"SHORTAGE",IF(J330&gt;=H330,"RESERVED","READY TO RESERVE")))</f>
        <v/>
      </c>
    </row>
    <row r="331">
      <c r="A331">
        <f>IF('Job Cards'!$A$20="","",'Job Cards'!$A$20)</f>
        <v/>
      </c>
      <c r="B331">
        <f>IF(A331="","",'Job Cards'!$B$20)</f>
        <v/>
      </c>
      <c r="C331">
        <f>IF(A331="","",'Job Cards'!$D$20)</f>
        <v/>
      </c>
      <c r="D331">
        <f>IF(A331="","",'BOM Mapping'!$A$11)</f>
        <v/>
      </c>
      <c r="E331">
        <f>IF(C331="Longitude",'BOM Mapping'!$C$11,IF(C331="Latitude",'BOM Mapping'!$D$11,IF(C331="Altitude",'BOM Mapping'!$E$11,"")))</f>
        <v/>
      </c>
      <c r="F331">
        <f>IF(C331="Longitude",'BOM Mapping'!$J$11,IF(C331="Latitude",'BOM Mapping'!$K$11,IF(C331="Altitude",'BOM Mapping'!$L$11,0)))</f>
        <v/>
      </c>
      <c r="G331">
        <f>IF(A331="","",'Job Cards'!$E$20)</f>
        <v/>
      </c>
      <c r="H331">
        <f>IF(E331="","",F331*G331)</f>
        <v/>
      </c>
      <c r="I331">
        <f>IF(E331="","",IFERROR(VLOOKUP(E331,'Master Inventory'!$A:$N,10,FALSE),0))</f>
        <v/>
      </c>
      <c r="J331">
        <f>IF(E331="","",SUMIFS(Reservations!$G:$G,Reservations!$D:$D,A331,Reservations!$E:$E,E331,Reservations!$H:$H,"Active"))</f>
        <v/>
      </c>
      <c r="K331">
        <f>IF(E331="","",MAX(0,H331-I331-J331))</f>
        <v/>
      </c>
      <c r="L331">
        <f>IF(E331="","",IF(K331&gt;0,"SHORTAGE",IF(J331&gt;=H331,"RESERVED","READY TO RESERVE")))</f>
        <v/>
      </c>
    </row>
    <row r="332">
      <c r="A332">
        <f>IF('Job Cards'!$A$20="","",'Job Cards'!$A$20)</f>
        <v/>
      </c>
      <c r="B332">
        <f>IF(A332="","",'Job Cards'!$B$20)</f>
        <v/>
      </c>
      <c r="C332">
        <f>IF(A332="","",'Job Cards'!$D$20)</f>
        <v/>
      </c>
      <c r="D332">
        <f>IF(A332="","",'BOM Mapping'!$A$12)</f>
        <v/>
      </c>
      <c r="E332">
        <f>IF(C332="Longitude",'BOM Mapping'!$C$12,IF(C332="Latitude",'BOM Mapping'!$D$12,IF(C332="Altitude",'BOM Mapping'!$E$12,"")))</f>
        <v/>
      </c>
      <c r="F332">
        <f>IF(C332="Longitude",'BOM Mapping'!$J$12,IF(C332="Latitude",'BOM Mapping'!$K$12,IF(C332="Altitude",'BOM Mapping'!$L$12,0)))</f>
        <v/>
      </c>
      <c r="G332">
        <f>IF(A332="","",'Job Cards'!$E$20)</f>
        <v/>
      </c>
      <c r="H332">
        <f>IF(E332="","",F332*G332)</f>
        <v/>
      </c>
      <c r="I332">
        <f>IF(E332="","",IFERROR(VLOOKUP(E332,'Master Inventory'!$A:$N,10,FALSE),0))</f>
        <v/>
      </c>
      <c r="J332">
        <f>IF(E332="","",SUMIFS(Reservations!$G:$G,Reservations!$D:$D,A332,Reservations!$E:$E,E332,Reservations!$H:$H,"Active"))</f>
        <v/>
      </c>
      <c r="K332">
        <f>IF(E332="","",MAX(0,H332-I332-J332))</f>
        <v/>
      </c>
      <c r="L332">
        <f>IF(E332="","",IF(K332&gt;0,"SHORTAGE",IF(J332&gt;=H332,"RESERVED","READY TO RESERVE")))</f>
        <v/>
      </c>
    </row>
    <row r="333">
      <c r="A333">
        <f>IF('Job Cards'!$A$20="","",'Job Cards'!$A$20)</f>
        <v/>
      </c>
      <c r="B333">
        <f>IF(A333="","",'Job Cards'!$B$20)</f>
        <v/>
      </c>
      <c r="C333">
        <f>IF(A333="","",'Job Cards'!$D$20)</f>
        <v/>
      </c>
      <c r="D333">
        <f>IF(A333="","",'BOM Mapping'!$A$13)</f>
        <v/>
      </c>
      <c r="E333">
        <f>IF(C333="Longitude",'BOM Mapping'!$C$13,IF(C333="Latitude",'BOM Mapping'!$D$13,IF(C333="Altitude",'BOM Mapping'!$E$13,"")))</f>
        <v/>
      </c>
      <c r="F333">
        <f>IF(C333="Longitude",'BOM Mapping'!$J$13,IF(C333="Latitude",'BOM Mapping'!$K$13,IF(C333="Altitude",'BOM Mapping'!$L$13,0)))</f>
        <v/>
      </c>
      <c r="G333">
        <f>IF(A333="","",'Job Cards'!$E$20)</f>
        <v/>
      </c>
      <c r="H333">
        <f>IF(E333="","",F333*G333)</f>
        <v/>
      </c>
      <c r="I333">
        <f>IF(E333="","",IFERROR(VLOOKUP(E333,'Master Inventory'!$A:$N,10,FALSE),0))</f>
        <v/>
      </c>
      <c r="J333">
        <f>IF(E333="","",SUMIFS(Reservations!$G:$G,Reservations!$D:$D,A333,Reservations!$E:$E,E333,Reservations!$H:$H,"Active"))</f>
        <v/>
      </c>
      <c r="K333">
        <f>IF(E333="","",MAX(0,H333-I333-J333))</f>
        <v/>
      </c>
      <c r="L333">
        <f>IF(E333="","",IF(K333&gt;0,"SHORTAGE",IF(J333&gt;=H333,"RESERVED","READY TO RESERVE")))</f>
        <v/>
      </c>
    </row>
    <row r="334">
      <c r="A334">
        <f>IF('Job Cards'!$A$20="","",'Job Cards'!$A$20)</f>
        <v/>
      </c>
      <c r="B334">
        <f>IF(A334="","",'Job Cards'!$B$20)</f>
        <v/>
      </c>
      <c r="C334">
        <f>IF(A334="","",'Job Cards'!$D$20)</f>
        <v/>
      </c>
      <c r="D334">
        <f>IF(A334="","",'BOM Mapping'!$A$14)</f>
        <v/>
      </c>
      <c r="E334">
        <f>IF(C334="Longitude",'BOM Mapping'!$C$14,IF(C334="Latitude",'BOM Mapping'!$D$14,IF(C334="Altitude",'BOM Mapping'!$E$14,"")))</f>
        <v/>
      </c>
      <c r="F334">
        <f>IF(C334="Longitude",'BOM Mapping'!$J$14,IF(C334="Latitude",'BOM Mapping'!$K$14,IF(C334="Altitude",'BOM Mapping'!$L$14,0)))</f>
        <v/>
      </c>
      <c r="G334">
        <f>IF(A334="","",'Job Cards'!$E$20)</f>
        <v/>
      </c>
      <c r="H334">
        <f>IF(E334="","",F334*G334)</f>
        <v/>
      </c>
      <c r="I334">
        <f>IF(E334="","",IFERROR(VLOOKUP(E334,'Master Inventory'!$A:$N,10,FALSE),0))</f>
        <v/>
      </c>
      <c r="J334">
        <f>IF(E334="","",SUMIFS(Reservations!$G:$G,Reservations!$D:$D,A334,Reservations!$E:$E,E334,Reservations!$H:$H,"Active"))</f>
        <v/>
      </c>
      <c r="K334">
        <f>IF(E334="","",MAX(0,H334-I334-J334))</f>
        <v/>
      </c>
      <c r="L334">
        <f>IF(E334="","",IF(K334&gt;0,"SHORTAGE",IF(J334&gt;=H334,"RESERVED","READY TO RESERVE")))</f>
        <v/>
      </c>
    </row>
    <row r="335">
      <c r="A335">
        <f>IF('Job Cards'!$A$20="","",'Job Cards'!$A$20)</f>
        <v/>
      </c>
      <c r="B335">
        <f>IF(A335="","",'Job Cards'!$B$20)</f>
        <v/>
      </c>
      <c r="C335">
        <f>IF(A335="","",'Job Cards'!$D$20)</f>
        <v/>
      </c>
      <c r="D335">
        <f>IF(A335="","",'BOM Mapping'!$A$15)</f>
        <v/>
      </c>
      <c r="E335">
        <f>IF(C335="Longitude",'BOM Mapping'!$C$15,IF(C335="Latitude",'BOM Mapping'!$D$15,IF(C335="Altitude",'BOM Mapping'!$E$15,"")))</f>
        <v/>
      </c>
      <c r="F335">
        <f>IF(C335="Longitude",'BOM Mapping'!$J$15,IF(C335="Latitude",'BOM Mapping'!$K$15,IF(C335="Altitude",'BOM Mapping'!$L$15,0)))</f>
        <v/>
      </c>
      <c r="G335">
        <f>IF(A335="","",'Job Cards'!$E$20)</f>
        <v/>
      </c>
      <c r="H335">
        <f>IF(E335="","",F335*G335)</f>
        <v/>
      </c>
      <c r="I335">
        <f>IF(E335="","",IFERROR(VLOOKUP(E335,'Master Inventory'!$A:$N,10,FALSE),0))</f>
        <v/>
      </c>
      <c r="J335">
        <f>IF(E335="","",SUMIFS(Reservations!$G:$G,Reservations!$D:$D,A335,Reservations!$E:$E,E335,Reservations!$H:$H,"Active"))</f>
        <v/>
      </c>
      <c r="K335">
        <f>IF(E335="","",MAX(0,H335-I335-J335))</f>
        <v/>
      </c>
      <c r="L335">
        <f>IF(E335="","",IF(K335&gt;0,"SHORTAGE",IF(J335&gt;=H335,"RESERVED","READY TO RESERVE")))</f>
        <v/>
      </c>
    </row>
    <row r="336">
      <c r="A336">
        <f>IF('Job Cards'!$A$20="","",'Job Cards'!$A$20)</f>
        <v/>
      </c>
      <c r="B336">
        <f>IF(A336="","",'Job Cards'!$B$20)</f>
        <v/>
      </c>
      <c r="C336">
        <f>IF(A336="","",'Job Cards'!$D$20)</f>
        <v/>
      </c>
      <c r="D336">
        <f>IF(A336="","",'BOM Mapping'!$A$16)</f>
        <v/>
      </c>
      <c r="E336">
        <f>IF(C336="Longitude",'BOM Mapping'!$C$16,IF(C336="Latitude",'BOM Mapping'!$D$16,IF(C336="Altitude",'BOM Mapping'!$E$16,"")))</f>
        <v/>
      </c>
      <c r="F336">
        <f>IF(C336="Longitude",'BOM Mapping'!$J$16,IF(C336="Latitude",'BOM Mapping'!$K$16,IF(C336="Altitude",'BOM Mapping'!$L$16,0)))</f>
        <v/>
      </c>
      <c r="G336">
        <f>IF(A336="","",'Job Cards'!$E$20)</f>
        <v/>
      </c>
      <c r="H336">
        <f>IF(E336="","",F336*G336)</f>
        <v/>
      </c>
      <c r="I336">
        <f>IF(E336="","",IFERROR(VLOOKUP(E336,'Master Inventory'!$A:$N,10,FALSE),0))</f>
        <v/>
      </c>
      <c r="J336">
        <f>IF(E336="","",SUMIFS(Reservations!$G:$G,Reservations!$D:$D,A336,Reservations!$E:$E,E336,Reservations!$H:$H,"Active"))</f>
        <v/>
      </c>
      <c r="K336">
        <f>IF(E336="","",MAX(0,H336-I336-J336))</f>
        <v/>
      </c>
      <c r="L336">
        <f>IF(E336="","",IF(K336&gt;0,"SHORTAGE",IF(J336&gt;=H336,"RESERVED","READY TO RESERVE")))</f>
        <v/>
      </c>
    </row>
    <row r="337">
      <c r="A337">
        <f>IF('Job Cards'!$A$20="","",'Job Cards'!$A$20)</f>
        <v/>
      </c>
      <c r="B337">
        <f>IF(A337="","",'Job Cards'!$B$20)</f>
        <v/>
      </c>
      <c r="C337">
        <f>IF(A337="","",'Job Cards'!$D$20)</f>
        <v/>
      </c>
      <c r="D337">
        <f>IF(A337="","",'BOM Mapping'!$A$17)</f>
        <v/>
      </c>
      <c r="E337">
        <f>IF(C337="Longitude",'BOM Mapping'!$C$17,IF(C337="Latitude",'BOM Mapping'!$D$17,IF(C337="Altitude",'BOM Mapping'!$E$17,"")))</f>
        <v/>
      </c>
      <c r="F337">
        <f>IF(C337="Longitude",'BOM Mapping'!$J$17,IF(C337="Latitude",'BOM Mapping'!$K$17,IF(C337="Altitude",'BOM Mapping'!$L$17,0)))</f>
        <v/>
      </c>
      <c r="G337">
        <f>IF(A337="","",'Job Cards'!$E$20)</f>
        <v/>
      </c>
      <c r="H337">
        <f>IF(E337="","",F337*G337)</f>
        <v/>
      </c>
      <c r="I337">
        <f>IF(E337="","",IFERROR(VLOOKUP(E337,'Master Inventory'!$A:$N,10,FALSE),0))</f>
        <v/>
      </c>
      <c r="J337">
        <f>IF(E337="","",SUMIFS(Reservations!$G:$G,Reservations!$D:$D,A337,Reservations!$E:$E,E337,Reservations!$H:$H,"Active"))</f>
        <v/>
      </c>
      <c r="K337">
        <f>IF(E337="","",MAX(0,H337-I337-J337))</f>
        <v/>
      </c>
      <c r="L337">
        <f>IF(E337="","",IF(K337&gt;0,"SHORTAGE",IF(J337&gt;=H337,"RESERVED","READY TO RESERVE")))</f>
        <v/>
      </c>
    </row>
    <row r="338">
      <c r="A338">
        <f>IF('Job Cards'!$A$20="","",'Job Cards'!$A$20)</f>
        <v/>
      </c>
      <c r="B338">
        <f>IF(A338="","",'Job Cards'!$B$20)</f>
        <v/>
      </c>
      <c r="C338">
        <f>IF(A338="","",'Job Cards'!$D$20)</f>
        <v/>
      </c>
      <c r="D338">
        <f>IF(A338="","",'BOM Mapping'!$A$18)</f>
        <v/>
      </c>
      <c r="E338">
        <f>IF(C338="Longitude",'BOM Mapping'!$C$18,IF(C338="Latitude",'BOM Mapping'!$D$18,IF(C338="Altitude",'BOM Mapping'!$E$18,"")))</f>
        <v/>
      </c>
      <c r="F338">
        <f>IF(C338="Longitude",'BOM Mapping'!$J$18,IF(C338="Latitude",'BOM Mapping'!$K$18,IF(C338="Altitude",'BOM Mapping'!$L$18,0)))</f>
        <v/>
      </c>
      <c r="G338">
        <f>IF(A338="","",'Job Cards'!$E$20)</f>
        <v/>
      </c>
      <c r="H338">
        <f>IF(E338="","",F338*G338)</f>
        <v/>
      </c>
      <c r="I338">
        <f>IF(E338="","",IFERROR(VLOOKUP(E338,'Master Inventory'!$A:$N,10,FALSE),0))</f>
        <v/>
      </c>
      <c r="J338">
        <f>IF(E338="","",SUMIFS(Reservations!$G:$G,Reservations!$D:$D,A338,Reservations!$E:$E,E338,Reservations!$H:$H,"Active"))</f>
        <v/>
      </c>
      <c r="K338">
        <f>IF(E338="","",MAX(0,H338-I338-J338))</f>
        <v/>
      </c>
      <c r="L338">
        <f>IF(E338="","",IF(K338&gt;0,"SHORTAGE",IF(J338&gt;=H338,"RESERVED","READY TO RESERVE")))</f>
        <v/>
      </c>
    </row>
    <row r="339">
      <c r="A339">
        <f>IF('Job Cards'!$A$20="","",'Job Cards'!$A$20)</f>
        <v/>
      </c>
      <c r="B339">
        <f>IF(A339="","",'Job Cards'!$B$20)</f>
        <v/>
      </c>
      <c r="C339">
        <f>IF(A339="","",'Job Cards'!$D$20)</f>
        <v/>
      </c>
      <c r="D339">
        <f>IF(A339="","",'BOM Mapping'!$A$19)</f>
        <v/>
      </c>
      <c r="E339">
        <f>IF(C339="Longitude",'BOM Mapping'!$C$19,IF(C339="Latitude",'BOM Mapping'!$D$19,IF(C339="Altitude",'BOM Mapping'!$E$19,"")))</f>
        <v/>
      </c>
      <c r="F339">
        <f>IF(C339="Longitude",'BOM Mapping'!$J$19,IF(C339="Latitude",'BOM Mapping'!$K$19,IF(C339="Altitude",'BOM Mapping'!$L$19,0)))</f>
        <v/>
      </c>
      <c r="G339">
        <f>IF(A339="","",'Job Cards'!$E$20)</f>
        <v/>
      </c>
      <c r="H339">
        <f>IF(E339="","",F339*G339)</f>
        <v/>
      </c>
      <c r="I339">
        <f>IF(E339="","",IFERROR(VLOOKUP(E339,'Master Inventory'!$A:$N,10,FALSE),0))</f>
        <v/>
      </c>
      <c r="J339">
        <f>IF(E339="","",SUMIFS(Reservations!$G:$G,Reservations!$D:$D,A339,Reservations!$E:$E,E339,Reservations!$H:$H,"Active"))</f>
        <v/>
      </c>
      <c r="K339">
        <f>IF(E339="","",MAX(0,H339-I339-J339))</f>
        <v/>
      </c>
      <c r="L339">
        <f>IF(E339="","",IF(K339&gt;0,"SHORTAGE",IF(J339&gt;=H339,"RESERVED","READY TO RESERVE")))</f>
        <v/>
      </c>
    </row>
    <row r="340">
      <c r="A340">
        <f>IF('Job Cards'!$A$20="","",'Job Cards'!$A$20)</f>
        <v/>
      </c>
      <c r="B340">
        <f>IF(A340="","",'Job Cards'!$B$20)</f>
        <v/>
      </c>
      <c r="C340">
        <f>IF(A340="","",'Job Cards'!$D$20)</f>
        <v/>
      </c>
      <c r="D340">
        <f>IF(A340="","",'BOM Mapping'!$A$20)</f>
        <v/>
      </c>
      <c r="E340">
        <f>IF(C340="Longitude",'BOM Mapping'!$C$20,IF(C340="Latitude",'BOM Mapping'!$D$20,IF(C340="Altitude",'BOM Mapping'!$E$20,"")))</f>
        <v/>
      </c>
      <c r="F340">
        <f>IF(C340="Longitude",'BOM Mapping'!$J$20,IF(C340="Latitude",'BOM Mapping'!$K$20,IF(C340="Altitude",'BOM Mapping'!$L$20,0)))</f>
        <v/>
      </c>
      <c r="G340">
        <f>IF(A340="","",'Job Cards'!$E$20)</f>
        <v/>
      </c>
      <c r="H340">
        <f>IF(E340="","",F340*G340)</f>
        <v/>
      </c>
      <c r="I340">
        <f>IF(E340="","",IFERROR(VLOOKUP(E340,'Master Inventory'!$A:$N,10,FALSE),0))</f>
        <v/>
      </c>
      <c r="J340">
        <f>IF(E340="","",SUMIFS(Reservations!$G:$G,Reservations!$D:$D,A340,Reservations!$E:$E,E340,Reservations!$H:$H,"Active"))</f>
        <v/>
      </c>
      <c r="K340">
        <f>IF(E340="","",MAX(0,H340-I340-J340))</f>
        <v/>
      </c>
      <c r="L340">
        <f>IF(E340="","",IF(K340&gt;0,"SHORTAGE",IF(J340&gt;=H340,"RESERVED","READY TO RESERVE")))</f>
        <v/>
      </c>
    </row>
    <row r="341">
      <c r="A341">
        <f>IF('Job Cards'!$A$20="","",'Job Cards'!$A$20)</f>
        <v/>
      </c>
      <c r="B341">
        <f>IF(A341="","",'Job Cards'!$B$20)</f>
        <v/>
      </c>
      <c r="C341">
        <f>IF(A341="","",'Job Cards'!$D$20)</f>
        <v/>
      </c>
      <c r="D341">
        <f>IF(A341="","",'BOM Mapping'!$A$21)</f>
        <v/>
      </c>
      <c r="E341">
        <f>IF(C341="Longitude",'BOM Mapping'!$C$21,IF(C341="Latitude",'BOM Mapping'!$D$21,IF(C341="Altitude",'BOM Mapping'!$E$21,"")))</f>
        <v/>
      </c>
      <c r="F341">
        <f>IF(C341="Longitude",'BOM Mapping'!$J$21,IF(C341="Latitude",'BOM Mapping'!$K$21,IF(C341="Altitude",'BOM Mapping'!$L$21,0)))</f>
        <v/>
      </c>
      <c r="G341">
        <f>IF(A341="","",'Job Cards'!$E$20)</f>
        <v/>
      </c>
      <c r="H341">
        <f>IF(E341="","",F341*G341)</f>
        <v/>
      </c>
      <c r="I341">
        <f>IF(E341="","",IFERROR(VLOOKUP(E341,'Master Inventory'!$A:$N,10,FALSE),0))</f>
        <v/>
      </c>
      <c r="J341">
        <f>IF(E341="","",SUMIFS(Reservations!$G:$G,Reservations!$D:$D,A341,Reservations!$E:$E,E341,Reservations!$H:$H,"Active"))</f>
        <v/>
      </c>
      <c r="K341">
        <f>IF(E341="","",MAX(0,H341-I341-J341))</f>
        <v/>
      </c>
      <c r="L341">
        <f>IF(E341="","",IF(K341&gt;0,"SHORTAGE",IF(J341&gt;=H341,"RESERVED","READY TO RESERVE")))</f>
        <v/>
      </c>
    </row>
    <row r="342">
      <c r="A342">
        <f>IF('Job Cards'!$A$20="","",'Job Cards'!$A$20)</f>
        <v/>
      </c>
      <c r="B342">
        <f>IF(A342="","",'Job Cards'!$B$20)</f>
        <v/>
      </c>
      <c r="C342">
        <f>IF(A342="","",'Job Cards'!$D$20)</f>
        <v/>
      </c>
      <c r="D342">
        <f>IF(A342="","",'BOM Mapping'!$A$22)</f>
        <v/>
      </c>
      <c r="E342">
        <f>IF(C342="Longitude",'BOM Mapping'!$C$22,IF(C342="Latitude",'BOM Mapping'!$D$22,IF(C342="Altitude",'BOM Mapping'!$E$22,"")))</f>
        <v/>
      </c>
      <c r="F342">
        <f>IF(C342="Longitude",'BOM Mapping'!$J$22,IF(C342="Latitude",'BOM Mapping'!$K$22,IF(C342="Altitude",'BOM Mapping'!$L$22,0)))</f>
        <v/>
      </c>
      <c r="G342">
        <f>IF(A342="","",'Job Cards'!$E$20)</f>
        <v/>
      </c>
      <c r="H342">
        <f>IF(E342="","",F342*G342)</f>
        <v/>
      </c>
      <c r="I342">
        <f>IF(E342="","",IFERROR(VLOOKUP(E342,'Master Inventory'!$A:$N,10,FALSE),0))</f>
        <v/>
      </c>
      <c r="J342">
        <f>IF(E342="","",SUMIFS(Reservations!$G:$G,Reservations!$D:$D,A342,Reservations!$E:$E,E342,Reservations!$H:$H,"Active"))</f>
        <v/>
      </c>
      <c r="K342">
        <f>IF(E342="","",MAX(0,H342-I342-J342))</f>
        <v/>
      </c>
      <c r="L342">
        <f>IF(E342="","",IF(K342&gt;0,"SHORTAGE",IF(J342&gt;=H342,"RESERVED","READY TO RESERVE")))</f>
        <v/>
      </c>
    </row>
    <row r="343">
      <c r="A343">
        <f>IF('Job Cards'!$A$20="","",'Job Cards'!$A$20)</f>
        <v/>
      </c>
      <c r="B343">
        <f>IF(A343="","",'Job Cards'!$B$20)</f>
        <v/>
      </c>
      <c r="C343">
        <f>IF(A343="","",'Job Cards'!$D$20)</f>
        <v/>
      </c>
      <c r="D343">
        <f>IF(A343="","",'BOM Mapping'!$A$23)</f>
        <v/>
      </c>
      <c r="E343">
        <f>IF(C343="Longitude",'BOM Mapping'!$C$23,IF(C343="Latitude",'BOM Mapping'!$D$23,IF(C343="Altitude",'BOM Mapping'!$E$23,"")))</f>
        <v/>
      </c>
      <c r="F343">
        <f>IF(C343="Longitude",'BOM Mapping'!$J$23,IF(C343="Latitude",'BOM Mapping'!$K$23,IF(C343="Altitude",'BOM Mapping'!$L$23,0)))</f>
        <v/>
      </c>
      <c r="G343">
        <f>IF(A343="","",'Job Cards'!$E$20)</f>
        <v/>
      </c>
      <c r="H343">
        <f>IF(E343="","",F343*G343)</f>
        <v/>
      </c>
      <c r="I343">
        <f>IF(E343="","",IFERROR(VLOOKUP(E343,'Master Inventory'!$A:$N,10,FALSE),0))</f>
        <v/>
      </c>
      <c r="J343">
        <f>IF(E343="","",SUMIFS(Reservations!$G:$G,Reservations!$D:$D,A343,Reservations!$E:$E,E343,Reservations!$H:$H,"Active"))</f>
        <v/>
      </c>
      <c r="K343">
        <f>IF(E343="","",MAX(0,H343-I343-J343))</f>
        <v/>
      </c>
      <c r="L343">
        <f>IF(E343="","",IF(K343&gt;0,"SHORTAGE",IF(J343&gt;=H343,"RESERVED","READY TO RESERVE")))</f>
        <v/>
      </c>
    </row>
    <row r="344">
      <c r="A344">
        <f>IF('Job Cards'!$A$21="","",'Job Cards'!$A$21)</f>
        <v/>
      </c>
      <c r="B344">
        <f>IF(A344="","",'Job Cards'!$B$21)</f>
        <v/>
      </c>
      <c r="C344">
        <f>IF(A344="","",'Job Cards'!$D$21)</f>
        <v/>
      </c>
      <c r="D344">
        <f>IF(A344="","",'BOM Mapping'!$A$4)</f>
        <v/>
      </c>
      <c r="E344">
        <f>IF(C344="Longitude",'BOM Mapping'!$C$4,IF(C344="Latitude",'BOM Mapping'!$D$4,IF(C344="Altitude",'BOM Mapping'!$E$4,"")))</f>
        <v/>
      </c>
      <c r="F344">
        <f>IF(C344="Longitude",'BOM Mapping'!$J$4,IF(C344="Latitude",'BOM Mapping'!$K$4,IF(C344="Altitude",'BOM Mapping'!$L$4,0)))</f>
        <v/>
      </c>
      <c r="G344">
        <f>IF(A344="","",'Job Cards'!$E$21)</f>
        <v/>
      </c>
      <c r="H344">
        <f>IF(E344="","",F344*G344)</f>
        <v/>
      </c>
      <c r="I344">
        <f>IF(E344="","",IFERROR(VLOOKUP(E344,'Master Inventory'!$A:$N,10,FALSE),0))</f>
        <v/>
      </c>
      <c r="J344">
        <f>IF(E344="","",SUMIFS(Reservations!$G:$G,Reservations!$D:$D,A344,Reservations!$E:$E,E344,Reservations!$H:$H,"Active"))</f>
        <v/>
      </c>
      <c r="K344">
        <f>IF(E344="","",MAX(0,H344-I344-J344))</f>
        <v/>
      </c>
      <c r="L344">
        <f>IF(E344="","",IF(K344&gt;0,"SHORTAGE",IF(J344&gt;=H344,"RESERVED","READY TO RESERVE")))</f>
        <v/>
      </c>
    </row>
    <row r="345">
      <c r="A345">
        <f>IF('Job Cards'!$A$21="","",'Job Cards'!$A$21)</f>
        <v/>
      </c>
      <c r="B345">
        <f>IF(A345="","",'Job Cards'!$B$21)</f>
        <v/>
      </c>
      <c r="C345">
        <f>IF(A345="","",'Job Cards'!$D$21)</f>
        <v/>
      </c>
      <c r="D345">
        <f>IF(A345="","",'BOM Mapping'!$A$5)</f>
        <v/>
      </c>
      <c r="E345">
        <f>IF(C345="Longitude",'BOM Mapping'!$C$5,IF(C345="Latitude",'BOM Mapping'!$D$5,IF(C345="Altitude",'BOM Mapping'!$E$5,"")))</f>
        <v/>
      </c>
      <c r="F345">
        <f>IF(C345="Longitude",'BOM Mapping'!$J$5,IF(C345="Latitude",'BOM Mapping'!$K$5,IF(C345="Altitude",'BOM Mapping'!$L$5,0)))</f>
        <v/>
      </c>
      <c r="G345">
        <f>IF(A345="","",'Job Cards'!$E$21)</f>
        <v/>
      </c>
      <c r="H345">
        <f>IF(E345="","",F345*G345)</f>
        <v/>
      </c>
      <c r="I345">
        <f>IF(E345="","",IFERROR(VLOOKUP(E345,'Master Inventory'!$A:$N,10,FALSE),0))</f>
        <v/>
      </c>
      <c r="J345">
        <f>IF(E345="","",SUMIFS(Reservations!$G:$G,Reservations!$D:$D,A345,Reservations!$E:$E,E345,Reservations!$H:$H,"Active"))</f>
        <v/>
      </c>
      <c r="K345">
        <f>IF(E345="","",MAX(0,H345-I345-J345))</f>
        <v/>
      </c>
      <c r="L345">
        <f>IF(E345="","",IF(K345&gt;0,"SHORTAGE",IF(J345&gt;=H345,"RESERVED","READY TO RESERVE")))</f>
        <v/>
      </c>
    </row>
    <row r="346">
      <c r="A346">
        <f>IF('Job Cards'!$A$21="","",'Job Cards'!$A$21)</f>
        <v/>
      </c>
      <c r="B346">
        <f>IF(A346="","",'Job Cards'!$B$21)</f>
        <v/>
      </c>
      <c r="C346">
        <f>IF(A346="","",'Job Cards'!$D$21)</f>
        <v/>
      </c>
      <c r="D346">
        <f>IF(A346="","",'BOM Mapping'!$A$6)</f>
        <v/>
      </c>
      <c r="E346">
        <f>IF(C346="Longitude",'BOM Mapping'!$C$6,IF(C346="Latitude",'BOM Mapping'!$D$6,IF(C346="Altitude",'BOM Mapping'!$E$6,"")))</f>
        <v/>
      </c>
      <c r="F346">
        <f>IF(C346="Longitude",'BOM Mapping'!$J$6,IF(C346="Latitude",'BOM Mapping'!$K$6,IF(C346="Altitude",'BOM Mapping'!$L$6,0)))</f>
        <v/>
      </c>
      <c r="G346">
        <f>IF(A346="","",'Job Cards'!$E$21)</f>
        <v/>
      </c>
      <c r="H346">
        <f>IF(E346="","",F346*G346)</f>
        <v/>
      </c>
      <c r="I346">
        <f>IF(E346="","",IFERROR(VLOOKUP(E346,'Master Inventory'!$A:$N,10,FALSE),0))</f>
        <v/>
      </c>
      <c r="J346">
        <f>IF(E346="","",SUMIFS(Reservations!$G:$G,Reservations!$D:$D,A346,Reservations!$E:$E,E346,Reservations!$H:$H,"Active"))</f>
        <v/>
      </c>
      <c r="K346">
        <f>IF(E346="","",MAX(0,H346-I346-J346))</f>
        <v/>
      </c>
      <c r="L346">
        <f>IF(E346="","",IF(K346&gt;0,"SHORTAGE",IF(J346&gt;=H346,"RESERVED","READY TO RESERVE")))</f>
        <v/>
      </c>
    </row>
    <row r="347">
      <c r="A347">
        <f>IF('Job Cards'!$A$21="","",'Job Cards'!$A$21)</f>
        <v/>
      </c>
      <c r="B347">
        <f>IF(A347="","",'Job Cards'!$B$21)</f>
        <v/>
      </c>
      <c r="C347">
        <f>IF(A347="","",'Job Cards'!$D$21)</f>
        <v/>
      </c>
      <c r="D347">
        <f>IF(A347="","",'BOM Mapping'!$A$7)</f>
        <v/>
      </c>
      <c r="E347">
        <f>IF(C347="Longitude",'BOM Mapping'!$C$7,IF(C347="Latitude",'BOM Mapping'!$D$7,IF(C347="Altitude",'BOM Mapping'!$E$7,"")))</f>
        <v/>
      </c>
      <c r="F347">
        <f>IF(C347="Longitude",'BOM Mapping'!$J$7,IF(C347="Latitude",'BOM Mapping'!$K$7,IF(C347="Altitude",'BOM Mapping'!$L$7,0)))</f>
        <v/>
      </c>
      <c r="G347">
        <f>IF(A347="","",'Job Cards'!$E$21)</f>
        <v/>
      </c>
      <c r="H347">
        <f>IF(E347="","",F347*G347)</f>
        <v/>
      </c>
      <c r="I347">
        <f>IF(E347="","",IFERROR(VLOOKUP(E347,'Master Inventory'!$A:$N,10,FALSE),0))</f>
        <v/>
      </c>
      <c r="J347">
        <f>IF(E347="","",SUMIFS(Reservations!$G:$G,Reservations!$D:$D,A347,Reservations!$E:$E,E347,Reservations!$H:$H,"Active"))</f>
        <v/>
      </c>
      <c r="K347">
        <f>IF(E347="","",MAX(0,H347-I347-J347))</f>
        <v/>
      </c>
      <c r="L347">
        <f>IF(E347="","",IF(K347&gt;0,"SHORTAGE",IF(J347&gt;=H347,"RESERVED","READY TO RESERVE")))</f>
        <v/>
      </c>
    </row>
    <row r="348">
      <c r="A348">
        <f>IF('Job Cards'!$A$21="","",'Job Cards'!$A$21)</f>
        <v/>
      </c>
      <c r="B348">
        <f>IF(A348="","",'Job Cards'!$B$21)</f>
        <v/>
      </c>
      <c r="C348">
        <f>IF(A348="","",'Job Cards'!$D$21)</f>
        <v/>
      </c>
      <c r="D348">
        <f>IF(A348="","",'BOM Mapping'!$A$8)</f>
        <v/>
      </c>
      <c r="E348">
        <f>IF(C348="Longitude",'BOM Mapping'!$C$8,IF(C348="Latitude",'BOM Mapping'!$D$8,IF(C348="Altitude",'BOM Mapping'!$E$8,"")))</f>
        <v/>
      </c>
      <c r="F348">
        <f>IF(C348="Longitude",'BOM Mapping'!$J$8,IF(C348="Latitude",'BOM Mapping'!$K$8,IF(C348="Altitude",'BOM Mapping'!$L$8,0)))</f>
        <v/>
      </c>
      <c r="G348">
        <f>IF(A348="","",'Job Cards'!$E$21)</f>
        <v/>
      </c>
      <c r="H348">
        <f>IF(E348="","",F348*G348)</f>
        <v/>
      </c>
      <c r="I348">
        <f>IF(E348="","",IFERROR(VLOOKUP(E348,'Master Inventory'!$A:$N,10,FALSE),0))</f>
        <v/>
      </c>
      <c r="J348">
        <f>IF(E348="","",SUMIFS(Reservations!$G:$G,Reservations!$D:$D,A348,Reservations!$E:$E,E348,Reservations!$H:$H,"Active"))</f>
        <v/>
      </c>
      <c r="K348">
        <f>IF(E348="","",MAX(0,H348-I348-J348))</f>
        <v/>
      </c>
      <c r="L348">
        <f>IF(E348="","",IF(K348&gt;0,"SHORTAGE",IF(J348&gt;=H348,"RESERVED","READY TO RESERVE")))</f>
        <v/>
      </c>
    </row>
    <row r="349">
      <c r="A349">
        <f>IF('Job Cards'!$A$21="","",'Job Cards'!$A$21)</f>
        <v/>
      </c>
      <c r="B349">
        <f>IF(A349="","",'Job Cards'!$B$21)</f>
        <v/>
      </c>
      <c r="C349">
        <f>IF(A349="","",'Job Cards'!$D$21)</f>
        <v/>
      </c>
      <c r="D349">
        <f>IF(A349="","",'BOM Mapping'!$A$9)</f>
        <v/>
      </c>
      <c r="E349">
        <f>IF(C349="Longitude",'BOM Mapping'!$C$9,IF(C349="Latitude",'BOM Mapping'!$D$9,IF(C349="Altitude",'BOM Mapping'!$E$9,"")))</f>
        <v/>
      </c>
      <c r="F349">
        <f>IF(C349="Longitude",'BOM Mapping'!$J$9,IF(C349="Latitude",'BOM Mapping'!$K$9,IF(C349="Altitude",'BOM Mapping'!$L$9,0)))</f>
        <v/>
      </c>
      <c r="G349">
        <f>IF(A349="","",'Job Cards'!$E$21)</f>
        <v/>
      </c>
      <c r="H349">
        <f>IF(E349="","",F349*G349)</f>
        <v/>
      </c>
      <c r="I349">
        <f>IF(E349="","",IFERROR(VLOOKUP(E349,'Master Inventory'!$A:$N,10,FALSE),0))</f>
        <v/>
      </c>
      <c r="J349">
        <f>IF(E349="","",SUMIFS(Reservations!$G:$G,Reservations!$D:$D,A349,Reservations!$E:$E,E349,Reservations!$H:$H,"Active"))</f>
        <v/>
      </c>
      <c r="K349">
        <f>IF(E349="","",MAX(0,H349-I349-J349))</f>
        <v/>
      </c>
      <c r="L349">
        <f>IF(E349="","",IF(K349&gt;0,"SHORTAGE",IF(J349&gt;=H349,"RESERVED","READY TO RESERVE")))</f>
        <v/>
      </c>
    </row>
    <row r="350">
      <c r="A350">
        <f>IF('Job Cards'!$A$21="","",'Job Cards'!$A$21)</f>
        <v/>
      </c>
      <c r="B350">
        <f>IF(A350="","",'Job Cards'!$B$21)</f>
        <v/>
      </c>
      <c r="C350">
        <f>IF(A350="","",'Job Cards'!$D$21)</f>
        <v/>
      </c>
      <c r="D350">
        <f>IF(A350="","",'BOM Mapping'!$A$10)</f>
        <v/>
      </c>
      <c r="E350">
        <f>IF(C350="Longitude",'BOM Mapping'!$C$10,IF(C350="Latitude",'BOM Mapping'!$D$10,IF(C350="Altitude",'BOM Mapping'!$E$10,"")))</f>
        <v/>
      </c>
      <c r="F350">
        <f>IF(C350="Longitude",'BOM Mapping'!$J$10,IF(C350="Latitude",'BOM Mapping'!$K$10,IF(C350="Altitude",'BOM Mapping'!$L$10,0)))</f>
        <v/>
      </c>
      <c r="G350">
        <f>IF(A350="","",'Job Cards'!$E$21)</f>
        <v/>
      </c>
      <c r="H350">
        <f>IF(E350="","",F350*G350)</f>
        <v/>
      </c>
      <c r="I350">
        <f>IF(E350="","",IFERROR(VLOOKUP(E350,'Master Inventory'!$A:$N,10,FALSE),0))</f>
        <v/>
      </c>
      <c r="J350">
        <f>IF(E350="","",SUMIFS(Reservations!$G:$G,Reservations!$D:$D,A350,Reservations!$E:$E,E350,Reservations!$H:$H,"Active"))</f>
        <v/>
      </c>
      <c r="K350">
        <f>IF(E350="","",MAX(0,H350-I350-J350))</f>
        <v/>
      </c>
      <c r="L350">
        <f>IF(E350="","",IF(K350&gt;0,"SHORTAGE",IF(J350&gt;=H350,"RESERVED","READY TO RESERVE")))</f>
        <v/>
      </c>
    </row>
    <row r="351">
      <c r="A351">
        <f>IF('Job Cards'!$A$21="","",'Job Cards'!$A$21)</f>
        <v/>
      </c>
      <c r="B351">
        <f>IF(A351="","",'Job Cards'!$B$21)</f>
        <v/>
      </c>
      <c r="C351">
        <f>IF(A351="","",'Job Cards'!$D$21)</f>
        <v/>
      </c>
      <c r="D351">
        <f>IF(A351="","",'BOM Mapping'!$A$11)</f>
        <v/>
      </c>
      <c r="E351">
        <f>IF(C351="Longitude",'BOM Mapping'!$C$11,IF(C351="Latitude",'BOM Mapping'!$D$11,IF(C351="Altitude",'BOM Mapping'!$E$11,"")))</f>
        <v/>
      </c>
      <c r="F351">
        <f>IF(C351="Longitude",'BOM Mapping'!$J$11,IF(C351="Latitude",'BOM Mapping'!$K$11,IF(C351="Altitude",'BOM Mapping'!$L$11,0)))</f>
        <v/>
      </c>
      <c r="G351">
        <f>IF(A351="","",'Job Cards'!$E$21)</f>
        <v/>
      </c>
      <c r="H351">
        <f>IF(E351="","",F351*G351)</f>
        <v/>
      </c>
      <c r="I351">
        <f>IF(E351="","",IFERROR(VLOOKUP(E351,'Master Inventory'!$A:$N,10,FALSE),0))</f>
        <v/>
      </c>
      <c r="J351">
        <f>IF(E351="","",SUMIFS(Reservations!$G:$G,Reservations!$D:$D,A351,Reservations!$E:$E,E351,Reservations!$H:$H,"Active"))</f>
        <v/>
      </c>
      <c r="K351">
        <f>IF(E351="","",MAX(0,H351-I351-J351))</f>
        <v/>
      </c>
      <c r="L351">
        <f>IF(E351="","",IF(K351&gt;0,"SHORTAGE",IF(J351&gt;=H351,"RESERVED","READY TO RESERVE")))</f>
        <v/>
      </c>
    </row>
    <row r="352">
      <c r="A352">
        <f>IF('Job Cards'!$A$21="","",'Job Cards'!$A$21)</f>
        <v/>
      </c>
      <c r="B352">
        <f>IF(A352="","",'Job Cards'!$B$21)</f>
        <v/>
      </c>
      <c r="C352">
        <f>IF(A352="","",'Job Cards'!$D$21)</f>
        <v/>
      </c>
      <c r="D352">
        <f>IF(A352="","",'BOM Mapping'!$A$12)</f>
        <v/>
      </c>
      <c r="E352">
        <f>IF(C352="Longitude",'BOM Mapping'!$C$12,IF(C352="Latitude",'BOM Mapping'!$D$12,IF(C352="Altitude",'BOM Mapping'!$E$12,"")))</f>
        <v/>
      </c>
      <c r="F352">
        <f>IF(C352="Longitude",'BOM Mapping'!$J$12,IF(C352="Latitude",'BOM Mapping'!$K$12,IF(C352="Altitude",'BOM Mapping'!$L$12,0)))</f>
        <v/>
      </c>
      <c r="G352">
        <f>IF(A352="","",'Job Cards'!$E$21)</f>
        <v/>
      </c>
      <c r="H352">
        <f>IF(E352="","",F352*G352)</f>
        <v/>
      </c>
      <c r="I352">
        <f>IF(E352="","",IFERROR(VLOOKUP(E352,'Master Inventory'!$A:$N,10,FALSE),0))</f>
        <v/>
      </c>
      <c r="J352">
        <f>IF(E352="","",SUMIFS(Reservations!$G:$G,Reservations!$D:$D,A352,Reservations!$E:$E,E352,Reservations!$H:$H,"Active"))</f>
        <v/>
      </c>
      <c r="K352">
        <f>IF(E352="","",MAX(0,H352-I352-J352))</f>
        <v/>
      </c>
      <c r="L352">
        <f>IF(E352="","",IF(K352&gt;0,"SHORTAGE",IF(J352&gt;=H352,"RESERVED","READY TO RESERVE")))</f>
        <v/>
      </c>
    </row>
    <row r="353">
      <c r="A353">
        <f>IF('Job Cards'!$A$21="","",'Job Cards'!$A$21)</f>
        <v/>
      </c>
      <c r="B353">
        <f>IF(A353="","",'Job Cards'!$B$21)</f>
        <v/>
      </c>
      <c r="C353">
        <f>IF(A353="","",'Job Cards'!$D$21)</f>
        <v/>
      </c>
      <c r="D353">
        <f>IF(A353="","",'BOM Mapping'!$A$13)</f>
        <v/>
      </c>
      <c r="E353">
        <f>IF(C353="Longitude",'BOM Mapping'!$C$13,IF(C353="Latitude",'BOM Mapping'!$D$13,IF(C353="Altitude",'BOM Mapping'!$E$13,"")))</f>
        <v/>
      </c>
      <c r="F353">
        <f>IF(C353="Longitude",'BOM Mapping'!$J$13,IF(C353="Latitude",'BOM Mapping'!$K$13,IF(C353="Altitude",'BOM Mapping'!$L$13,0)))</f>
        <v/>
      </c>
      <c r="G353">
        <f>IF(A353="","",'Job Cards'!$E$21)</f>
        <v/>
      </c>
      <c r="H353">
        <f>IF(E353="","",F353*G353)</f>
        <v/>
      </c>
      <c r="I353">
        <f>IF(E353="","",IFERROR(VLOOKUP(E353,'Master Inventory'!$A:$N,10,FALSE),0))</f>
        <v/>
      </c>
      <c r="J353">
        <f>IF(E353="","",SUMIFS(Reservations!$G:$G,Reservations!$D:$D,A353,Reservations!$E:$E,E353,Reservations!$H:$H,"Active"))</f>
        <v/>
      </c>
      <c r="K353">
        <f>IF(E353="","",MAX(0,H353-I353-J353))</f>
        <v/>
      </c>
      <c r="L353">
        <f>IF(E353="","",IF(K353&gt;0,"SHORTAGE",IF(J353&gt;=H353,"RESERVED","READY TO RESERVE")))</f>
        <v/>
      </c>
    </row>
    <row r="354">
      <c r="A354">
        <f>IF('Job Cards'!$A$21="","",'Job Cards'!$A$21)</f>
        <v/>
      </c>
      <c r="B354">
        <f>IF(A354="","",'Job Cards'!$B$21)</f>
        <v/>
      </c>
      <c r="C354">
        <f>IF(A354="","",'Job Cards'!$D$21)</f>
        <v/>
      </c>
      <c r="D354">
        <f>IF(A354="","",'BOM Mapping'!$A$14)</f>
        <v/>
      </c>
      <c r="E354">
        <f>IF(C354="Longitude",'BOM Mapping'!$C$14,IF(C354="Latitude",'BOM Mapping'!$D$14,IF(C354="Altitude",'BOM Mapping'!$E$14,"")))</f>
        <v/>
      </c>
      <c r="F354">
        <f>IF(C354="Longitude",'BOM Mapping'!$J$14,IF(C354="Latitude",'BOM Mapping'!$K$14,IF(C354="Altitude",'BOM Mapping'!$L$14,0)))</f>
        <v/>
      </c>
      <c r="G354">
        <f>IF(A354="","",'Job Cards'!$E$21)</f>
        <v/>
      </c>
      <c r="H354">
        <f>IF(E354="","",F354*G354)</f>
        <v/>
      </c>
      <c r="I354">
        <f>IF(E354="","",IFERROR(VLOOKUP(E354,'Master Inventory'!$A:$N,10,FALSE),0))</f>
        <v/>
      </c>
      <c r="J354">
        <f>IF(E354="","",SUMIFS(Reservations!$G:$G,Reservations!$D:$D,A354,Reservations!$E:$E,E354,Reservations!$H:$H,"Active"))</f>
        <v/>
      </c>
      <c r="K354">
        <f>IF(E354="","",MAX(0,H354-I354-J354))</f>
        <v/>
      </c>
      <c r="L354">
        <f>IF(E354="","",IF(K354&gt;0,"SHORTAGE",IF(J354&gt;=H354,"RESERVED","READY TO RESERVE")))</f>
        <v/>
      </c>
    </row>
    <row r="355">
      <c r="A355">
        <f>IF('Job Cards'!$A$21="","",'Job Cards'!$A$21)</f>
        <v/>
      </c>
      <c r="B355">
        <f>IF(A355="","",'Job Cards'!$B$21)</f>
        <v/>
      </c>
      <c r="C355">
        <f>IF(A355="","",'Job Cards'!$D$21)</f>
        <v/>
      </c>
      <c r="D355">
        <f>IF(A355="","",'BOM Mapping'!$A$15)</f>
        <v/>
      </c>
      <c r="E355">
        <f>IF(C355="Longitude",'BOM Mapping'!$C$15,IF(C355="Latitude",'BOM Mapping'!$D$15,IF(C355="Altitude",'BOM Mapping'!$E$15,"")))</f>
        <v/>
      </c>
      <c r="F355">
        <f>IF(C355="Longitude",'BOM Mapping'!$J$15,IF(C355="Latitude",'BOM Mapping'!$K$15,IF(C355="Altitude",'BOM Mapping'!$L$15,0)))</f>
        <v/>
      </c>
      <c r="G355">
        <f>IF(A355="","",'Job Cards'!$E$21)</f>
        <v/>
      </c>
      <c r="H355">
        <f>IF(E355="","",F355*G355)</f>
        <v/>
      </c>
      <c r="I355">
        <f>IF(E355="","",IFERROR(VLOOKUP(E355,'Master Inventory'!$A:$N,10,FALSE),0))</f>
        <v/>
      </c>
      <c r="J355">
        <f>IF(E355="","",SUMIFS(Reservations!$G:$G,Reservations!$D:$D,A355,Reservations!$E:$E,E355,Reservations!$H:$H,"Active"))</f>
        <v/>
      </c>
      <c r="K355">
        <f>IF(E355="","",MAX(0,H355-I355-J355))</f>
        <v/>
      </c>
      <c r="L355">
        <f>IF(E355="","",IF(K355&gt;0,"SHORTAGE",IF(J355&gt;=H355,"RESERVED","READY TO RESERVE")))</f>
        <v/>
      </c>
    </row>
    <row r="356">
      <c r="A356">
        <f>IF('Job Cards'!$A$21="","",'Job Cards'!$A$21)</f>
        <v/>
      </c>
      <c r="B356">
        <f>IF(A356="","",'Job Cards'!$B$21)</f>
        <v/>
      </c>
      <c r="C356">
        <f>IF(A356="","",'Job Cards'!$D$21)</f>
        <v/>
      </c>
      <c r="D356">
        <f>IF(A356="","",'BOM Mapping'!$A$16)</f>
        <v/>
      </c>
      <c r="E356">
        <f>IF(C356="Longitude",'BOM Mapping'!$C$16,IF(C356="Latitude",'BOM Mapping'!$D$16,IF(C356="Altitude",'BOM Mapping'!$E$16,"")))</f>
        <v/>
      </c>
      <c r="F356">
        <f>IF(C356="Longitude",'BOM Mapping'!$J$16,IF(C356="Latitude",'BOM Mapping'!$K$16,IF(C356="Altitude",'BOM Mapping'!$L$16,0)))</f>
        <v/>
      </c>
      <c r="G356">
        <f>IF(A356="","",'Job Cards'!$E$21)</f>
        <v/>
      </c>
      <c r="H356">
        <f>IF(E356="","",F356*G356)</f>
        <v/>
      </c>
      <c r="I356">
        <f>IF(E356="","",IFERROR(VLOOKUP(E356,'Master Inventory'!$A:$N,10,FALSE),0))</f>
        <v/>
      </c>
      <c r="J356">
        <f>IF(E356="","",SUMIFS(Reservations!$G:$G,Reservations!$D:$D,A356,Reservations!$E:$E,E356,Reservations!$H:$H,"Active"))</f>
        <v/>
      </c>
      <c r="K356">
        <f>IF(E356="","",MAX(0,H356-I356-J356))</f>
        <v/>
      </c>
      <c r="L356">
        <f>IF(E356="","",IF(K356&gt;0,"SHORTAGE",IF(J356&gt;=H356,"RESERVED","READY TO RESERVE")))</f>
        <v/>
      </c>
    </row>
    <row r="357">
      <c r="A357">
        <f>IF('Job Cards'!$A$21="","",'Job Cards'!$A$21)</f>
        <v/>
      </c>
      <c r="B357">
        <f>IF(A357="","",'Job Cards'!$B$21)</f>
        <v/>
      </c>
      <c r="C357">
        <f>IF(A357="","",'Job Cards'!$D$21)</f>
        <v/>
      </c>
      <c r="D357">
        <f>IF(A357="","",'BOM Mapping'!$A$17)</f>
        <v/>
      </c>
      <c r="E357">
        <f>IF(C357="Longitude",'BOM Mapping'!$C$17,IF(C357="Latitude",'BOM Mapping'!$D$17,IF(C357="Altitude",'BOM Mapping'!$E$17,"")))</f>
        <v/>
      </c>
      <c r="F357">
        <f>IF(C357="Longitude",'BOM Mapping'!$J$17,IF(C357="Latitude",'BOM Mapping'!$K$17,IF(C357="Altitude",'BOM Mapping'!$L$17,0)))</f>
        <v/>
      </c>
      <c r="G357">
        <f>IF(A357="","",'Job Cards'!$E$21)</f>
        <v/>
      </c>
      <c r="H357">
        <f>IF(E357="","",F357*G357)</f>
        <v/>
      </c>
      <c r="I357">
        <f>IF(E357="","",IFERROR(VLOOKUP(E357,'Master Inventory'!$A:$N,10,FALSE),0))</f>
        <v/>
      </c>
      <c r="J357">
        <f>IF(E357="","",SUMIFS(Reservations!$G:$G,Reservations!$D:$D,A357,Reservations!$E:$E,E357,Reservations!$H:$H,"Active"))</f>
        <v/>
      </c>
      <c r="K357">
        <f>IF(E357="","",MAX(0,H357-I357-J357))</f>
        <v/>
      </c>
      <c r="L357">
        <f>IF(E357="","",IF(K357&gt;0,"SHORTAGE",IF(J357&gt;=H357,"RESERVED","READY TO RESERVE")))</f>
        <v/>
      </c>
    </row>
    <row r="358">
      <c r="A358">
        <f>IF('Job Cards'!$A$21="","",'Job Cards'!$A$21)</f>
        <v/>
      </c>
      <c r="B358">
        <f>IF(A358="","",'Job Cards'!$B$21)</f>
        <v/>
      </c>
      <c r="C358">
        <f>IF(A358="","",'Job Cards'!$D$21)</f>
        <v/>
      </c>
      <c r="D358">
        <f>IF(A358="","",'BOM Mapping'!$A$18)</f>
        <v/>
      </c>
      <c r="E358">
        <f>IF(C358="Longitude",'BOM Mapping'!$C$18,IF(C358="Latitude",'BOM Mapping'!$D$18,IF(C358="Altitude",'BOM Mapping'!$E$18,"")))</f>
        <v/>
      </c>
      <c r="F358">
        <f>IF(C358="Longitude",'BOM Mapping'!$J$18,IF(C358="Latitude",'BOM Mapping'!$K$18,IF(C358="Altitude",'BOM Mapping'!$L$18,0)))</f>
        <v/>
      </c>
      <c r="G358">
        <f>IF(A358="","",'Job Cards'!$E$21)</f>
        <v/>
      </c>
      <c r="H358">
        <f>IF(E358="","",F358*G358)</f>
        <v/>
      </c>
      <c r="I358">
        <f>IF(E358="","",IFERROR(VLOOKUP(E358,'Master Inventory'!$A:$N,10,FALSE),0))</f>
        <v/>
      </c>
      <c r="J358">
        <f>IF(E358="","",SUMIFS(Reservations!$G:$G,Reservations!$D:$D,A358,Reservations!$E:$E,E358,Reservations!$H:$H,"Active"))</f>
        <v/>
      </c>
      <c r="K358">
        <f>IF(E358="","",MAX(0,H358-I358-J358))</f>
        <v/>
      </c>
      <c r="L358">
        <f>IF(E358="","",IF(K358&gt;0,"SHORTAGE",IF(J358&gt;=H358,"RESERVED","READY TO RESERVE")))</f>
        <v/>
      </c>
    </row>
    <row r="359">
      <c r="A359">
        <f>IF('Job Cards'!$A$21="","",'Job Cards'!$A$21)</f>
        <v/>
      </c>
      <c r="B359">
        <f>IF(A359="","",'Job Cards'!$B$21)</f>
        <v/>
      </c>
      <c r="C359">
        <f>IF(A359="","",'Job Cards'!$D$21)</f>
        <v/>
      </c>
      <c r="D359">
        <f>IF(A359="","",'BOM Mapping'!$A$19)</f>
        <v/>
      </c>
      <c r="E359">
        <f>IF(C359="Longitude",'BOM Mapping'!$C$19,IF(C359="Latitude",'BOM Mapping'!$D$19,IF(C359="Altitude",'BOM Mapping'!$E$19,"")))</f>
        <v/>
      </c>
      <c r="F359">
        <f>IF(C359="Longitude",'BOM Mapping'!$J$19,IF(C359="Latitude",'BOM Mapping'!$K$19,IF(C359="Altitude",'BOM Mapping'!$L$19,0)))</f>
        <v/>
      </c>
      <c r="G359">
        <f>IF(A359="","",'Job Cards'!$E$21)</f>
        <v/>
      </c>
      <c r="H359">
        <f>IF(E359="","",F359*G359)</f>
        <v/>
      </c>
      <c r="I359">
        <f>IF(E359="","",IFERROR(VLOOKUP(E359,'Master Inventory'!$A:$N,10,FALSE),0))</f>
        <v/>
      </c>
      <c r="J359">
        <f>IF(E359="","",SUMIFS(Reservations!$G:$G,Reservations!$D:$D,A359,Reservations!$E:$E,E359,Reservations!$H:$H,"Active"))</f>
        <v/>
      </c>
      <c r="K359">
        <f>IF(E359="","",MAX(0,H359-I359-J359))</f>
        <v/>
      </c>
      <c r="L359">
        <f>IF(E359="","",IF(K359&gt;0,"SHORTAGE",IF(J359&gt;=H359,"RESERVED","READY TO RESERVE")))</f>
        <v/>
      </c>
    </row>
    <row r="360">
      <c r="A360">
        <f>IF('Job Cards'!$A$21="","",'Job Cards'!$A$21)</f>
        <v/>
      </c>
      <c r="B360">
        <f>IF(A360="","",'Job Cards'!$B$21)</f>
        <v/>
      </c>
      <c r="C360">
        <f>IF(A360="","",'Job Cards'!$D$21)</f>
        <v/>
      </c>
      <c r="D360">
        <f>IF(A360="","",'BOM Mapping'!$A$20)</f>
        <v/>
      </c>
      <c r="E360">
        <f>IF(C360="Longitude",'BOM Mapping'!$C$20,IF(C360="Latitude",'BOM Mapping'!$D$20,IF(C360="Altitude",'BOM Mapping'!$E$20,"")))</f>
        <v/>
      </c>
      <c r="F360">
        <f>IF(C360="Longitude",'BOM Mapping'!$J$20,IF(C360="Latitude",'BOM Mapping'!$K$20,IF(C360="Altitude",'BOM Mapping'!$L$20,0)))</f>
        <v/>
      </c>
      <c r="G360">
        <f>IF(A360="","",'Job Cards'!$E$21)</f>
        <v/>
      </c>
      <c r="H360">
        <f>IF(E360="","",F360*G360)</f>
        <v/>
      </c>
      <c r="I360">
        <f>IF(E360="","",IFERROR(VLOOKUP(E360,'Master Inventory'!$A:$N,10,FALSE),0))</f>
        <v/>
      </c>
      <c r="J360">
        <f>IF(E360="","",SUMIFS(Reservations!$G:$G,Reservations!$D:$D,A360,Reservations!$E:$E,E360,Reservations!$H:$H,"Active"))</f>
        <v/>
      </c>
      <c r="K360">
        <f>IF(E360="","",MAX(0,H360-I360-J360))</f>
        <v/>
      </c>
      <c r="L360">
        <f>IF(E360="","",IF(K360&gt;0,"SHORTAGE",IF(J360&gt;=H360,"RESERVED","READY TO RESERVE")))</f>
        <v/>
      </c>
    </row>
    <row r="361">
      <c r="A361">
        <f>IF('Job Cards'!$A$21="","",'Job Cards'!$A$21)</f>
        <v/>
      </c>
      <c r="B361">
        <f>IF(A361="","",'Job Cards'!$B$21)</f>
        <v/>
      </c>
      <c r="C361">
        <f>IF(A361="","",'Job Cards'!$D$21)</f>
        <v/>
      </c>
      <c r="D361">
        <f>IF(A361="","",'BOM Mapping'!$A$21)</f>
        <v/>
      </c>
      <c r="E361">
        <f>IF(C361="Longitude",'BOM Mapping'!$C$21,IF(C361="Latitude",'BOM Mapping'!$D$21,IF(C361="Altitude",'BOM Mapping'!$E$21,"")))</f>
        <v/>
      </c>
      <c r="F361">
        <f>IF(C361="Longitude",'BOM Mapping'!$J$21,IF(C361="Latitude",'BOM Mapping'!$K$21,IF(C361="Altitude",'BOM Mapping'!$L$21,0)))</f>
        <v/>
      </c>
      <c r="G361">
        <f>IF(A361="","",'Job Cards'!$E$21)</f>
        <v/>
      </c>
      <c r="H361">
        <f>IF(E361="","",F361*G361)</f>
        <v/>
      </c>
      <c r="I361">
        <f>IF(E361="","",IFERROR(VLOOKUP(E361,'Master Inventory'!$A:$N,10,FALSE),0))</f>
        <v/>
      </c>
      <c r="J361">
        <f>IF(E361="","",SUMIFS(Reservations!$G:$G,Reservations!$D:$D,A361,Reservations!$E:$E,E361,Reservations!$H:$H,"Active"))</f>
        <v/>
      </c>
      <c r="K361">
        <f>IF(E361="","",MAX(0,H361-I361-J361))</f>
        <v/>
      </c>
      <c r="L361">
        <f>IF(E361="","",IF(K361&gt;0,"SHORTAGE",IF(J361&gt;=H361,"RESERVED","READY TO RESERVE")))</f>
        <v/>
      </c>
    </row>
    <row r="362">
      <c r="A362">
        <f>IF('Job Cards'!$A$21="","",'Job Cards'!$A$21)</f>
        <v/>
      </c>
      <c r="B362">
        <f>IF(A362="","",'Job Cards'!$B$21)</f>
        <v/>
      </c>
      <c r="C362">
        <f>IF(A362="","",'Job Cards'!$D$21)</f>
        <v/>
      </c>
      <c r="D362">
        <f>IF(A362="","",'BOM Mapping'!$A$22)</f>
        <v/>
      </c>
      <c r="E362">
        <f>IF(C362="Longitude",'BOM Mapping'!$C$22,IF(C362="Latitude",'BOM Mapping'!$D$22,IF(C362="Altitude",'BOM Mapping'!$E$22,"")))</f>
        <v/>
      </c>
      <c r="F362">
        <f>IF(C362="Longitude",'BOM Mapping'!$J$22,IF(C362="Latitude",'BOM Mapping'!$K$22,IF(C362="Altitude",'BOM Mapping'!$L$22,0)))</f>
        <v/>
      </c>
      <c r="G362">
        <f>IF(A362="","",'Job Cards'!$E$21)</f>
        <v/>
      </c>
      <c r="H362">
        <f>IF(E362="","",F362*G362)</f>
        <v/>
      </c>
      <c r="I362">
        <f>IF(E362="","",IFERROR(VLOOKUP(E362,'Master Inventory'!$A:$N,10,FALSE),0))</f>
        <v/>
      </c>
      <c r="J362">
        <f>IF(E362="","",SUMIFS(Reservations!$G:$G,Reservations!$D:$D,A362,Reservations!$E:$E,E362,Reservations!$H:$H,"Active"))</f>
        <v/>
      </c>
      <c r="K362">
        <f>IF(E362="","",MAX(0,H362-I362-J362))</f>
        <v/>
      </c>
      <c r="L362">
        <f>IF(E362="","",IF(K362&gt;0,"SHORTAGE",IF(J362&gt;=H362,"RESERVED","READY TO RESERVE")))</f>
        <v/>
      </c>
    </row>
    <row r="363">
      <c r="A363">
        <f>IF('Job Cards'!$A$21="","",'Job Cards'!$A$21)</f>
        <v/>
      </c>
      <c r="B363">
        <f>IF(A363="","",'Job Cards'!$B$21)</f>
        <v/>
      </c>
      <c r="C363">
        <f>IF(A363="","",'Job Cards'!$D$21)</f>
        <v/>
      </c>
      <c r="D363">
        <f>IF(A363="","",'BOM Mapping'!$A$23)</f>
        <v/>
      </c>
      <c r="E363">
        <f>IF(C363="Longitude",'BOM Mapping'!$C$23,IF(C363="Latitude",'BOM Mapping'!$D$23,IF(C363="Altitude",'BOM Mapping'!$E$23,"")))</f>
        <v/>
      </c>
      <c r="F363">
        <f>IF(C363="Longitude",'BOM Mapping'!$J$23,IF(C363="Latitude",'BOM Mapping'!$K$23,IF(C363="Altitude",'BOM Mapping'!$L$23,0)))</f>
        <v/>
      </c>
      <c r="G363">
        <f>IF(A363="","",'Job Cards'!$E$21)</f>
        <v/>
      </c>
      <c r="H363">
        <f>IF(E363="","",F363*G363)</f>
        <v/>
      </c>
      <c r="I363">
        <f>IF(E363="","",IFERROR(VLOOKUP(E363,'Master Inventory'!$A:$N,10,FALSE),0))</f>
        <v/>
      </c>
      <c r="J363">
        <f>IF(E363="","",SUMIFS(Reservations!$G:$G,Reservations!$D:$D,A363,Reservations!$E:$E,E363,Reservations!$H:$H,"Active"))</f>
        <v/>
      </c>
      <c r="K363">
        <f>IF(E363="","",MAX(0,H363-I363-J363))</f>
        <v/>
      </c>
      <c r="L363">
        <f>IF(E363="","",IF(K363&gt;0,"SHORTAGE",IF(J363&gt;=H363,"RESERVED","READY TO RESERVE")))</f>
        <v/>
      </c>
    </row>
    <row r="364">
      <c r="A364">
        <f>IF('Job Cards'!$A$22="","",'Job Cards'!$A$22)</f>
        <v/>
      </c>
      <c r="B364">
        <f>IF(A364="","",'Job Cards'!$B$22)</f>
        <v/>
      </c>
      <c r="C364">
        <f>IF(A364="","",'Job Cards'!$D$22)</f>
        <v/>
      </c>
      <c r="D364">
        <f>IF(A364="","",'BOM Mapping'!$A$4)</f>
        <v/>
      </c>
      <c r="E364">
        <f>IF(C364="Longitude",'BOM Mapping'!$C$4,IF(C364="Latitude",'BOM Mapping'!$D$4,IF(C364="Altitude",'BOM Mapping'!$E$4,"")))</f>
        <v/>
      </c>
      <c r="F364">
        <f>IF(C364="Longitude",'BOM Mapping'!$J$4,IF(C364="Latitude",'BOM Mapping'!$K$4,IF(C364="Altitude",'BOM Mapping'!$L$4,0)))</f>
        <v/>
      </c>
      <c r="G364">
        <f>IF(A364="","",'Job Cards'!$E$22)</f>
        <v/>
      </c>
      <c r="H364">
        <f>IF(E364="","",F364*G364)</f>
        <v/>
      </c>
      <c r="I364">
        <f>IF(E364="","",IFERROR(VLOOKUP(E364,'Master Inventory'!$A:$N,10,FALSE),0))</f>
        <v/>
      </c>
      <c r="J364">
        <f>IF(E364="","",SUMIFS(Reservations!$G:$G,Reservations!$D:$D,A364,Reservations!$E:$E,E364,Reservations!$H:$H,"Active"))</f>
        <v/>
      </c>
      <c r="K364">
        <f>IF(E364="","",MAX(0,H364-I364-J364))</f>
        <v/>
      </c>
      <c r="L364">
        <f>IF(E364="","",IF(K364&gt;0,"SHORTAGE",IF(J364&gt;=H364,"RESERVED","READY TO RESERVE")))</f>
        <v/>
      </c>
    </row>
    <row r="365">
      <c r="A365">
        <f>IF('Job Cards'!$A$22="","",'Job Cards'!$A$22)</f>
        <v/>
      </c>
      <c r="B365">
        <f>IF(A365="","",'Job Cards'!$B$22)</f>
        <v/>
      </c>
      <c r="C365">
        <f>IF(A365="","",'Job Cards'!$D$22)</f>
        <v/>
      </c>
      <c r="D365">
        <f>IF(A365="","",'BOM Mapping'!$A$5)</f>
        <v/>
      </c>
      <c r="E365">
        <f>IF(C365="Longitude",'BOM Mapping'!$C$5,IF(C365="Latitude",'BOM Mapping'!$D$5,IF(C365="Altitude",'BOM Mapping'!$E$5,"")))</f>
        <v/>
      </c>
      <c r="F365">
        <f>IF(C365="Longitude",'BOM Mapping'!$J$5,IF(C365="Latitude",'BOM Mapping'!$K$5,IF(C365="Altitude",'BOM Mapping'!$L$5,0)))</f>
        <v/>
      </c>
      <c r="G365">
        <f>IF(A365="","",'Job Cards'!$E$22)</f>
        <v/>
      </c>
      <c r="H365">
        <f>IF(E365="","",F365*G365)</f>
        <v/>
      </c>
      <c r="I365">
        <f>IF(E365="","",IFERROR(VLOOKUP(E365,'Master Inventory'!$A:$N,10,FALSE),0))</f>
        <v/>
      </c>
      <c r="J365">
        <f>IF(E365="","",SUMIFS(Reservations!$G:$G,Reservations!$D:$D,A365,Reservations!$E:$E,E365,Reservations!$H:$H,"Active"))</f>
        <v/>
      </c>
      <c r="K365">
        <f>IF(E365="","",MAX(0,H365-I365-J365))</f>
        <v/>
      </c>
      <c r="L365">
        <f>IF(E365="","",IF(K365&gt;0,"SHORTAGE",IF(J365&gt;=H365,"RESERVED","READY TO RESERVE")))</f>
        <v/>
      </c>
    </row>
    <row r="366">
      <c r="A366">
        <f>IF('Job Cards'!$A$22="","",'Job Cards'!$A$22)</f>
        <v/>
      </c>
      <c r="B366">
        <f>IF(A366="","",'Job Cards'!$B$22)</f>
        <v/>
      </c>
      <c r="C366">
        <f>IF(A366="","",'Job Cards'!$D$22)</f>
        <v/>
      </c>
      <c r="D366">
        <f>IF(A366="","",'BOM Mapping'!$A$6)</f>
        <v/>
      </c>
      <c r="E366">
        <f>IF(C366="Longitude",'BOM Mapping'!$C$6,IF(C366="Latitude",'BOM Mapping'!$D$6,IF(C366="Altitude",'BOM Mapping'!$E$6,"")))</f>
        <v/>
      </c>
      <c r="F366">
        <f>IF(C366="Longitude",'BOM Mapping'!$J$6,IF(C366="Latitude",'BOM Mapping'!$K$6,IF(C366="Altitude",'BOM Mapping'!$L$6,0)))</f>
        <v/>
      </c>
      <c r="G366">
        <f>IF(A366="","",'Job Cards'!$E$22)</f>
        <v/>
      </c>
      <c r="H366">
        <f>IF(E366="","",F366*G366)</f>
        <v/>
      </c>
      <c r="I366">
        <f>IF(E366="","",IFERROR(VLOOKUP(E366,'Master Inventory'!$A:$N,10,FALSE),0))</f>
        <v/>
      </c>
      <c r="J366">
        <f>IF(E366="","",SUMIFS(Reservations!$G:$G,Reservations!$D:$D,A366,Reservations!$E:$E,E366,Reservations!$H:$H,"Active"))</f>
        <v/>
      </c>
      <c r="K366">
        <f>IF(E366="","",MAX(0,H366-I366-J366))</f>
        <v/>
      </c>
      <c r="L366">
        <f>IF(E366="","",IF(K366&gt;0,"SHORTAGE",IF(J366&gt;=H366,"RESERVED","READY TO RESERVE")))</f>
        <v/>
      </c>
    </row>
    <row r="367">
      <c r="A367">
        <f>IF('Job Cards'!$A$22="","",'Job Cards'!$A$22)</f>
        <v/>
      </c>
      <c r="B367">
        <f>IF(A367="","",'Job Cards'!$B$22)</f>
        <v/>
      </c>
      <c r="C367">
        <f>IF(A367="","",'Job Cards'!$D$22)</f>
        <v/>
      </c>
      <c r="D367">
        <f>IF(A367="","",'BOM Mapping'!$A$7)</f>
        <v/>
      </c>
      <c r="E367">
        <f>IF(C367="Longitude",'BOM Mapping'!$C$7,IF(C367="Latitude",'BOM Mapping'!$D$7,IF(C367="Altitude",'BOM Mapping'!$E$7,"")))</f>
        <v/>
      </c>
      <c r="F367">
        <f>IF(C367="Longitude",'BOM Mapping'!$J$7,IF(C367="Latitude",'BOM Mapping'!$K$7,IF(C367="Altitude",'BOM Mapping'!$L$7,0)))</f>
        <v/>
      </c>
      <c r="G367">
        <f>IF(A367="","",'Job Cards'!$E$22)</f>
        <v/>
      </c>
      <c r="H367">
        <f>IF(E367="","",F367*G367)</f>
        <v/>
      </c>
      <c r="I367">
        <f>IF(E367="","",IFERROR(VLOOKUP(E367,'Master Inventory'!$A:$N,10,FALSE),0))</f>
        <v/>
      </c>
      <c r="J367">
        <f>IF(E367="","",SUMIFS(Reservations!$G:$G,Reservations!$D:$D,A367,Reservations!$E:$E,E367,Reservations!$H:$H,"Active"))</f>
        <v/>
      </c>
      <c r="K367">
        <f>IF(E367="","",MAX(0,H367-I367-J367))</f>
        <v/>
      </c>
      <c r="L367">
        <f>IF(E367="","",IF(K367&gt;0,"SHORTAGE",IF(J367&gt;=H367,"RESERVED","READY TO RESERVE")))</f>
        <v/>
      </c>
    </row>
    <row r="368">
      <c r="A368">
        <f>IF('Job Cards'!$A$22="","",'Job Cards'!$A$22)</f>
        <v/>
      </c>
      <c r="B368">
        <f>IF(A368="","",'Job Cards'!$B$22)</f>
        <v/>
      </c>
      <c r="C368">
        <f>IF(A368="","",'Job Cards'!$D$22)</f>
        <v/>
      </c>
      <c r="D368">
        <f>IF(A368="","",'BOM Mapping'!$A$8)</f>
        <v/>
      </c>
      <c r="E368">
        <f>IF(C368="Longitude",'BOM Mapping'!$C$8,IF(C368="Latitude",'BOM Mapping'!$D$8,IF(C368="Altitude",'BOM Mapping'!$E$8,"")))</f>
        <v/>
      </c>
      <c r="F368">
        <f>IF(C368="Longitude",'BOM Mapping'!$J$8,IF(C368="Latitude",'BOM Mapping'!$K$8,IF(C368="Altitude",'BOM Mapping'!$L$8,0)))</f>
        <v/>
      </c>
      <c r="G368">
        <f>IF(A368="","",'Job Cards'!$E$22)</f>
        <v/>
      </c>
      <c r="H368">
        <f>IF(E368="","",F368*G368)</f>
        <v/>
      </c>
      <c r="I368">
        <f>IF(E368="","",IFERROR(VLOOKUP(E368,'Master Inventory'!$A:$N,10,FALSE),0))</f>
        <v/>
      </c>
      <c r="J368">
        <f>IF(E368="","",SUMIFS(Reservations!$G:$G,Reservations!$D:$D,A368,Reservations!$E:$E,E368,Reservations!$H:$H,"Active"))</f>
        <v/>
      </c>
      <c r="K368">
        <f>IF(E368="","",MAX(0,H368-I368-J368))</f>
        <v/>
      </c>
      <c r="L368">
        <f>IF(E368="","",IF(K368&gt;0,"SHORTAGE",IF(J368&gt;=H368,"RESERVED","READY TO RESERVE")))</f>
        <v/>
      </c>
    </row>
    <row r="369">
      <c r="A369">
        <f>IF('Job Cards'!$A$22="","",'Job Cards'!$A$22)</f>
        <v/>
      </c>
      <c r="B369">
        <f>IF(A369="","",'Job Cards'!$B$22)</f>
        <v/>
      </c>
      <c r="C369">
        <f>IF(A369="","",'Job Cards'!$D$22)</f>
        <v/>
      </c>
      <c r="D369">
        <f>IF(A369="","",'BOM Mapping'!$A$9)</f>
        <v/>
      </c>
      <c r="E369">
        <f>IF(C369="Longitude",'BOM Mapping'!$C$9,IF(C369="Latitude",'BOM Mapping'!$D$9,IF(C369="Altitude",'BOM Mapping'!$E$9,"")))</f>
        <v/>
      </c>
      <c r="F369">
        <f>IF(C369="Longitude",'BOM Mapping'!$J$9,IF(C369="Latitude",'BOM Mapping'!$K$9,IF(C369="Altitude",'BOM Mapping'!$L$9,0)))</f>
        <v/>
      </c>
      <c r="G369">
        <f>IF(A369="","",'Job Cards'!$E$22)</f>
        <v/>
      </c>
      <c r="H369">
        <f>IF(E369="","",F369*G369)</f>
        <v/>
      </c>
      <c r="I369">
        <f>IF(E369="","",IFERROR(VLOOKUP(E369,'Master Inventory'!$A:$N,10,FALSE),0))</f>
        <v/>
      </c>
      <c r="J369">
        <f>IF(E369="","",SUMIFS(Reservations!$G:$G,Reservations!$D:$D,A369,Reservations!$E:$E,E369,Reservations!$H:$H,"Active"))</f>
        <v/>
      </c>
      <c r="K369">
        <f>IF(E369="","",MAX(0,H369-I369-J369))</f>
        <v/>
      </c>
      <c r="L369">
        <f>IF(E369="","",IF(K369&gt;0,"SHORTAGE",IF(J369&gt;=H369,"RESERVED","READY TO RESERVE")))</f>
        <v/>
      </c>
    </row>
    <row r="370">
      <c r="A370">
        <f>IF('Job Cards'!$A$22="","",'Job Cards'!$A$22)</f>
        <v/>
      </c>
      <c r="B370">
        <f>IF(A370="","",'Job Cards'!$B$22)</f>
        <v/>
      </c>
      <c r="C370">
        <f>IF(A370="","",'Job Cards'!$D$22)</f>
        <v/>
      </c>
      <c r="D370">
        <f>IF(A370="","",'BOM Mapping'!$A$10)</f>
        <v/>
      </c>
      <c r="E370">
        <f>IF(C370="Longitude",'BOM Mapping'!$C$10,IF(C370="Latitude",'BOM Mapping'!$D$10,IF(C370="Altitude",'BOM Mapping'!$E$10,"")))</f>
        <v/>
      </c>
      <c r="F370">
        <f>IF(C370="Longitude",'BOM Mapping'!$J$10,IF(C370="Latitude",'BOM Mapping'!$K$10,IF(C370="Altitude",'BOM Mapping'!$L$10,0)))</f>
        <v/>
      </c>
      <c r="G370">
        <f>IF(A370="","",'Job Cards'!$E$22)</f>
        <v/>
      </c>
      <c r="H370">
        <f>IF(E370="","",F370*G370)</f>
        <v/>
      </c>
      <c r="I370">
        <f>IF(E370="","",IFERROR(VLOOKUP(E370,'Master Inventory'!$A:$N,10,FALSE),0))</f>
        <v/>
      </c>
      <c r="J370">
        <f>IF(E370="","",SUMIFS(Reservations!$G:$G,Reservations!$D:$D,A370,Reservations!$E:$E,E370,Reservations!$H:$H,"Active"))</f>
        <v/>
      </c>
      <c r="K370">
        <f>IF(E370="","",MAX(0,H370-I370-J370))</f>
        <v/>
      </c>
      <c r="L370">
        <f>IF(E370="","",IF(K370&gt;0,"SHORTAGE",IF(J370&gt;=H370,"RESERVED","READY TO RESERVE")))</f>
        <v/>
      </c>
    </row>
    <row r="371">
      <c r="A371">
        <f>IF('Job Cards'!$A$22="","",'Job Cards'!$A$22)</f>
        <v/>
      </c>
      <c r="B371">
        <f>IF(A371="","",'Job Cards'!$B$22)</f>
        <v/>
      </c>
      <c r="C371">
        <f>IF(A371="","",'Job Cards'!$D$22)</f>
        <v/>
      </c>
      <c r="D371">
        <f>IF(A371="","",'BOM Mapping'!$A$11)</f>
        <v/>
      </c>
      <c r="E371">
        <f>IF(C371="Longitude",'BOM Mapping'!$C$11,IF(C371="Latitude",'BOM Mapping'!$D$11,IF(C371="Altitude",'BOM Mapping'!$E$11,"")))</f>
        <v/>
      </c>
      <c r="F371">
        <f>IF(C371="Longitude",'BOM Mapping'!$J$11,IF(C371="Latitude",'BOM Mapping'!$K$11,IF(C371="Altitude",'BOM Mapping'!$L$11,0)))</f>
        <v/>
      </c>
      <c r="G371">
        <f>IF(A371="","",'Job Cards'!$E$22)</f>
        <v/>
      </c>
      <c r="H371">
        <f>IF(E371="","",F371*G371)</f>
        <v/>
      </c>
      <c r="I371">
        <f>IF(E371="","",IFERROR(VLOOKUP(E371,'Master Inventory'!$A:$N,10,FALSE),0))</f>
        <v/>
      </c>
      <c r="J371">
        <f>IF(E371="","",SUMIFS(Reservations!$G:$G,Reservations!$D:$D,A371,Reservations!$E:$E,E371,Reservations!$H:$H,"Active"))</f>
        <v/>
      </c>
      <c r="K371">
        <f>IF(E371="","",MAX(0,H371-I371-J371))</f>
        <v/>
      </c>
      <c r="L371">
        <f>IF(E371="","",IF(K371&gt;0,"SHORTAGE",IF(J371&gt;=H371,"RESERVED","READY TO RESERVE")))</f>
        <v/>
      </c>
    </row>
    <row r="372">
      <c r="A372">
        <f>IF('Job Cards'!$A$22="","",'Job Cards'!$A$22)</f>
        <v/>
      </c>
      <c r="B372">
        <f>IF(A372="","",'Job Cards'!$B$22)</f>
        <v/>
      </c>
      <c r="C372">
        <f>IF(A372="","",'Job Cards'!$D$22)</f>
        <v/>
      </c>
      <c r="D372">
        <f>IF(A372="","",'BOM Mapping'!$A$12)</f>
        <v/>
      </c>
      <c r="E372">
        <f>IF(C372="Longitude",'BOM Mapping'!$C$12,IF(C372="Latitude",'BOM Mapping'!$D$12,IF(C372="Altitude",'BOM Mapping'!$E$12,"")))</f>
        <v/>
      </c>
      <c r="F372">
        <f>IF(C372="Longitude",'BOM Mapping'!$J$12,IF(C372="Latitude",'BOM Mapping'!$K$12,IF(C372="Altitude",'BOM Mapping'!$L$12,0)))</f>
        <v/>
      </c>
      <c r="G372">
        <f>IF(A372="","",'Job Cards'!$E$22)</f>
        <v/>
      </c>
      <c r="H372">
        <f>IF(E372="","",F372*G372)</f>
        <v/>
      </c>
      <c r="I372">
        <f>IF(E372="","",IFERROR(VLOOKUP(E372,'Master Inventory'!$A:$N,10,FALSE),0))</f>
        <v/>
      </c>
      <c r="J372">
        <f>IF(E372="","",SUMIFS(Reservations!$G:$G,Reservations!$D:$D,A372,Reservations!$E:$E,E372,Reservations!$H:$H,"Active"))</f>
        <v/>
      </c>
      <c r="K372">
        <f>IF(E372="","",MAX(0,H372-I372-J372))</f>
        <v/>
      </c>
      <c r="L372">
        <f>IF(E372="","",IF(K372&gt;0,"SHORTAGE",IF(J372&gt;=H372,"RESERVED","READY TO RESERVE")))</f>
        <v/>
      </c>
    </row>
    <row r="373">
      <c r="A373">
        <f>IF('Job Cards'!$A$22="","",'Job Cards'!$A$22)</f>
        <v/>
      </c>
      <c r="B373">
        <f>IF(A373="","",'Job Cards'!$B$22)</f>
        <v/>
      </c>
      <c r="C373">
        <f>IF(A373="","",'Job Cards'!$D$22)</f>
        <v/>
      </c>
      <c r="D373">
        <f>IF(A373="","",'BOM Mapping'!$A$13)</f>
        <v/>
      </c>
      <c r="E373">
        <f>IF(C373="Longitude",'BOM Mapping'!$C$13,IF(C373="Latitude",'BOM Mapping'!$D$13,IF(C373="Altitude",'BOM Mapping'!$E$13,"")))</f>
        <v/>
      </c>
      <c r="F373">
        <f>IF(C373="Longitude",'BOM Mapping'!$J$13,IF(C373="Latitude",'BOM Mapping'!$K$13,IF(C373="Altitude",'BOM Mapping'!$L$13,0)))</f>
        <v/>
      </c>
      <c r="G373">
        <f>IF(A373="","",'Job Cards'!$E$22)</f>
        <v/>
      </c>
      <c r="H373">
        <f>IF(E373="","",F373*G373)</f>
        <v/>
      </c>
      <c r="I373">
        <f>IF(E373="","",IFERROR(VLOOKUP(E373,'Master Inventory'!$A:$N,10,FALSE),0))</f>
        <v/>
      </c>
      <c r="J373">
        <f>IF(E373="","",SUMIFS(Reservations!$G:$G,Reservations!$D:$D,A373,Reservations!$E:$E,E373,Reservations!$H:$H,"Active"))</f>
        <v/>
      </c>
      <c r="K373">
        <f>IF(E373="","",MAX(0,H373-I373-J373))</f>
        <v/>
      </c>
      <c r="L373">
        <f>IF(E373="","",IF(K373&gt;0,"SHORTAGE",IF(J373&gt;=H373,"RESERVED","READY TO RESERVE")))</f>
        <v/>
      </c>
    </row>
    <row r="374">
      <c r="A374">
        <f>IF('Job Cards'!$A$22="","",'Job Cards'!$A$22)</f>
        <v/>
      </c>
      <c r="B374">
        <f>IF(A374="","",'Job Cards'!$B$22)</f>
        <v/>
      </c>
      <c r="C374">
        <f>IF(A374="","",'Job Cards'!$D$22)</f>
        <v/>
      </c>
      <c r="D374">
        <f>IF(A374="","",'BOM Mapping'!$A$14)</f>
        <v/>
      </c>
      <c r="E374">
        <f>IF(C374="Longitude",'BOM Mapping'!$C$14,IF(C374="Latitude",'BOM Mapping'!$D$14,IF(C374="Altitude",'BOM Mapping'!$E$14,"")))</f>
        <v/>
      </c>
      <c r="F374">
        <f>IF(C374="Longitude",'BOM Mapping'!$J$14,IF(C374="Latitude",'BOM Mapping'!$K$14,IF(C374="Altitude",'BOM Mapping'!$L$14,0)))</f>
        <v/>
      </c>
      <c r="G374">
        <f>IF(A374="","",'Job Cards'!$E$22)</f>
        <v/>
      </c>
      <c r="H374">
        <f>IF(E374="","",F374*G374)</f>
        <v/>
      </c>
      <c r="I374">
        <f>IF(E374="","",IFERROR(VLOOKUP(E374,'Master Inventory'!$A:$N,10,FALSE),0))</f>
        <v/>
      </c>
      <c r="J374">
        <f>IF(E374="","",SUMIFS(Reservations!$G:$G,Reservations!$D:$D,A374,Reservations!$E:$E,E374,Reservations!$H:$H,"Active"))</f>
        <v/>
      </c>
      <c r="K374">
        <f>IF(E374="","",MAX(0,H374-I374-J374))</f>
        <v/>
      </c>
      <c r="L374">
        <f>IF(E374="","",IF(K374&gt;0,"SHORTAGE",IF(J374&gt;=H374,"RESERVED","READY TO RESERVE")))</f>
        <v/>
      </c>
    </row>
    <row r="375">
      <c r="A375">
        <f>IF('Job Cards'!$A$22="","",'Job Cards'!$A$22)</f>
        <v/>
      </c>
      <c r="B375">
        <f>IF(A375="","",'Job Cards'!$B$22)</f>
        <v/>
      </c>
      <c r="C375">
        <f>IF(A375="","",'Job Cards'!$D$22)</f>
        <v/>
      </c>
      <c r="D375">
        <f>IF(A375="","",'BOM Mapping'!$A$15)</f>
        <v/>
      </c>
      <c r="E375">
        <f>IF(C375="Longitude",'BOM Mapping'!$C$15,IF(C375="Latitude",'BOM Mapping'!$D$15,IF(C375="Altitude",'BOM Mapping'!$E$15,"")))</f>
        <v/>
      </c>
      <c r="F375">
        <f>IF(C375="Longitude",'BOM Mapping'!$J$15,IF(C375="Latitude",'BOM Mapping'!$K$15,IF(C375="Altitude",'BOM Mapping'!$L$15,0)))</f>
        <v/>
      </c>
      <c r="G375">
        <f>IF(A375="","",'Job Cards'!$E$22)</f>
        <v/>
      </c>
      <c r="H375">
        <f>IF(E375="","",F375*G375)</f>
        <v/>
      </c>
      <c r="I375">
        <f>IF(E375="","",IFERROR(VLOOKUP(E375,'Master Inventory'!$A:$N,10,FALSE),0))</f>
        <v/>
      </c>
      <c r="J375">
        <f>IF(E375="","",SUMIFS(Reservations!$G:$G,Reservations!$D:$D,A375,Reservations!$E:$E,E375,Reservations!$H:$H,"Active"))</f>
        <v/>
      </c>
      <c r="K375">
        <f>IF(E375="","",MAX(0,H375-I375-J375))</f>
        <v/>
      </c>
      <c r="L375">
        <f>IF(E375="","",IF(K375&gt;0,"SHORTAGE",IF(J375&gt;=H375,"RESERVED","READY TO RESERVE")))</f>
        <v/>
      </c>
    </row>
    <row r="376">
      <c r="A376">
        <f>IF('Job Cards'!$A$22="","",'Job Cards'!$A$22)</f>
        <v/>
      </c>
      <c r="B376">
        <f>IF(A376="","",'Job Cards'!$B$22)</f>
        <v/>
      </c>
      <c r="C376">
        <f>IF(A376="","",'Job Cards'!$D$22)</f>
        <v/>
      </c>
      <c r="D376">
        <f>IF(A376="","",'BOM Mapping'!$A$16)</f>
        <v/>
      </c>
      <c r="E376">
        <f>IF(C376="Longitude",'BOM Mapping'!$C$16,IF(C376="Latitude",'BOM Mapping'!$D$16,IF(C376="Altitude",'BOM Mapping'!$E$16,"")))</f>
        <v/>
      </c>
      <c r="F376">
        <f>IF(C376="Longitude",'BOM Mapping'!$J$16,IF(C376="Latitude",'BOM Mapping'!$K$16,IF(C376="Altitude",'BOM Mapping'!$L$16,0)))</f>
        <v/>
      </c>
      <c r="G376">
        <f>IF(A376="","",'Job Cards'!$E$22)</f>
        <v/>
      </c>
      <c r="H376">
        <f>IF(E376="","",F376*G376)</f>
        <v/>
      </c>
      <c r="I376">
        <f>IF(E376="","",IFERROR(VLOOKUP(E376,'Master Inventory'!$A:$N,10,FALSE),0))</f>
        <v/>
      </c>
      <c r="J376">
        <f>IF(E376="","",SUMIFS(Reservations!$G:$G,Reservations!$D:$D,A376,Reservations!$E:$E,E376,Reservations!$H:$H,"Active"))</f>
        <v/>
      </c>
      <c r="K376">
        <f>IF(E376="","",MAX(0,H376-I376-J376))</f>
        <v/>
      </c>
      <c r="L376">
        <f>IF(E376="","",IF(K376&gt;0,"SHORTAGE",IF(J376&gt;=H376,"RESERVED","READY TO RESERVE")))</f>
        <v/>
      </c>
    </row>
    <row r="377">
      <c r="A377">
        <f>IF('Job Cards'!$A$22="","",'Job Cards'!$A$22)</f>
        <v/>
      </c>
      <c r="B377">
        <f>IF(A377="","",'Job Cards'!$B$22)</f>
        <v/>
      </c>
      <c r="C377">
        <f>IF(A377="","",'Job Cards'!$D$22)</f>
        <v/>
      </c>
      <c r="D377">
        <f>IF(A377="","",'BOM Mapping'!$A$17)</f>
        <v/>
      </c>
      <c r="E377">
        <f>IF(C377="Longitude",'BOM Mapping'!$C$17,IF(C377="Latitude",'BOM Mapping'!$D$17,IF(C377="Altitude",'BOM Mapping'!$E$17,"")))</f>
        <v/>
      </c>
      <c r="F377">
        <f>IF(C377="Longitude",'BOM Mapping'!$J$17,IF(C377="Latitude",'BOM Mapping'!$K$17,IF(C377="Altitude",'BOM Mapping'!$L$17,0)))</f>
        <v/>
      </c>
      <c r="G377">
        <f>IF(A377="","",'Job Cards'!$E$22)</f>
        <v/>
      </c>
      <c r="H377">
        <f>IF(E377="","",F377*G377)</f>
        <v/>
      </c>
      <c r="I377">
        <f>IF(E377="","",IFERROR(VLOOKUP(E377,'Master Inventory'!$A:$N,10,FALSE),0))</f>
        <v/>
      </c>
      <c r="J377">
        <f>IF(E377="","",SUMIFS(Reservations!$G:$G,Reservations!$D:$D,A377,Reservations!$E:$E,E377,Reservations!$H:$H,"Active"))</f>
        <v/>
      </c>
      <c r="K377">
        <f>IF(E377="","",MAX(0,H377-I377-J377))</f>
        <v/>
      </c>
      <c r="L377">
        <f>IF(E377="","",IF(K377&gt;0,"SHORTAGE",IF(J377&gt;=H377,"RESERVED","READY TO RESERVE")))</f>
        <v/>
      </c>
    </row>
    <row r="378">
      <c r="A378">
        <f>IF('Job Cards'!$A$22="","",'Job Cards'!$A$22)</f>
        <v/>
      </c>
      <c r="B378">
        <f>IF(A378="","",'Job Cards'!$B$22)</f>
        <v/>
      </c>
      <c r="C378">
        <f>IF(A378="","",'Job Cards'!$D$22)</f>
        <v/>
      </c>
      <c r="D378">
        <f>IF(A378="","",'BOM Mapping'!$A$18)</f>
        <v/>
      </c>
      <c r="E378">
        <f>IF(C378="Longitude",'BOM Mapping'!$C$18,IF(C378="Latitude",'BOM Mapping'!$D$18,IF(C378="Altitude",'BOM Mapping'!$E$18,"")))</f>
        <v/>
      </c>
      <c r="F378">
        <f>IF(C378="Longitude",'BOM Mapping'!$J$18,IF(C378="Latitude",'BOM Mapping'!$K$18,IF(C378="Altitude",'BOM Mapping'!$L$18,0)))</f>
        <v/>
      </c>
      <c r="G378">
        <f>IF(A378="","",'Job Cards'!$E$22)</f>
        <v/>
      </c>
      <c r="H378">
        <f>IF(E378="","",F378*G378)</f>
        <v/>
      </c>
      <c r="I378">
        <f>IF(E378="","",IFERROR(VLOOKUP(E378,'Master Inventory'!$A:$N,10,FALSE),0))</f>
        <v/>
      </c>
      <c r="J378">
        <f>IF(E378="","",SUMIFS(Reservations!$G:$G,Reservations!$D:$D,A378,Reservations!$E:$E,E378,Reservations!$H:$H,"Active"))</f>
        <v/>
      </c>
      <c r="K378">
        <f>IF(E378="","",MAX(0,H378-I378-J378))</f>
        <v/>
      </c>
      <c r="L378">
        <f>IF(E378="","",IF(K378&gt;0,"SHORTAGE",IF(J378&gt;=H378,"RESERVED","READY TO RESERVE")))</f>
        <v/>
      </c>
    </row>
    <row r="379">
      <c r="A379">
        <f>IF('Job Cards'!$A$22="","",'Job Cards'!$A$22)</f>
        <v/>
      </c>
      <c r="B379">
        <f>IF(A379="","",'Job Cards'!$B$22)</f>
        <v/>
      </c>
      <c r="C379">
        <f>IF(A379="","",'Job Cards'!$D$22)</f>
        <v/>
      </c>
      <c r="D379">
        <f>IF(A379="","",'BOM Mapping'!$A$19)</f>
        <v/>
      </c>
      <c r="E379">
        <f>IF(C379="Longitude",'BOM Mapping'!$C$19,IF(C379="Latitude",'BOM Mapping'!$D$19,IF(C379="Altitude",'BOM Mapping'!$E$19,"")))</f>
        <v/>
      </c>
      <c r="F379">
        <f>IF(C379="Longitude",'BOM Mapping'!$J$19,IF(C379="Latitude",'BOM Mapping'!$K$19,IF(C379="Altitude",'BOM Mapping'!$L$19,0)))</f>
        <v/>
      </c>
      <c r="G379">
        <f>IF(A379="","",'Job Cards'!$E$22)</f>
        <v/>
      </c>
      <c r="H379">
        <f>IF(E379="","",F379*G379)</f>
        <v/>
      </c>
      <c r="I379">
        <f>IF(E379="","",IFERROR(VLOOKUP(E379,'Master Inventory'!$A:$N,10,FALSE),0))</f>
        <v/>
      </c>
      <c r="J379">
        <f>IF(E379="","",SUMIFS(Reservations!$G:$G,Reservations!$D:$D,A379,Reservations!$E:$E,E379,Reservations!$H:$H,"Active"))</f>
        <v/>
      </c>
      <c r="K379">
        <f>IF(E379="","",MAX(0,H379-I379-J379))</f>
        <v/>
      </c>
      <c r="L379">
        <f>IF(E379="","",IF(K379&gt;0,"SHORTAGE",IF(J379&gt;=H379,"RESERVED","READY TO RESERVE")))</f>
        <v/>
      </c>
    </row>
    <row r="380">
      <c r="A380">
        <f>IF('Job Cards'!$A$22="","",'Job Cards'!$A$22)</f>
        <v/>
      </c>
      <c r="B380">
        <f>IF(A380="","",'Job Cards'!$B$22)</f>
        <v/>
      </c>
      <c r="C380">
        <f>IF(A380="","",'Job Cards'!$D$22)</f>
        <v/>
      </c>
      <c r="D380">
        <f>IF(A380="","",'BOM Mapping'!$A$20)</f>
        <v/>
      </c>
      <c r="E380">
        <f>IF(C380="Longitude",'BOM Mapping'!$C$20,IF(C380="Latitude",'BOM Mapping'!$D$20,IF(C380="Altitude",'BOM Mapping'!$E$20,"")))</f>
        <v/>
      </c>
      <c r="F380">
        <f>IF(C380="Longitude",'BOM Mapping'!$J$20,IF(C380="Latitude",'BOM Mapping'!$K$20,IF(C380="Altitude",'BOM Mapping'!$L$20,0)))</f>
        <v/>
      </c>
      <c r="G380">
        <f>IF(A380="","",'Job Cards'!$E$22)</f>
        <v/>
      </c>
      <c r="H380">
        <f>IF(E380="","",F380*G380)</f>
        <v/>
      </c>
      <c r="I380">
        <f>IF(E380="","",IFERROR(VLOOKUP(E380,'Master Inventory'!$A:$N,10,FALSE),0))</f>
        <v/>
      </c>
      <c r="J380">
        <f>IF(E380="","",SUMIFS(Reservations!$G:$G,Reservations!$D:$D,A380,Reservations!$E:$E,E380,Reservations!$H:$H,"Active"))</f>
        <v/>
      </c>
      <c r="K380">
        <f>IF(E380="","",MAX(0,H380-I380-J380))</f>
        <v/>
      </c>
      <c r="L380">
        <f>IF(E380="","",IF(K380&gt;0,"SHORTAGE",IF(J380&gt;=H380,"RESERVED","READY TO RESERVE")))</f>
        <v/>
      </c>
    </row>
    <row r="381">
      <c r="A381">
        <f>IF('Job Cards'!$A$22="","",'Job Cards'!$A$22)</f>
        <v/>
      </c>
      <c r="B381">
        <f>IF(A381="","",'Job Cards'!$B$22)</f>
        <v/>
      </c>
      <c r="C381">
        <f>IF(A381="","",'Job Cards'!$D$22)</f>
        <v/>
      </c>
      <c r="D381">
        <f>IF(A381="","",'BOM Mapping'!$A$21)</f>
        <v/>
      </c>
      <c r="E381">
        <f>IF(C381="Longitude",'BOM Mapping'!$C$21,IF(C381="Latitude",'BOM Mapping'!$D$21,IF(C381="Altitude",'BOM Mapping'!$E$21,"")))</f>
        <v/>
      </c>
      <c r="F381">
        <f>IF(C381="Longitude",'BOM Mapping'!$J$21,IF(C381="Latitude",'BOM Mapping'!$K$21,IF(C381="Altitude",'BOM Mapping'!$L$21,0)))</f>
        <v/>
      </c>
      <c r="G381">
        <f>IF(A381="","",'Job Cards'!$E$22)</f>
        <v/>
      </c>
      <c r="H381">
        <f>IF(E381="","",F381*G381)</f>
        <v/>
      </c>
      <c r="I381">
        <f>IF(E381="","",IFERROR(VLOOKUP(E381,'Master Inventory'!$A:$N,10,FALSE),0))</f>
        <v/>
      </c>
      <c r="J381">
        <f>IF(E381="","",SUMIFS(Reservations!$G:$G,Reservations!$D:$D,A381,Reservations!$E:$E,E381,Reservations!$H:$H,"Active"))</f>
        <v/>
      </c>
      <c r="K381">
        <f>IF(E381="","",MAX(0,H381-I381-J381))</f>
        <v/>
      </c>
      <c r="L381">
        <f>IF(E381="","",IF(K381&gt;0,"SHORTAGE",IF(J381&gt;=H381,"RESERVED","READY TO RESERVE")))</f>
        <v/>
      </c>
    </row>
    <row r="382">
      <c r="A382">
        <f>IF('Job Cards'!$A$22="","",'Job Cards'!$A$22)</f>
        <v/>
      </c>
      <c r="B382">
        <f>IF(A382="","",'Job Cards'!$B$22)</f>
        <v/>
      </c>
      <c r="C382">
        <f>IF(A382="","",'Job Cards'!$D$22)</f>
        <v/>
      </c>
      <c r="D382">
        <f>IF(A382="","",'BOM Mapping'!$A$22)</f>
        <v/>
      </c>
      <c r="E382">
        <f>IF(C382="Longitude",'BOM Mapping'!$C$22,IF(C382="Latitude",'BOM Mapping'!$D$22,IF(C382="Altitude",'BOM Mapping'!$E$22,"")))</f>
        <v/>
      </c>
      <c r="F382">
        <f>IF(C382="Longitude",'BOM Mapping'!$J$22,IF(C382="Latitude",'BOM Mapping'!$K$22,IF(C382="Altitude",'BOM Mapping'!$L$22,0)))</f>
        <v/>
      </c>
      <c r="G382">
        <f>IF(A382="","",'Job Cards'!$E$22)</f>
        <v/>
      </c>
      <c r="H382">
        <f>IF(E382="","",F382*G382)</f>
        <v/>
      </c>
      <c r="I382">
        <f>IF(E382="","",IFERROR(VLOOKUP(E382,'Master Inventory'!$A:$N,10,FALSE),0))</f>
        <v/>
      </c>
      <c r="J382">
        <f>IF(E382="","",SUMIFS(Reservations!$G:$G,Reservations!$D:$D,A382,Reservations!$E:$E,E382,Reservations!$H:$H,"Active"))</f>
        <v/>
      </c>
      <c r="K382">
        <f>IF(E382="","",MAX(0,H382-I382-J382))</f>
        <v/>
      </c>
      <c r="L382">
        <f>IF(E382="","",IF(K382&gt;0,"SHORTAGE",IF(J382&gt;=H382,"RESERVED","READY TO RESERVE")))</f>
        <v/>
      </c>
    </row>
    <row r="383">
      <c r="A383">
        <f>IF('Job Cards'!$A$22="","",'Job Cards'!$A$22)</f>
        <v/>
      </c>
      <c r="B383">
        <f>IF(A383="","",'Job Cards'!$B$22)</f>
        <v/>
      </c>
      <c r="C383">
        <f>IF(A383="","",'Job Cards'!$D$22)</f>
        <v/>
      </c>
      <c r="D383">
        <f>IF(A383="","",'BOM Mapping'!$A$23)</f>
        <v/>
      </c>
      <c r="E383">
        <f>IF(C383="Longitude",'BOM Mapping'!$C$23,IF(C383="Latitude",'BOM Mapping'!$D$23,IF(C383="Altitude",'BOM Mapping'!$E$23,"")))</f>
        <v/>
      </c>
      <c r="F383">
        <f>IF(C383="Longitude",'BOM Mapping'!$J$23,IF(C383="Latitude",'BOM Mapping'!$K$23,IF(C383="Altitude",'BOM Mapping'!$L$23,0)))</f>
        <v/>
      </c>
      <c r="G383">
        <f>IF(A383="","",'Job Cards'!$E$22)</f>
        <v/>
      </c>
      <c r="H383">
        <f>IF(E383="","",F383*G383)</f>
        <v/>
      </c>
      <c r="I383">
        <f>IF(E383="","",IFERROR(VLOOKUP(E383,'Master Inventory'!$A:$N,10,FALSE),0))</f>
        <v/>
      </c>
      <c r="J383">
        <f>IF(E383="","",SUMIFS(Reservations!$G:$G,Reservations!$D:$D,A383,Reservations!$E:$E,E383,Reservations!$H:$H,"Active"))</f>
        <v/>
      </c>
      <c r="K383">
        <f>IF(E383="","",MAX(0,H383-I383-J383))</f>
        <v/>
      </c>
      <c r="L383">
        <f>IF(E383="","",IF(K383&gt;0,"SHORTAGE",IF(J383&gt;=H383,"RESERVED","READY TO RESERVE")))</f>
        <v/>
      </c>
    </row>
    <row r="384">
      <c r="A384">
        <f>IF('Job Cards'!$A$23="","",'Job Cards'!$A$23)</f>
        <v/>
      </c>
      <c r="B384">
        <f>IF(A384="","",'Job Cards'!$B$23)</f>
        <v/>
      </c>
      <c r="C384">
        <f>IF(A384="","",'Job Cards'!$D$23)</f>
        <v/>
      </c>
      <c r="D384">
        <f>IF(A384="","",'BOM Mapping'!$A$4)</f>
        <v/>
      </c>
      <c r="E384">
        <f>IF(C384="Longitude",'BOM Mapping'!$C$4,IF(C384="Latitude",'BOM Mapping'!$D$4,IF(C384="Altitude",'BOM Mapping'!$E$4,"")))</f>
        <v/>
      </c>
      <c r="F384">
        <f>IF(C384="Longitude",'BOM Mapping'!$J$4,IF(C384="Latitude",'BOM Mapping'!$K$4,IF(C384="Altitude",'BOM Mapping'!$L$4,0)))</f>
        <v/>
      </c>
      <c r="G384">
        <f>IF(A384="","",'Job Cards'!$E$23)</f>
        <v/>
      </c>
      <c r="H384">
        <f>IF(E384="","",F384*G384)</f>
        <v/>
      </c>
      <c r="I384">
        <f>IF(E384="","",IFERROR(VLOOKUP(E384,'Master Inventory'!$A:$N,10,FALSE),0))</f>
        <v/>
      </c>
      <c r="J384">
        <f>IF(E384="","",SUMIFS(Reservations!$G:$G,Reservations!$D:$D,A384,Reservations!$E:$E,E384,Reservations!$H:$H,"Active"))</f>
        <v/>
      </c>
      <c r="K384">
        <f>IF(E384="","",MAX(0,H384-I384-J384))</f>
        <v/>
      </c>
      <c r="L384">
        <f>IF(E384="","",IF(K384&gt;0,"SHORTAGE",IF(J384&gt;=H384,"RESERVED","READY TO RESERVE")))</f>
        <v/>
      </c>
    </row>
    <row r="385">
      <c r="A385">
        <f>IF('Job Cards'!$A$23="","",'Job Cards'!$A$23)</f>
        <v/>
      </c>
      <c r="B385">
        <f>IF(A385="","",'Job Cards'!$B$23)</f>
        <v/>
      </c>
      <c r="C385">
        <f>IF(A385="","",'Job Cards'!$D$23)</f>
        <v/>
      </c>
      <c r="D385">
        <f>IF(A385="","",'BOM Mapping'!$A$5)</f>
        <v/>
      </c>
      <c r="E385">
        <f>IF(C385="Longitude",'BOM Mapping'!$C$5,IF(C385="Latitude",'BOM Mapping'!$D$5,IF(C385="Altitude",'BOM Mapping'!$E$5,"")))</f>
        <v/>
      </c>
      <c r="F385">
        <f>IF(C385="Longitude",'BOM Mapping'!$J$5,IF(C385="Latitude",'BOM Mapping'!$K$5,IF(C385="Altitude",'BOM Mapping'!$L$5,0)))</f>
        <v/>
      </c>
      <c r="G385">
        <f>IF(A385="","",'Job Cards'!$E$23)</f>
        <v/>
      </c>
      <c r="H385">
        <f>IF(E385="","",F385*G385)</f>
        <v/>
      </c>
      <c r="I385">
        <f>IF(E385="","",IFERROR(VLOOKUP(E385,'Master Inventory'!$A:$N,10,FALSE),0))</f>
        <v/>
      </c>
      <c r="J385">
        <f>IF(E385="","",SUMIFS(Reservations!$G:$G,Reservations!$D:$D,A385,Reservations!$E:$E,E385,Reservations!$H:$H,"Active"))</f>
        <v/>
      </c>
      <c r="K385">
        <f>IF(E385="","",MAX(0,H385-I385-J385))</f>
        <v/>
      </c>
      <c r="L385">
        <f>IF(E385="","",IF(K385&gt;0,"SHORTAGE",IF(J385&gt;=H385,"RESERVED","READY TO RESERVE")))</f>
        <v/>
      </c>
    </row>
    <row r="386">
      <c r="A386">
        <f>IF('Job Cards'!$A$23="","",'Job Cards'!$A$23)</f>
        <v/>
      </c>
      <c r="B386">
        <f>IF(A386="","",'Job Cards'!$B$23)</f>
        <v/>
      </c>
      <c r="C386">
        <f>IF(A386="","",'Job Cards'!$D$23)</f>
        <v/>
      </c>
      <c r="D386">
        <f>IF(A386="","",'BOM Mapping'!$A$6)</f>
        <v/>
      </c>
      <c r="E386">
        <f>IF(C386="Longitude",'BOM Mapping'!$C$6,IF(C386="Latitude",'BOM Mapping'!$D$6,IF(C386="Altitude",'BOM Mapping'!$E$6,"")))</f>
        <v/>
      </c>
      <c r="F386">
        <f>IF(C386="Longitude",'BOM Mapping'!$J$6,IF(C386="Latitude",'BOM Mapping'!$K$6,IF(C386="Altitude",'BOM Mapping'!$L$6,0)))</f>
        <v/>
      </c>
      <c r="G386">
        <f>IF(A386="","",'Job Cards'!$E$23)</f>
        <v/>
      </c>
      <c r="H386">
        <f>IF(E386="","",F386*G386)</f>
        <v/>
      </c>
      <c r="I386">
        <f>IF(E386="","",IFERROR(VLOOKUP(E386,'Master Inventory'!$A:$N,10,FALSE),0))</f>
        <v/>
      </c>
      <c r="J386">
        <f>IF(E386="","",SUMIFS(Reservations!$G:$G,Reservations!$D:$D,A386,Reservations!$E:$E,E386,Reservations!$H:$H,"Active"))</f>
        <v/>
      </c>
      <c r="K386">
        <f>IF(E386="","",MAX(0,H386-I386-J386))</f>
        <v/>
      </c>
      <c r="L386">
        <f>IF(E386="","",IF(K386&gt;0,"SHORTAGE",IF(J386&gt;=H386,"RESERVED","READY TO RESERVE")))</f>
        <v/>
      </c>
    </row>
    <row r="387">
      <c r="A387">
        <f>IF('Job Cards'!$A$23="","",'Job Cards'!$A$23)</f>
        <v/>
      </c>
      <c r="B387">
        <f>IF(A387="","",'Job Cards'!$B$23)</f>
        <v/>
      </c>
      <c r="C387">
        <f>IF(A387="","",'Job Cards'!$D$23)</f>
        <v/>
      </c>
      <c r="D387">
        <f>IF(A387="","",'BOM Mapping'!$A$7)</f>
        <v/>
      </c>
      <c r="E387">
        <f>IF(C387="Longitude",'BOM Mapping'!$C$7,IF(C387="Latitude",'BOM Mapping'!$D$7,IF(C387="Altitude",'BOM Mapping'!$E$7,"")))</f>
        <v/>
      </c>
      <c r="F387">
        <f>IF(C387="Longitude",'BOM Mapping'!$J$7,IF(C387="Latitude",'BOM Mapping'!$K$7,IF(C387="Altitude",'BOM Mapping'!$L$7,0)))</f>
        <v/>
      </c>
      <c r="G387">
        <f>IF(A387="","",'Job Cards'!$E$23)</f>
        <v/>
      </c>
      <c r="H387">
        <f>IF(E387="","",F387*G387)</f>
        <v/>
      </c>
      <c r="I387">
        <f>IF(E387="","",IFERROR(VLOOKUP(E387,'Master Inventory'!$A:$N,10,FALSE),0))</f>
        <v/>
      </c>
      <c r="J387">
        <f>IF(E387="","",SUMIFS(Reservations!$G:$G,Reservations!$D:$D,A387,Reservations!$E:$E,E387,Reservations!$H:$H,"Active"))</f>
        <v/>
      </c>
      <c r="K387">
        <f>IF(E387="","",MAX(0,H387-I387-J387))</f>
        <v/>
      </c>
      <c r="L387">
        <f>IF(E387="","",IF(K387&gt;0,"SHORTAGE",IF(J387&gt;=H387,"RESERVED","READY TO RESERVE")))</f>
        <v/>
      </c>
    </row>
    <row r="388">
      <c r="A388">
        <f>IF('Job Cards'!$A$23="","",'Job Cards'!$A$23)</f>
        <v/>
      </c>
      <c r="B388">
        <f>IF(A388="","",'Job Cards'!$B$23)</f>
        <v/>
      </c>
      <c r="C388">
        <f>IF(A388="","",'Job Cards'!$D$23)</f>
        <v/>
      </c>
      <c r="D388">
        <f>IF(A388="","",'BOM Mapping'!$A$8)</f>
        <v/>
      </c>
      <c r="E388">
        <f>IF(C388="Longitude",'BOM Mapping'!$C$8,IF(C388="Latitude",'BOM Mapping'!$D$8,IF(C388="Altitude",'BOM Mapping'!$E$8,"")))</f>
        <v/>
      </c>
      <c r="F388">
        <f>IF(C388="Longitude",'BOM Mapping'!$J$8,IF(C388="Latitude",'BOM Mapping'!$K$8,IF(C388="Altitude",'BOM Mapping'!$L$8,0)))</f>
        <v/>
      </c>
      <c r="G388">
        <f>IF(A388="","",'Job Cards'!$E$23)</f>
        <v/>
      </c>
      <c r="H388">
        <f>IF(E388="","",F388*G388)</f>
        <v/>
      </c>
      <c r="I388">
        <f>IF(E388="","",IFERROR(VLOOKUP(E388,'Master Inventory'!$A:$N,10,FALSE),0))</f>
        <v/>
      </c>
      <c r="J388">
        <f>IF(E388="","",SUMIFS(Reservations!$G:$G,Reservations!$D:$D,A388,Reservations!$E:$E,E388,Reservations!$H:$H,"Active"))</f>
        <v/>
      </c>
      <c r="K388">
        <f>IF(E388="","",MAX(0,H388-I388-J388))</f>
        <v/>
      </c>
      <c r="L388">
        <f>IF(E388="","",IF(K388&gt;0,"SHORTAGE",IF(J388&gt;=H388,"RESERVED","READY TO RESERVE")))</f>
        <v/>
      </c>
    </row>
    <row r="389">
      <c r="A389">
        <f>IF('Job Cards'!$A$23="","",'Job Cards'!$A$23)</f>
        <v/>
      </c>
      <c r="B389">
        <f>IF(A389="","",'Job Cards'!$B$23)</f>
        <v/>
      </c>
      <c r="C389">
        <f>IF(A389="","",'Job Cards'!$D$23)</f>
        <v/>
      </c>
      <c r="D389">
        <f>IF(A389="","",'BOM Mapping'!$A$9)</f>
        <v/>
      </c>
      <c r="E389">
        <f>IF(C389="Longitude",'BOM Mapping'!$C$9,IF(C389="Latitude",'BOM Mapping'!$D$9,IF(C389="Altitude",'BOM Mapping'!$E$9,"")))</f>
        <v/>
      </c>
      <c r="F389">
        <f>IF(C389="Longitude",'BOM Mapping'!$J$9,IF(C389="Latitude",'BOM Mapping'!$K$9,IF(C389="Altitude",'BOM Mapping'!$L$9,0)))</f>
        <v/>
      </c>
      <c r="G389">
        <f>IF(A389="","",'Job Cards'!$E$23)</f>
        <v/>
      </c>
      <c r="H389">
        <f>IF(E389="","",F389*G389)</f>
        <v/>
      </c>
      <c r="I389">
        <f>IF(E389="","",IFERROR(VLOOKUP(E389,'Master Inventory'!$A:$N,10,FALSE),0))</f>
        <v/>
      </c>
      <c r="J389">
        <f>IF(E389="","",SUMIFS(Reservations!$G:$G,Reservations!$D:$D,A389,Reservations!$E:$E,E389,Reservations!$H:$H,"Active"))</f>
        <v/>
      </c>
      <c r="K389">
        <f>IF(E389="","",MAX(0,H389-I389-J389))</f>
        <v/>
      </c>
      <c r="L389">
        <f>IF(E389="","",IF(K389&gt;0,"SHORTAGE",IF(J389&gt;=H389,"RESERVED","READY TO RESERVE")))</f>
        <v/>
      </c>
    </row>
    <row r="390">
      <c r="A390">
        <f>IF('Job Cards'!$A$23="","",'Job Cards'!$A$23)</f>
        <v/>
      </c>
      <c r="B390">
        <f>IF(A390="","",'Job Cards'!$B$23)</f>
        <v/>
      </c>
      <c r="C390">
        <f>IF(A390="","",'Job Cards'!$D$23)</f>
        <v/>
      </c>
      <c r="D390">
        <f>IF(A390="","",'BOM Mapping'!$A$10)</f>
        <v/>
      </c>
      <c r="E390">
        <f>IF(C390="Longitude",'BOM Mapping'!$C$10,IF(C390="Latitude",'BOM Mapping'!$D$10,IF(C390="Altitude",'BOM Mapping'!$E$10,"")))</f>
        <v/>
      </c>
      <c r="F390">
        <f>IF(C390="Longitude",'BOM Mapping'!$J$10,IF(C390="Latitude",'BOM Mapping'!$K$10,IF(C390="Altitude",'BOM Mapping'!$L$10,0)))</f>
        <v/>
      </c>
      <c r="G390">
        <f>IF(A390="","",'Job Cards'!$E$23)</f>
        <v/>
      </c>
      <c r="H390">
        <f>IF(E390="","",F390*G390)</f>
        <v/>
      </c>
      <c r="I390">
        <f>IF(E390="","",IFERROR(VLOOKUP(E390,'Master Inventory'!$A:$N,10,FALSE),0))</f>
        <v/>
      </c>
      <c r="J390">
        <f>IF(E390="","",SUMIFS(Reservations!$G:$G,Reservations!$D:$D,A390,Reservations!$E:$E,E390,Reservations!$H:$H,"Active"))</f>
        <v/>
      </c>
      <c r="K390">
        <f>IF(E390="","",MAX(0,H390-I390-J390))</f>
        <v/>
      </c>
      <c r="L390">
        <f>IF(E390="","",IF(K390&gt;0,"SHORTAGE",IF(J390&gt;=H390,"RESERVED","READY TO RESERVE")))</f>
        <v/>
      </c>
    </row>
    <row r="391">
      <c r="A391">
        <f>IF('Job Cards'!$A$23="","",'Job Cards'!$A$23)</f>
        <v/>
      </c>
      <c r="B391">
        <f>IF(A391="","",'Job Cards'!$B$23)</f>
        <v/>
      </c>
      <c r="C391">
        <f>IF(A391="","",'Job Cards'!$D$23)</f>
        <v/>
      </c>
      <c r="D391">
        <f>IF(A391="","",'BOM Mapping'!$A$11)</f>
        <v/>
      </c>
      <c r="E391">
        <f>IF(C391="Longitude",'BOM Mapping'!$C$11,IF(C391="Latitude",'BOM Mapping'!$D$11,IF(C391="Altitude",'BOM Mapping'!$E$11,"")))</f>
        <v/>
      </c>
      <c r="F391">
        <f>IF(C391="Longitude",'BOM Mapping'!$J$11,IF(C391="Latitude",'BOM Mapping'!$K$11,IF(C391="Altitude",'BOM Mapping'!$L$11,0)))</f>
        <v/>
      </c>
      <c r="G391">
        <f>IF(A391="","",'Job Cards'!$E$23)</f>
        <v/>
      </c>
      <c r="H391">
        <f>IF(E391="","",F391*G391)</f>
        <v/>
      </c>
      <c r="I391">
        <f>IF(E391="","",IFERROR(VLOOKUP(E391,'Master Inventory'!$A:$N,10,FALSE),0))</f>
        <v/>
      </c>
      <c r="J391">
        <f>IF(E391="","",SUMIFS(Reservations!$G:$G,Reservations!$D:$D,A391,Reservations!$E:$E,E391,Reservations!$H:$H,"Active"))</f>
        <v/>
      </c>
      <c r="K391">
        <f>IF(E391="","",MAX(0,H391-I391-J391))</f>
        <v/>
      </c>
      <c r="L391">
        <f>IF(E391="","",IF(K391&gt;0,"SHORTAGE",IF(J391&gt;=H391,"RESERVED","READY TO RESERVE")))</f>
        <v/>
      </c>
    </row>
    <row r="392">
      <c r="A392">
        <f>IF('Job Cards'!$A$23="","",'Job Cards'!$A$23)</f>
        <v/>
      </c>
      <c r="B392">
        <f>IF(A392="","",'Job Cards'!$B$23)</f>
        <v/>
      </c>
      <c r="C392">
        <f>IF(A392="","",'Job Cards'!$D$23)</f>
        <v/>
      </c>
      <c r="D392">
        <f>IF(A392="","",'BOM Mapping'!$A$12)</f>
        <v/>
      </c>
      <c r="E392">
        <f>IF(C392="Longitude",'BOM Mapping'!$C$12,IF(C392="Latitude",'BOM Mapping'!$D$12,IF(C392="Altitude",'BOM Mapping'!$E$12,"")))</f>
        <v/>
      </c>
      <c r="F392">
        <f>IF(C392="Longitude",'BOM Mapping'!$J$12,IF(C392="Latitude",'BOM Mapping'!$K$12,IF(C392="Altitude",'BOM Mapping'!$L$12,0)))</f>
        <v/>
      </c>
      <c r="G392">
        <f>IF(A392="","",'Job Cards'!$E$23)</f>
        <v/>
      </c>
      <c r="H392">
        <f>IF(E392="","",F392*G392)</f>
        <v/>
      </c>
      <c r="I392">
        <f>IF(E392="","",IFERROR(VLOOKUP(E392,'Master Inventory'!$A:$N,10,FALSE),0))</f>
        <v/>
      </c>
      <c r="J392">
        <f>IF(E392="","",SUMIFS(Reservations!$G:$G,Reservations!$D:$D,A392,Reservations!$E:$E,E392,Reservations!$H:$H,"Active"))</f>
        <v/>
      </c>
      <c r="K392">
        <f>IF(E392="","",MAX(0,H392-I392-J392))</f>
        <v/>
      </c>
      <c r="L392">
        <f>IF(E392="","",IF(K392&gt;0,"SHORTAGE",IF(J392&gt;=H392,"RESERVED","READY TO RESERVE")))</f>
        <v/>
      </c>
    </row>
    <row r="393">
      <c r="A393">
        <f>IF('Job Cards'!$A$23="","",'Job Cards'!$A$23)</f>
        <v/>
      </c>
      <c r="B393">
        <f>IF(A393="","",'Job Cards'!$B$23)</f>
        <v/>
      </c>
      <c r="C393">
        <f>IF(A393="","",'Job Cards'!$D$23)</f>
        <v/>
      </c>
      <c r="D393">
        <f>IF(A393="","",'BOM Mapping'!$A$13)</f>
        <v/>
      </c>
      <c r="E393">
        <f>IF(C393="Longitude",'BOM Mapping'!$C$13,IF(C393="Latitude",'BOM Mapping'!$D$13,IF(C393="Altitude",'BOM Mapping'!$E$13,"")))</f>
        <v/>
      </c>
      <c r="F393">
        <f>IF(C393="Longitude",'BOM Mapping'!$J$13,IF(C393="Latitude",'BOM Mapping'!$K$13,IF(C393="Altitude",'BOM Mapping'!$L$13,0)))</f>
        <v/>
      </c>
      <c r="G393">
        <f>IF(A393="","",'Job Cards'!$E$23)</f>
        <v/>
      </c>
      <c r="H393">
        <f>IF(E393="","",F393*G393)</f>
        <v/>
      </c>
      <c r="I393">
        <f>IF(E393="","",IFERROR(VLOOKUP(E393,'Master Inventory'!$A:$N,10,FALSE),0))</f>
        <v/>
      </c>
      <c r="J393">
        <f>IF(E393="","",SUMIFS(Reservations!$G:$G,Reservations!$D:$D,A393,Reservations!$E:$E,E393,Reservations!$H:$H,"Active"))</f>
        <v/>
      </c>
      <c r="K393">
        <f>IF(E393="","",MAX(0,H393-I393-J393))</f>
        <v/>
      </c>
      <c r="L393">
        <f>IF(E393="","",IF(K393&gt;0,"SHORTAGE",IF(J393&gt;=H393,"RESERVED","READY TO RESERVE")))</f>
        <v/>
      </c>
    </row>
    <row r="394">
      <c r="A394">
        <f>IF('Job Cards'!$A$23="","",'Job Cards'!$A$23)</f>
        <v/>
      </c>
      <c r="B394">
        <f>IF(A394="","",'Job Cards'!$B$23)</f>
        <v/>
      </c>
      <c r="C394">
        <f>IF(A394="","",'Job Cards'!$D$23)</f>
        <v/>
      </c>
      <c r="D394">
        <f>IF(A394="","",'BOM Mapping'!$A$14)</f>
        <v/>
      </c>
      <c r="E394">
        <f>IF(C394="Longitude",'BOM Mapping'!$C$14,IF(C394="Latitude",'BOM Mapping'!$D$14,IF(C394="Altitude",'BOM Mapping'!$E$14,"")))</f>
        <v/>
      </c>
      <c r="F394">
        <f>IF(C394="Longitude",'BOM Mapping'!$J$14,IF(C394="Latitude",'BOM Mapping'!$K$14,IF(C394="Altitude",'BOM Mapping'!$L$14,0)))</f>
        <v/>
      </c>
      <c r="G394">
        <f>IF(A394="","",'Job Cards'!$E$23)</f>
        <v/>
      </c>
      <c r="H394">
        <f>IF(E394="","",F394*G394)</f>
        <v/>
      </c>
      <c r="I394">
        <f>IF(E394="","",IFERROR(VLOOKUP(E394,'Master Inventory'!$A:$N,10,FALSE),0))</f>
        <v/>
      </c>
      <c r="J394">
        <f>IF(E394="","",SUMIFS(Reservations!$G:$G,Reservations!$D:$D,A394,Reservations!$E:$E,E394,Reservations!$H:$H,"Active"))</f>
        <v/>
      </c>
      <c r="K394">
        <f>IF(E394="","",MAX(0,H394-I394-J394))</f>
        <v/>
      </c>
      <c r="L394">
        <f>IF(E394="","",IF(K394&gt;0,"SHORTAGE",IF(J394&gt;=H394,"RESERVED","READY TO RESERVE")))</f>
        <v/>
      </c>
    </row>
    <row r="395">
      <c r="A395">
        <f>IF('Job Cards'!$A$23="","",'Job Cards'!$A$23)</f>
        <v/>
      </c>
      <c r="B395">
        <f>IF(A395="","",'Job Cards'!$B$23)</f>
        <v/>
      </c>
      <c r="C395">
        <f>IF(A395="","",'Job Cards'!$D$23)</f>
        <v/>
      </c>
      <c r="D395">
        <f>IF(A395="","",'BOM Mapping'!$A$15)</f>
        <v/>
      </c>
      <c r="E395">
        <f>IF(C395="Longitude",'BOM Mapping'!$C$15,IF(C395="Latitude",'BOM Mapping'!$D$15,IF(C395="Altitude",'BOM Mapping'!$E$15,"")))</f>
        <v/>
      </c>
      <c r="F395">
        <f>IF(C395="Longitude",'BOM Mapping'!$J$15,IF(C395="Latitude",'BOM Mapping'!$K$15,IF(C395="Altitude",'BOM Mapping'!$L$15,0)))</f>
        <v/>
      </c>
      <c r="G395">
        <f>IF(A395="","",'Job Cards'!$E$23)</f>
        <v/>
      </c>
      <c r="H395">
        <f>IF(E395="","",F395*G395)</f>
        <v/>
      </c>
      <c r="I395">
        <f>IF(E395="","",IFERROR(VLOOKUP(E395,'Master Inventory'!$A:$N,10,FALSE),0))</f>
        <v/>
      </c>
      <c r="J395">
        <f>IF(E395="","",SUMIFS(Reservations!$G:$G,Reservations!$D:$D,A395,Reservations!$E:$E,E395,Reservations!$H:$H,"Active"))</f>
        <v/>
      </c>
      <c r="K395">
        <f>IF(E395="","",MAX(0,H395-I395-J395))</f>
        <v/>
      </c>
      <c r="L395">
        <f>IF(E395="","",IF(K395&gt;0,"SHORTAGE",IF(J395&gt;=H395,"RESERVED","READY TO RESERVE")))</f>
        <v/>
      </c>
    </row>
    <row r="396">
      <c r="A396">
        <f>IF('Job Cards'!$A$23="","",'Job Cards'!$A$23)</f>
        <v/>
      </c>
      <c r="B396">
        <f>IF(A396="","",'Job Cards'!$B$23)</f>
        <v/>
      </c>
      <c r="C396">
        <f>IF(A396="","",'Job Cards'!$D$23)</f>
        <v/>
      </c>
      <c r="D396">
        <f>IF(A396="","",'BOM Mapping'!$A$16)</f>
        <v/>
      </c>
      <c r="E396">
        <f>IF(C396="Longitude",'BOM Mapping'!$C$16,IF(C396="Latitude",'BOM Mapping'!$D$16,IF(C396="Altitude",'BOM Mapping'!$E$16,"")))</f>
        <v/>
      </c>
      <c r="F396">
        <f>IF(C396="Longitude",'BOM Mapping'!$J$16,IF(C396="Latitude",'BOM Mapping'!$K$16,IF(C396="Altitude",'BOM Mapping'!$L$16,0)))</f>
        <v/>
      </c>
      <c r="G396">
        <f>IF(A396="","",'Job Cards'!$E$23)</f>
        <v/>
      </c>
      <c r="H396">
        <f>IF(E396="","",F396*G396)</f>
        <v/>
      </c>
      <c r="I396">
        <f>IF(E396="","",IFERROR(VLOOKUP(E396,'Master Inventory'!$A:$N,10,FALSE),0))</f>
        <v/>
      </c>
      <c r="J396">
        <f>IF(E396="","",SUMIFS(Reservations!$G:$G,Reservations!$D:$D,A396,Reservations!$E:$E,E396,Reservations!$H:$H,"Active"))</f>
        <v/>
      </c>
      <c r="K396">
        <f>IF(E396="","",MAX(0,H396-I396-J396))</f>
        <v/>
      </c>
      <c r="L396">
        <f>IF(E396="","",IF(K396&gt;0,"SHORTAGE",IF(J396&gt;=H396,"RESERVED","READY TO RESERVE")))</f>
        <v/>
      </c>
    </row>
    <row r="397">
      <c r="A397">
        <f>IF('Job Cards'!$A$23="","",'Job Cards'!$A$23)</f>
        <v/>
      </c>
      <c r="B397">
        <f>IF(A397="","",'Job Cards'!$B$23)</f>
        <v/>
      </c>
      <c r="C397">
        <f>IF(A397="","",'Job Cards'!$D$23)</f>
        <v/>
      </c>
      <c r="D397">
        <f>IF(A397="","",'BOM Mapping'!$A$17)</f>
        <v/>
      </c>
      <c r="E397">
        <f>IF(C397="Longitude",'BOM Mapping'!$C$17,IF(C397="Latitude",'BOM Mapping'!$D$17,IF(C397="Altitude",'BOM Mapping'!$E$17,"")))</f>
        <v/>
      </c>
      <c r="F397">
        <f>IF(C397="Longitude",'BOM Mapping'!$J$17,IF(C397="Latitude",'BOM Mapping'!$K$17,IF(C397="Altitude",'BOM Mapping'!$L$17,0)))</f>
        <v/>
      </c>
      <c r="G397">
        <f>IF(A397="","",'Job Cards'!$E$23)</f>
        <v/>
      </c>
      <c r="H397">
        <f>IF(E397="","",F397*G397)</f>
        <v/>
      </c>
      <c r="I397">
        <f>IF(E397="","",IFERROR(VLOOKUP(E397,'Master Inventory'!$A:$N,10,FALSE),0))</f>
        <v/>
      </c>
      <c r="J397">
        <f>IF(E397="","",SUMIFS(Reservations!$G:$G,Reservations!$D:$D,A397,Reservations!$E:$E,E397,Reservations!$H:$H,"Active"))</f>
        <v/>
      </c>
      <c r="K397">
        <f>IF(E397="","",MAX(0,H397-I397-J397))</f>
        <v/>
      </c>
      <c r="L397">
        <f>IF(E397="","",IF(K397&gt;0,"SHORTAGE",IF(J397&gt;=H397,"RESERVED","READY TO RESERVE")))</f>
        <v/>
      </c>
    </row>
    <row r="398">
      <c r="A398">
        <f>IF('Job Cards'!$A$23="","",'Job Cards'!$A$23)</f>
        <v/>
      </c>
      <c r="B398">
        <f>IF(A398="","",'Job Cards'!$B$23)</f>
        <v/>
      </c>
      <c r="C398">
        <f>IF(A398="","",'Job Cards'!$D$23)</f>
        <v/>
      </c>
      <c r="D398">
        <f>IF(A398="","",'BOM Mapping'!$A$18)</f>
        <v/>
      </c>
      <c r="E398">
        <f>IF(C398="Longitude",'BOM Mapping'!$C$18,IF(C398="Latitude",'BOM Mapping'!$D$18,IF(C398="Altitude",'BOM Mapping'!$E$18,"")))</f>
        <v/>
      </c>
      <c r="F398">
        <f>IF(C398="Longitude",'BOM Mapping'!$J$18,IF(C398="Latitude",'BOM Mapping'!$K$18,IF(C398="Altitude",'BOM Mapping'!$L$18,0)))</f>
        <v/>
      </c>
      <c r="G398">
        <f>IF(A398="","",'Job Cards'!$E$23)</f>
        <v/>
      </c>
      <c r="H398">
        <f>IF(E398="","",F398*G398)</f>
        <v/>
      </c>
      <c r="I398">
        <f>IF(E398="","",IFERROR(VLOOKUP(E398,'Master Inventory'!$A:$N,10,FALSE),0))</f>
        <v/>
      </c>
      <c r="J398">
        <f>IF(E398="","",SUMIFS(Reservations!$G:$G,Reservations!$D:$D,A398,Reservations!$E:$E,E398,Reservations!$H:$H,"Active"))</f>
        <v/>
      </c>
      <c r="K398">
        <f>IF(E398="","",MAX(0,H398-I398-J398))</f>
        <v/>
      </c>
      <c r="L398">
        <f>IF(E398="","",IF(K398&gt;0,"SHORTAGE",IF(J398&gt;=H398,"RESERVED","READY TO RESERVE")))</f>
        <v/>
      </c>
    </row>
    <row r="399">
      <c r="A399">
        <f>IF('Job Cards'!$A$23="","",'Job Cards'!$A$23)</f>
        <v/>
      </c>
      <c r="B399">
        <f>IF(A399="","",'Job Cards'!$B$23)</f>
        <v/>
      </c>
      <c r="C399">
        <f>IF(A399="","",'Job Cards'!$D$23)</f>
        <v/>
      </c>
      <c r="D399">
        <f>IF(A399="","",'BOM Mapping'!$A$19)</f>
        <v/>
      </c>
      <c r="E399">
        <f>IF(C399="Longitude",'BOM Mapping'!$C$19,IF(C399="Latitude",'BOM Mapping'!$D$19,IF(C399="Altitude",'BOM Mapping'!$E$19,"")))</f>
        <v/>
      </c>
      <c r="F399">
        <f>IF(C399="Longitude",'BOM Mapping'!$J$19,IF(C399="Latitude",'BOM Mapping'!$K$19,IF(C399="Altitude",'BOM Mapping'!$L$19,0)))</f>
        <v/>
      </c>
      <c r="G399">
        <f>IF(A399="","",'Job Cards'!$E$23)</f>
        <v/>
      </c>
      <c r="H399">
        <f>IF(E399="","",F399*G399)</f>
        <v/>
      </c>
      <c r="I399">
        <f>IF(E399="","",IFERROR(VLOOKUP(E399,'Master Inventory'!$A:$N,10,FALSE),0))</f>
        <v/>
      </c>
      <c r="J399">
        <f>IF(E399="","",SUMIFS(Reservations!$G:$G,Reservations!$D:$D,A399,Reservations!$E:$E,E399,Reservations!$H:$H,"Active"))</f>
        <v/>
      </c>
      <c r="K399">
        <f>IF(E399="","",MAX(0,H399-I399-J399))</f>
        <v/>
      </c>
      <c r="L399">
        <f>IF(E399="","",IF(K399&gt;0,"SHORTAGE",IF(J399&gt;=H399,"RESERVED","READY TO RESERVE")))</f>
        <v/>
      </c>
    </row>
    <row r="400">
      <c r="A400">
        <f>IF('Job Cards'!$A$23="","",'Job Cards'!$A$23)</f>
        <v/>
      </c>
      <c r="B400">
        <f>IF(A400="","",'Job Cards'!$B$23)</f>
        <v/>
      </c>
      <c r="C400">
        <f>IF(A400="","",'Job Cards'!$D$23)</f>
        <v/>
      </c>
      <c r="D400">
        <f>IF(A400="","",'BOM Mapping'!$A$20)</f>
        <v/>
      </c>
      <c r="E400">
        <f>IF(C400="Longitude",'BOM Mapping'!$C$20,IF(C400="Latitude",'BOM Mapping'!$D$20,IF(C400="Altitude",'BOM Mapping'!$E$20,"")))</f>
        <v/>
      </c>
      <c r="F400">
        <f>IF(C400="Longitude",'BOM Mapping'!$J$20,IF(C400="Latitude",'BOM Mapping'!$K$20,IF(C400="Altitude",'BOM Mapping'!$L$20,0)))</f>
        <v/>
      </c>
      <c r="G400">
        <f>IF(A400="","",'Job Cards'!$E$23)</f>
        <v/>
      </c>
      <c r="H400">
        <f>IF(E400="","",F400*G400)</f>
        <v/>
      </c>
      <c r="I400">
        <f>IF(E400="","",IFERROR(VLOOKUP(E400,'Master Inventory'!$A:$N,10,FALSE),0))</f>
        <v/>
      </c>
      <c r="J400">
        <f>IF(E400="","",SUMIFS(Reservations!$G:$G,Reservations!$D:$D,A400,Reservations!$E:$E,E400,Reservations!$H:$H,"Active"))</f>
        <v/>
      </c>
      <c r="K400">
        <f>IF(E400="","",MAX(0,H400-I400-J400))</f>
        <v/>
      </c>
      <c r="L400">
        <f>IF(E400="","",IF(K400&gt;0,"SHORTAGE",IF(J400&gt;=H400,"RESERVED","READY TO RESERVE")))</f>
        <v/>
      </c>
    </row>
    <row r="401">
      <c r="A401">
        <f>IF('Job Cards'!$A$23="","",'Job Cards'!$A$23)</f>
        <v/>
      </c>
      <c r="B401">
        <f>IF(A401="","",'Job Cards'!$B$23)</f>
        <v/>
      </c>
      <c r="C401">
        <f>IF(A401="","",'Job Cards'!$D$23)</f>
        <v/>
      </c>
      <c r="D401">
        <f>IF(A401="","",'BOM Mapping'!$A$21)</f>
        <v/>
      </c>
      <c r="E401">
        <f>IF(C401="Longitude",'BOM Mapping'!$C$21,IF(C401="Latitude",'BOM Mapping'!$D$21,IF(C401="Altitude",'BOM Mapping'!$E$21,"")))</f>
        <v/>
      </c>
      <c r="F401">
        <f>IF(C401="Longitude",'BOM Mapping'!$J$21,IF(C401="Latitude",'BOM Mapping'!$K$21,IF(C401="Altitude",'BOM Mapping'!$L$21,0)))</f>
        <v/>
      </c>
      <c r="G401">
        <f>IF(A401="","",'Job Cards'!$E$23)</f>
        <v/>
      </c>
      <c r="H401">
        <f>IF(E401="","",F401*G401)</f>
        <v/>
      </c>
      <c r="I401">
        <f>IF(E401="","",IFERROR(VLOOKUP(E401,'Master Inventory'!$A:$N,10,FALSE),0))</f>
        <v/>
      </c>
      <c r="J401">
        <f>IF(E401="","",SUMIFS(Reservations!$G:$G,Reservations!$D:$D,A401,Reservations!$E:$E,E401,Reservations!$H:$H,"Active"))</f>
        <v/>
      </c>
      <c r="K401">
        <f>IF(E401="","",MAX(0,H401-I401-J401))</f>
        <v/>
      </c>
      <c r="L401">
        <f>IF(E401="","",IF(K401&gt;0,"SHORTAGE",IF(J401&gt;=H401,"RESERVED","READY TO RESERVE")))</f>
        <v/>
      </c>
    </row>
    <row r="402">
      <c r="A402">
        <f>IF('Job Cards'!$A$23="","",'Job Cards'!$A$23)</f>
        <v/>
      </c>
      <c r="B402">
        <f>IF(A402="","",'Job Cards'!$B$23)</f>
        <v/>
      </c>
      <c r="C402">
        <f>IF(A402="","",'Job Cards'!$D$23)</f>
        <v/>
      </c>
      <c r="D402">
        <f>IF(A402="","",'BOM Mapping'!$A$22)</f>
        <v/>
      </c>
      <c r="E402">
        <f>IF(C402="Longitude",'BOM Mapping'!$C$22,IF(C402="Latitude",'BOM Mapping'!$D$22,IF(C402="Altitude",'BOM Mapping'!$E$22,"")))</f>
        <v/>
      </c>
      <c r="F402">
        <f>IF(C402="Longitude",'BOM Mapping'!$J$22,IF(C402="Latitude",'BOM Mapping'!$K$22,IF(C402="Altitude",'BOM Mapping'!$L$22,0)))</f>
        <v/>
      </c>
      <c r="G402">
        <f>IF(A402="","",'Job Cards'!$E$23)</f>
        <v/>
      </c>
      <c r="H402">
        <f>IF(E402="","",F402*G402)</f>
        <v/>
      </c>
      <c r="I402">
        <f>IF(E402="","",IFERROR(VLOOKUP(E402,'Master Inventory'!$A:$N,10,FALSE),0))</f>
        <v/>
      </c>
      <c r="J402">
        <f>IF(E402="","",SUMIFS(Reservations!$G:$G,Reservations!$D:$D,A402,Reservations!$E:$E,E402,Reservations!$H:$H,"Active"))</f>
        <v/>
      </c>
      <c r="K402">
        <f>IF(E402="","",MAX(0,H402-I402-J402))</f>
        <v/>
      </c>
      <c r="L402">
        <f>IF(E402="","",IF(K402&gt;0,"SHORTAGE",IF(J402&gt;=H402,"RESERVED","READY TO RESERVE")))</f>
        <v/>
      </c>
    </row>
    <row r="403">
      <c r="A403">
        <f>IF('Job Cards'!$A$23="","",'Job Cards'!$A$23)</f>
        <v/>
      </c>
      <c r="B403">
        <f>IF(A403="","",'Job Cards'!$B$23)</f>
        <v/>
      </c>
      <c r="C403">
        <f>IF(A403="","",'Job Cards'!$D$23)</f>
        <v/>
      </c>
      <c r="D403">
        <f>IF(A403="","",'BOM Mapping'!$A$23)</f>
        <v/>
      </c>
      <c r="E403">
        <f>IF(C403="Longitude",'BOM Mapping'!$C$23,IF(C403="Latitude",'BOM Mapping'!$D$23,IF(C403="Altitude",'BOM Mapping'!$E$23,"")))</f>
        <v/>
      </c>
      <c r="F403">
        <f>IF(C403="Longitude",'BOM Mapping'!$J$23,IF(C403="Latitude",'BOM Mapping'!$K$23,IF(C403="Altitude",'BOM Mapping'!$L$23,0)))</f>
        <v/>
      </c>
      <c r="G403">
        <f>IF(A403="","",'Job Cards'!$E$23)</f>
        <v/>
      </c>
      <c r="H403">
        <f>IF(E403="","",F403*G403)</f>
        <v/>
      </c>
      <c r="I403">
        <f>IF(E403="","",IFERROR(VLOOKUP(E403,'Master Inventory'!$A:$N,10,FALSE),0))</f>
        <v/>
      </c>
      <c r="J403">
        <f>IF(E403="","",SUMIFS(Reservations!$G:$G,Reservations!$D:$D,A403,Reservations!$E:$E,E403,Reservations!$H:$H,"Active"))</f>
        <v/>
      </c>
      <c r="K403">
        <f>IF(E403="","",MAX(0,H403-I403-J403))</f>
        <v/>
      </c>
      <c r="L403">
        <f>IF(E403="","",IF(K403&gt;0,"SHORTAGE",IF(J403&gt;=H403,"RESERVED","READY TO RESERVE")))</f>
        <v/>
      </c>
    </row>
    <row r="404">
      <c r="A404">
        <f>'Job Cards'!A32</f>
        <v/>
      </c>
      <c r="B404">
        <f>IF(A404="","",'Job Cards'!B32)</f>
        <v/>
      </c>
      <c r="C404">
        <f>IF(A404="","",'Job Cards'!D32)</f>
        <v/>
      </c>
      <c r="D404">
        <f>IF(A404="","",'BOM Mapping'!A12)</f>
        <v/>
      </c>
      <c r="E404">
        <f>IF(A404="","",IF(C404="Longitude",'BOM Mapping'!C12,IF(C404="Latitude",'BOM Mapping'!D12,IF(C404="Altitude",'BOM Mapping'!E12,""))))</f>
        <v/>
      </c>
      <c r="F404">
        <f>IF(A404="","",'BOM Mapping'!F12)</f>
        <v/>
      </c>
      <c r="G404">
        <f>IF(A404="","",'Job Cards'!E32)</f>
        <v/>
      </c>
      <c r="H404">
        <f>IF(E404="","",F404*G404)</f>
        <v/>
      </c>
      <c r="I404">
        <f>IF(E404="","",IFERROR(VLOOKUP(E404,'Master Inventory'!$A$4:$J$69,10,FALSE),0))</f>
        <v/>
      </c>
      <c r="J404">
        <f>IF(E404="","",SUMIFS(Reservations!$G:$G,Reservations!$D:$D,A404,Reservations!$E:$E,E404,Reservations!$H:$H,"Active"))</f>
        <v/>
      </c>
      <c r="K404">
        <f>IF(E404="","",MAX(0,H404-I404-J404))</f>
        <v/>
      </c>
    </row>
    <row r="405">
      <c r="A405">
        <f>'Job Cards'!A32</f>
        <v/>
      </c>
      <c r="B405">
        <f>IF(A405="","",'Job Cards'!B32)</f>
        <v/>
      </c>
      <c r="C405">
        <f>IF(A405="","",'Job Cards'!D32)</f>
        <v/>
      </c>
      <c r="D405">
        <f>IF(A405="","",'BOM Mapping'!A13)</f>
        <v/>
      </c>
      <c r="E405">
        <f>IF(A405="","",IF(C405="Longitude",'BOM Mapping'!C13,IF(C405="Latitude",'BOM Mapping'!D13,IF(C405="Altitude",'BOM Mapping'!E13,""))))</f>
        <v/>
      </c>
      <c r="F405">
        <f>IF(A405="","",'BOM Mapping'!F13)</f>
        <v/>
      </c>
      <c r="G405">
        <f>IF(A405="","",'Job Cards'!E32)</f>
        <v/>
      </c>
      <c r="H405">
        <f>IF(E405="","",F405*G405)</f>
        <v/>
      </c>
      <c r="I405">
        <f>IF(E405="","",IFERROR(VLOOKUP(E405,'Master Inventory'!$A$4:$J$69,10,FALSE),0))</f>
        <v/>
      </c>
      <c r="J405">
        <f>IF(E405="","",SUMIFS(Reservations!$G:$G,Reservations!$D:$D,A405,Reservations!$E:$E,E405,Reservations!$H:$H,"Active"))</f>
        <v/>
      </c>
      <c r="K405">
        <f>IF(E405="","",MAX(0,H405-I405-J405))</f>
        <v/>
      </c>
    </row>
    <row r="406">
      <c r="A406">
        <f>'Job Cards'!A32</f>
        <v/>
      </c>
      <c r="B406">
        <f>IF(A406="","",'Job Cards'!B32)</f>
        <v/>
      </c>
      <c r="C406">
        <f>IF(A406="","",'Job Cards'!D32)</f>
        <v/>
      </c>
      <c r="D406">
        <f>IF(A406="","",'BOM Mapping'!A14)</f>
        <v/>
      </c>
      <c r="E406">
        <f>IF(A406="","",IF(C406="Longitude",'BOM Mapping'!C14,IF(C406="Latitude",'BOM Mapping'!D14,IF(C406="Altitude",'BOM Mapping'!E14,""))))</f>
        <v/>
      </c>
      <c r="F406">
        <f>IF(A406="","",'BOM Mapping'!F14)</f>
        <v/>
      </c>
      <c r="G406">
        <f>IF(A406="","",'Job Cards'!E32)</f>
        <v/>
      </c>
      <c r="H406">
        <f>IF(E406="","",F406*G406)</f>
        <v/>
      </c>
      <c r="I406">
        <f>IF(E406="","",IFERROR(VLOOKUP(E406,'Master Inventory'!$A$4:$J$69,10,FALSE),0))</f>
        <v/>
      </c>
      <c r="J406">
        <f>IF(E406="","",SUMIFS(Reservations!$G:$G,Reservations!$D:$D,A406,Reservations!$E:$E,E406,Reservations!$H:$H,"Active"))</f>
        <v/>
      </c>
      <c r="K406">
        <f>IF(E406="","",MAX(0,H406-I406-J406))</f>
        <v/>
      </c>
    </row>
    <row r="407">
      <c r="A407">
        <f>'Job Cards'!A32</f>
        <v/>
      </c>
      <c r="B407">
        <f>IF(A407="","",'Job Cards'!B32)</f>
        <v/>
      </c>
      <c r="C407">
        <f>IF(A407="","",'Job Cards'!D32)</f>
        <v/>
      </c>
      <c r="D407">
        <f>IF(A407="","",'BOM Mapping'!A15)</f>
        <v/>
      </c>
      <c r="E407">
        <f>IF(A407="","",IF(C407="Longitude",'BOM Mapping'!C15,IF(C407="Latitude",'BOM Mapping'!D15,IF(C407="Altitude",'BOM Mapping'!E15,""))))</f>
        <v/>
      </c>
      <c r="F407">
        <f>IF(A407="","",'BOM Mapping'!F15)</f>
        <v/>
      </c>
      <c r="G407">
        <f>IF(A407="","",'Job Cards'!E32)</f>
        <v/>
      </c>
      <c r="H407">
        <f>IF(E407="","",F407*G407)</f>
        <v/>
      </c>
      <c r="I407">
        <f>IF(E407="","",IFERROR(VLOOKUP(E407,'Master Inventory'!$A$4:$J$69,10,FALSE),0))</f>
        <v/>
      </c>
      <c r="J407">
        <f>IF(E407="","",SUMIFS(Reservations!$G:$G,Reservations!$D:$D,A407,Reservations!$E:$E,E407,Reservations!$H:$H,"Active"))</f>
        <v/>
      </c>
      <c r="K407">
        <f>IF(E407="","",MAX(0,H407-I407-J407))</f>
        <v/>
      </c>
    </row>
    <row r="408">
      <c r="A408">
        <f>'Job Cards'!A32</f>
        <v/>
      </c>
      <c r="B408">
        <f>IF(A408="","",'Job Cards'!B32)</f>
        <v/>
      </c>
      <c r="C408">
        <f>IF(A408="","",'Job Cards'!D32)</f>
        <v/>
      </c>
      <c r="D408">
        <f>IF(A408="","",'BOM Mapping'!A16)</f>
        <v/>
      </c>
      <c r="E408">
        <f>IF(A408="","",IF(C408="Longitude",'BOM Mapping'!C16,IF(C408="Latitude",'BOM Mapping'!D16,IF(C408="Altitude",'BOM Mapping'!E16,""))))</f>
        <v/>
      </c>
      <c r="F408">
        <f>IF(A408="","",'BOM Mapping'!F16)</f>
        <v/>
      </c>
      <c r="G408">
        <f>IF(A408="","",'Job Cards'!E32)</f>
        <v/>
      </c>
      <c r="H408">
        <f>IF(E408="","",F408*G408)</f>
        <v/>
      </c>
      <c r="I408">
        <f>IF(E408="","",IFERROR(VLOOKUP(E408,'Master Inventory'!$A$4:$J$69,10,FALSE),0))</f>
        <v/>
      </c>
      <c r="J408">
        <f>IF(E408="","",SUMIFS(Reservations!$G:$G,Reservations!$D:$D,A408,Reservations!$E:$E,E408,Reservations!$H:$H,"Active"))</f>
        <v/>
      </c>
      <c r="K408">
        <f>IF(E408="","",MAX(0,H408-I408-J408))</f>
        <v/>
      </c>
    </row>
    <row r="409">
      <c r="A409">
        <f>'Job Cards'!A32</f>
        <v/>
      </c>
      <c r="B409">
        <f>IF(A409="","",'Job Cards'!B32)</f>
        <v/>
      </c>
      <c r="C409">
        <f>IF(A409="","",'Job Cards'!D32)</f>
        <v/>
      </c>
      <c r="D409">
        <f>IF(A409="","",'BOM Mapping'!A17)</f>
        <v/>
      </c>
      <c r="E409">
        <f>IF(A409="","",IF(C409="Longitude",'BOM Mapping'!C17,IF(C409="Latitude",'BOM Mapping'!D17,IF(C409="Altitude",'BOM Mapping'!E17,""))))</f>
        <v/>
      </c>
      <c r="F409">
        <f>IF(A409="","",'BOM Mapping'!F17)</f>
        <v/>
      </c>
      <c r="G409">
        <f>IF(A409="","",'Job Cards'!E32)</f>
        <v/>
      </c>
      <c r="H409">
        <f>IF(E409="","",F409*G409)</f>
        <v/>
      </c>
      <c r="I409">
        <f>IF(E409="","",IFERROR(VLOOKUP(E409,'Master Inventory'!$A$4:$J$69,10,FALSE),0))</f>
        <v/>
      </c>
      <c r="J409">
        <f>IF(E409="","",SUMIFS(Reservations!$G:$G,Reservations!$D:$D,A409,Reservations!$E:$E,E409,Reservations!$H:$H,"Active"))</f>
        <v/>
      </c>
      <c r="K409">
        <f>IF(E409="","",MAX(0,H409-I409-J409))</f>
        <v/>
      </c>
    </row>
    <row r="410">
      <c r="A410">
        <f>'Job Cards'!A33</f>
        <v/>
      </c>
      <c r="B410">
        <f>IF(A410="","",'Job Cards'!B33)</f>
        <v/>
      </c>
      <c r="C410">
        <f>IF(A410="","",'Job Cards'!D33)</f>
        <v/>
      </c>
      <c r="D410">
        <f>IF(A410="","",'BOM Mapping'!A4)</f>
        <v/>
      </c>
      <c r="E410">
        <f>IF(A410="","",IF(C410="Longitude",'BOM Mapping'!C4,IF(C410="Latitude",'BOM Mapping'!D4,IF(C410="Altitude",'BOM Mapping'!E4,""))))</f>
        <v/>
      </c>
      <c r="F410">
        <f>IF(A410="","",'BOM Mapping'!F4)</f>
        <v/>
      </c>
      <c r="G410">
        <f>IF(A410="","",'Job Cards'!E33)</f>
        <v/>
      </c>
      <c r="H410">
        <f>IF(E410="","",F410*G410)</f>
        <v/>
      </c>
      <c r="I410">
        <f>IF(E410="","",IFERROR(VLOOKUP(E410,'Master Inventory'!$A$4:$J$69,10,FALSE),0))</f>
        <v/>
      </c>
      <c r="J410">
        <f>IF(E410="","",SUMIFS(Reservations!$G:$G,Reservations!$D:$D,A410,Reservations!$E:$E,E410,Reservations!$H:$H,"Active"))</f>
        <v/>
      </c>
      <c r="K410">
        <f>IF(E410="","",MAX(0,H410-I410-J410))</f>
        <v/>
      </c>
    </row>
    <row r="411">
      <c r="A411">
        <f>'Job Cards'!A33</f>
        <v/>
      </c>
      <c r="B411">
        <f>IF(A411="","",'Job Cards'!B33)</f>
        <v/>
      </c>
      <c r="C411">
        <f>IF(A411="","",'Job Cards'!D33)</f>
        <v/>
      </c>
      <c r="D411">
        <f>IF(A411="","",'BOM Mapping'!A5)</f>
        <v/>
      </c>
      <c r="E411">
        <f>IF(A411="","",IF(C411="Longitude",'BOM Mapping'!C5,IF(C411="Latitude",'BOM Mapping'!D5,IF(C411="Altitude",'BOM Mapping'!E5,""))))</f>
        <v/>
      </c>
      <c r="F411">
        <f>IF(A411="","",'BOM Mapping'!F5)</f>
        <v/>
      </c>
      <c r="G411">
        <f>IF(A411="","",'Job Cards'!E33)</f>
        <v/>
      </c>
      <c r="H411">
        <f>IF(E411="","",F411*G411)</f>
        <v/>
      </c>
      <c r="I411">
        <f>IF(E411="","",IFERROR(VLOOKUP(E411,'Master Inventory'!$A$4:$J$69,10,FALSE),0))</f>
        <v/>
      </c>
      <c r="J411">
        <f>IF(E411="","",SUMIFS(Reservations!$G:$G,Reservations!$D:$D,A411,Reservations!$E:$E,E411,Reservations!$H:$H,"Active"))</f>
        <v/>
      </c>
      <c r="K411">
        <f>IF(E411="","",MAX(0,H411-I411-J411))</f>
        <v/>
      </c>
    </row>
    <row r="412">
      <c r="A412">
        <f>'Job Cards'!A33</f>
        <v/>
      </c>
      <c r="B412">
        <f>IF(A412="","",'Job Cards'!B33)</f>
        <v/>
      </c>
      <c r="C412">
        <f>IF(A412="","",'Job Cards'!D33)</f>
        <v/>
      </c>
      <c r="D412">
        <f>IF(A412="","",'BOM Mapping'!A6)</f>
        <v/>
      </c>
      <c r="E412">
        <f>IF(A412="","",IF(C412="Longitude",'BOM Mapping'!C6,IF(C412="Latitude",'BOM Mapping'!D6,IF(C412="Altitude",'BOM Mapping'!E6,""))))</f>
        <v/>
      </c>
      <c r="F412">
        <f>IF(A412="","",'BOM Mapping'!F6)</f>
        <v/>
      </c>
      <c r="G412">
        <f>IF(A412="","",'Job Cards'!E33)</f>
        <v/>
      </c>
      <c r="H412">
        <f>IF(E412="","",F412*G412)</f>
        <v/>
      </c>
      <c r="I412">
        <f>IF(E412="","",IFERROR(VLOOKUP(E412,'Master Inventory'!$A$4:$J$69,10,FALSE),0))</f>
        <v/>
      </c>
      <c r="J412">
        <f>IF(E412="","",SUMIFS(Reservations!$G:$G,Reservations!$D:$D,A412,Reservations!$E:$E,E412,Reservations!$H:$H,"Active"))</f>
        <v/>
      </c>
      <c r="K412">
        <f>IF(E412="","",MAX(0,H412-I412-J412))</f>
        <v/>
      </c>
    </row>
    <row r="413">
      <c r="A413">
        <f>'Job Cards'!A33</f>
        <v/>
      </c>
      <c r="B413">
        <f>IF(A413="","",'Job Cards'!B33)</f>
        <v/>
      </c>
      <c r="C413">
        <f>IF(A413="","",'Job Cards'!D33)</f>
        <v/>
      </c>
      <c r="D413">
        <f>IF(A413="","",'BOM Mapping'!A7)</f>
        <v/>
      </c>
      <c r="E413">
        <f>IF(A413="","",IF(C413="Longitude",'BOM Mapping'!C7,IF(C413="Latitude",'BOM Mapping'!D7,IF(C413="Altitude",'BOM Mapping'!E7,""))))</f>
        <v/>
      </c>
      <c r="F413">
        <f>IF(A413="","",'BOM Mapping'!F7)</f>
        <v/>
      </c>
      <c r="G413">
        <f>IF(A413="","",'Job Cards'!E33)</f>
        <v/>
      </c>
      <c r="H413">
        <f>IF(E413="","",F413*G413)</f>
        <v/>
      </c>
      <c r="I413">
        <f>IF(E413="","",IFERROR(VLOOKUP(E413,'Master Inventory'!$A$4:$J$69,10,FALSE),0))</f>
        <v/>
      </c>
      <c r="J413">
        <f>IF(E413="","",SUMIFS(Reservations!$G:$G,Reservations!$D:$D,A413,Reservations!$E:$E,E413,Reservations!$H:$H,"Active"))</f>
        <v/>
      </c>
      <c r="K413">
        <f>IF(E413="","",MAX(0,H413-I413-J413))</f>
        <v/>
      </c>
    </row>
    <row r="414">
      <c r="A414">
        <f>'Job Cards'!A33</f>
        <v/>
      </c>
      <c r="B414">
        <f>IF(A414="","",'Job Cards'!B33)</f>
        <v/>
      </c>
      <c r="C414">
        <f>IF(A414="","",'Job Cards'!D33)</f>
        <v/>
      </c>
      <c r="D414">
        <f>IF(A414="","",'BOM Mapping'!A8)</f>
        <v/>
      </c>
      <c r="E414">
        <f>IF(A414="","",IF(C414="Longitude",'BOM Mapping'!C8,IF(C414="Latitude",'BOM Mapping'!D8,IF(C414="Altitude",'BOM Mapping'!E8,""))))</f>
        <v/>
      </c>
      <c r="F414">
        <f>IF(A414="","",'BOM Mapping'!F8)</f>
        <v/>
      </c>
      <c r="G414">
        <f>IF(A414="","",'Job Cards'!E33)</f>
        <v/>
      </c>
      <c r="H414">
        <f>IF(E414="","",F414*G414)</f>
        <v/>
      </c>
      <c r="I414">
        <f>IF(E414="","",IFERROR(VLOOKUP(E414,'Master Inventory'!$A$4:$J$69,10,FALSE),0))</f>
        <v/>
      </c>
      <c r="J414">
        <f>IF(E414="","",SUMIFS(Reservations!$G:$G,Reservations!$D:$D,A414,Reservations!$E:$E,E414,Reservations!$H:$H,"Active"))</f>
        <v/>
      </c>
      <c r="K414">
        <f>IF(E414="","",MAX(0,H414-I414-J414))</f>
        <v/>
      </c>
    </row>
    <row r="415">
      <c r="A415">
        <f>'Job Cards'!A33</f>
        <v/>
      </c>
      <c r="B415">
        <f>IF(A415="","",'Job Cards'!B33)</f>
        <v/>
      </c>
      <c r="C415">
        <f>IF(A415="","",'Job Cards'!D33)</f>
        <v/>
      </c>
      <c r="D415">
        <f>IF(A415="","",'BOM Mapping'!A9)</f>
        <v/>
      </c>
      <c r="E415">
        <f>IF(A415="","",IF(C415="Longitude",'BOM Mapping'!C9,IF(C415="Latitude",'BOM Mapping'!D9,IF(C415="Altitude",'BOM Mapping'!E9,""))))</f>
        <v/>
      </c>
      <c r="F415">
        <f>IF(A415="","",'BOM Mapping'!F9)</f>
        <v/>
      </c>
      <c r="G415">
        <f>IF(A415="","",'Job Cards'!E33)</f>
        <v/>
      </c>
      <c r="H415">
        <f>IF(E415="","",F415*G415)</f>
        <v/>
      </c>
      <c r="I415">
        <f>IF(E415="","",IFERROR(VLOOKUP(E415,'Master Inventory'!$A$4:$J$69,10,FALSE),0))</f>
        <v/>
      </c>
      <c r="J415">
        <f>IF(E415="","",SUMIFS(Reservations!$G:$G,Reservations!$D:$D,A415,Reservations!$E:$E,E415,Reservations!$H:$H,"Active"))</f>
        <v/>
      </c>
      <c r="K415">
        <f>IF(E415="","",MAX(0,H415-I415-J415))</f>
        <v/>
      </c>
    </row>
    <row r="416">
      <c r="A416">
        <f>'Job Cards'!A33</f>
        <v/>
      </c>
      <c r="B416">
        <f>IF(A416="","",'Job Cards'!B33)</f>
        <v/>
      </c>
      <c r="C416">
        <f>IF(A416="","",'Job Cards'!D33)</f>
        <v/>
      </c>
      <c r="D416">
        <f>IF(A416="","",'BOM Mapping'!A10)</f>
        <v/>
      </c>
      <c r="E416">
        <f>IF(A416="","",IF(C416="Longitude",'BOM Mapping'!C10,IF(C416="Latitude",'BOM Mapping'!D10,IF(C416="Altitude",'BOM Mapping'!E10,""))))</f>
        <v/>
      </c>
      <c r="F416">
        <f>IF(A416="","",'BOM Mapping'!F10)</f>
        <v/>
      </c>
      <c r="G416">
        <f>IF(A416="","",'Job Cards'!E33)</f>
        <v/>
      </c>
      <c r="H416">
        <f>IF(E416="","",F416*G416)</f>
        <v/>
      </c>
      <c r="I416">
        <f>IF(E416="","",IFERROR(VLOOKUP(E416,'Master Inventory'!$A$4:$J$69,10,FALSE),0))</f>
        <v/>
      </c>
      <c r="J416">
        <f>IF(E416="","",SUMIFS(Reservations!$G:$G,Reservations!$D:$D,A416,Reservations!$E:$E,E416,Reservations!$H:$H,"Active"))</f>
        <v/>
      </c>
      <c r="K416">
        <f>IF(E416="","",MAX(0,H416-I416-J416))</f>
        <v/>
      </c>
    </row>
    <row r="417">
      <c r="A417">
        <f>'Job Cards'!A33</f>
        <v/>
      </c>
      <c r="B417">
        <f>IF(A417="","",'Job Cards'!B33)</f>
        <v/>
      </c>
      <c r="C417">
        <f>IF(A417="","",'Job Cards'!D33)</f>
        <v/>
      </c>
      <c r="D417">
        <f>IF(A417="","",'BOM Mapping'!A11)</f>
        <v/>
      </c>
      <c r="E417">
        <f>IF(A417="","",IF(C417="Longitude",'BOM Mapping'!C11,IF(C417="Latitude",'BOM Mapping'!D11,IF(C417="Altitude",'BOM Mapping'!E11,""))))</f>
        <v/>
      </c>
      <c r="F417">
        <f>IF(A417="","",'BOM Mapping'!F11)</f>
        <v/>
      </c>
      <c r="G417">
        <f>IF(A417="","",'Job Cards'!E33)</f>
        <v/>
      </c>
      <c r="H417">
        <f>IF(E417="","",F417*G417)</f>
        <v/>
      </c>
      <c r="I417">
        <f>IF(E417="","",IFERROR(VLOOKUP(E417,'Master Inventory'!$A$4:$J$69,10,FALSE),0))</f>
        <v/>
      </c>
      <c r="J417">
        <f>IF(E417="","",SUMIFS(Reservations!$G:$G,Reservations!$D:$D,A417,Reservations!$E:$E,E417,Reservations!$H:$H,"Active"))</f>
        <v/>
      </c>
      <c r="K417">
        <f>IF(E417="","",MAX(0,H417-I417-J417))</f>
        <v/>
      </c>
    </row>
    <row r="418">
      <c r="A418">
        <f>'Job Cards'!A33</f>
        <v/>
      </c>
      <c r="B418">
        <f>IF(A418="","",'Job Cards'!B33)</f>
        <v/>
      </c>
      <c r="C418">
        <f>IF(A418="","",'Job Cards'!D33)</f>
        <v/>
      </c>
      <c r="D418">
        <f>IF(A418="","",'BOM Mapping'!A12)</f>
        <v/>
      </c>
      <c r="E418">
        <f>IF(A418="","",IF(C418="Longitude",'BOM Mapping'!C12,IF(C418="Latitude",'BOM Mapping'!D12,IF(C418="Altitude",'BOM Mapping'!E12,""))))</f>
        <v/>
      </c>
      <c r="F418">
        <f>IF(A418="","",'BOM Mapping'!F12)</f>
        <v/>
      </c>
      <c r="G418">
        <f>IF(A418="","",'Job Cards'!E33)</f>
        <v/>
      </c>
      <c r="H418">
        <f>IF(E418="","",F418*G418)</f>
        <v/>
      </c>
      <c r="I418">
        <f>IF(E418="","",IFERROR(VLOOKUP(E418,'Master Inventory'!$A$4:$J$69,10,FALSE),0))</f>
        <v/>
      </c>
      <c r="J418">
        <f>IF(E418="","",SUMIFS(Reservations!$G:$G,Reservations!$D:$D,A418,Reservations!$E:$E,E418,Reservations!$H:$H,"Active"))</f>
        <v/>
      </c>
      <c r="K418">
        <f>IF(E418="","",MAX(0,H418-I418-J418))</f>
        <v/>
      </c>
    </row>
    <row r="419">
      <c r="A419">
        <f>'Job Cards'!A33</f>
        <v/>
      </c>
      <c r="B419">
        <f>IF(A419="","",'Job Cards'!B33)</f>
        <v/>
      </c>
      <c r="C419">
        <f>IF(A419="","",'Job Cards'!D33)</f>
        <v/>
      </c>
      <c r="D419">
        <f>IF(A419="","",'BOM Mapping'!A13)</f>
        <v/>
      </c>
      <c r="E419">
        <f>IF(A419="","",IF(C419="Longitude",'BOM Mapping'!C13,IF(C419="Latitude",'BOM Mapping'!D13,IF(C419="Altitude",'BOM Mapping'!E13,""))))</f>
        <v/>
      </c>
      <c r="F419">
        <f>IF(A419="","",'BOM Mapping'!F13)</f>
        <v/>
      </c>
      <c r="G419">
        <f>IF(A419="","",'Job Cards'!E33)</f>
        <v/>
      </c>
      <c r="H419">
        <f>IF(E419="","",F419*G419)</f>
        <v/>
      </c>
      <c r="I419">
        <f>IF(E419="","",IFERROR(VLOOKUP(E419,'Master Inventory'!$A$4:$J$69,10,FALSE),0))</f>
        <v/>
      </c>
      <c r="J419">
        <f>IF(E419="","",SUMIFS(Reservations!$G:$G,Reservations!$D:$D,A419,Reservations!$E:$E,E419,Reservations!$H:$H,"Active"))</f>
        <v/>
      </c>
      <c r="K419">
        <f>IF(E419="","",MAX(0,H419-I419-J419))</f>
        <v/>
      </c>
    </row>
    <row r="420">
      <c r="A420">
        <f>'Job Cards'!A33</f>
        <v/>
      </c>
      <c r="B420">
        <f>IF(A420="","",'Job Cards'!B33)</f>
        <v/>
      </c>
      <c r="C420">
        <f>IF(A420="","",'Job Cards'!D33)</f>
        <v/>
      </c>
      <c r="D420">
        <f>IF(A420="","",'BOM Mapping'!A14)</f>
        <v/>
      </c>
      <c r="E420">
        <f>IF(A420="","",IF(C420="Longitude",'BOM Mapping'!C14,IF(C420="Latitude",'BOM Mapping'!D14,IF(C420="Altitude",'BOM Mapping'!E14,""))))</f>
        <v/>
      </c>
      <c r="F420">
        <f>IF(A420="","",'BOM Mapping'!F14)</f>
        <v/>
      </c>
      <c r="G420">
        <f>IF(A420="","",'Job Cards'!E33)</f>
        <v/>
      </c>
      <c r="H420">
        <f>IF(E420="","",F420*G420)</f>
        <v/>
      </c>
      <c r="I420">
        <f>IF(E420="","",IFERROR(VLOOKUP(E420,'Master Inventory'!$A$4:$J$69,10,FALSE),0))</f>
        <v/>
      </c>
      <c r="J420">
        <f>IF(E420="","",SUMIFS(Reservations!$G:$G,Reservations!$D:$D,A420,Reservations!$E:$E,E420,Reservations!$H:$H,"Active"))</f>
        <v/>
      </c>
      <c r="K420">
        <f>IF(E420="","",MAX(0,H420-I420-J420))</f>
        <v/>
      </c>
    </row>
    <row r="421">
      <c r="A421">
        <f>'Job Cards'!A33</f>
        <v/>
      </c>
      <c r="B421">
        <f>IF(A421="","",'Job Cards'!B33)</f>
        <v/>
      </c>
      <c r="C421">
        <f>IF(A421="","",'Job Cards'!D33)</f>
        <v/>
      </c>
      <c r="D421">
        <f>IF(A421="","",'BOM Mapping'!A15)</f>
        <v/>
      </c>
      <c r="E421">
        <f>IF(A421="","",IF(C421="Longitude",'BOM Mapping'!C15,IF(C421="Latitude",'BOM Mapping'!D15,IF(C421="Altitude",'BOM Mapping'!E15,""))))</f>
        <v/>
      </c>
      <c r="F421">
        <f>IF(A421="","",'BOM Mapping'!F15)</f>
        <v/>
      </c>
      <c r="G421">
        <f>IF(A421="","",'Job Cards'!E33)</f>
        <v/>
      </c>
      <c r="H421">
        <f>IF(E421="","",F421*G421)</f>
        <v/>
      </c>
      <c r="I421">
        <f>IF(E421="","",IFERROR(VLOOKUP(E421,'Master Inventory'!$A$4:$J$69,10,FALSE),0))</f>
        <v/>
      </c>
      <c r="J421">
        <f>IF(E421="","",SUMIFS(Reservations!$G:$G,Reservations!$D:$D,A421,Reservations!$E:$E,E421,Reservations!$H:$H,"Active"))</f>
        <v/>
      </c>
      <c r="K421">
        <f>IF(E421="","",MAX(0,H421-I421-J421))</f>
        <v/>
      </c>
    </row>
    <row r="422">
      <c r="A422">
        <f>'Job Cards'!A33</f>
        <v/>
      </c>
      <c r="B422">
        <f>IF(A422="","",'Job Cards'!B33)</f>
        <v/>
      </c>
      <c r="C422">
        <f>IF(A422="","",'Job Cards'!D33)</f>
        <v/>
      </c>
      <c r="D422">
        <f>IF(A422="","",'BOM Mapping'!A16)</f>
        <v/>
      </c>
      <c r="E422">
        <f>IF(A422="","",IF(C422="Longitude",'BOM Mapping'!C16,IF(C422="Latitude",'BOM Mapping'!D16,IF(C422="Altitude",'BOM Mapping'!E16,""))))</f>
        <v/>
      </c>
      <c r="F422">
        <f>IF(A422="","",'BOM Mapping'!F16)</f>
        <v/>
      </c>
      <c r="G422">
        <f>IF(A422="","",'Job Cards'!E33)</f>
        <v/>
      </c>
      <c r="H422">
        <f>IF(E422="","",F422*G422)</f>
        <v/>
      </c>
      <c r="I422">
        <f>IF(E422="","",IFERROR(VLOOKUP(E422,'Master Inventory'!$A$4:$J$69,10,FALSE),0))</f>
        <v/>
      </c>
      <c r="J422">
        <f>IF(E422="","",SUMIFS(Reservations!$G:$G,Reservations!$D:$D,A422,Reservations!$E:$E,E422,Reservations!$H:$H,"Active"))</f>
        <v/>
      </c>
      <c r="K422">
        <f>IF(E422="","",MAX(0,H422-I422-J422))</f>
        <v/>
      </c>
    </row>
    <row r="423">
      <c r="A423">
        <f>'Job Cards'!A33</f>
        <v/>
      </c>
      <c r="B423">
        <f>IF(A423="","",'Job Cards'!B33)</f>
        <v/>
      </c>
      <c r="C423">
        <f>IF(A423="","",'Job Cards'!D33)</f>
        <v/>
      </c>
      <c r="D423">
        <f>IF(A423="","",'BOM Mapping'!A17)</f>
        <v/>
      </c>
      <c r="E423">
        <f>IF(A423="","",IF(C423="Longitude",'BOM Mapping'!C17,IF(C423="Latitude",'BOM Mapping'!D17,IF(C423="Altitude",'BOM Mapping'!E17,""))))</f>
        <v/>
      </c>
      <c r="F423">
        <f>IF(A423="","",'BOM Mapping'!F17)</f>
        <v/>
      </c>
      <c r="G423">
        <f>IF(A423="","",'Job Cards'!E33)</f>
        <v/>
      </c>
      <c r="H423">
        <f>IF(E423="","",F423*G423)</f>
        <v/>
      </c>
      <c r="I423">
        <f>IF(E423="","",IFERROR(VLOOKUP(E423,'Master Inventory'!$A$4:$J$69,10,FALSE),0))</f>
        <v/>
      </c>
      <c r="J423">
        <f>IF(E423="","",SUMIFS(Reservations!$G:$G,Reservations!$D:$D,A423,Reservations!$E:$E,E423,Reservations!$H:$H,"Active"))</f>
        <v/>
      </c>
      <c r="K423">
        <f>IF(E423="","",MAX(0,H423-I423-J423))</f>
        <v/>
      </c>
    </row>
    <row r="424">
      <c r="A424">
        <f>'Job Cards'!A34</f>
        <v/>
      </c>
      <c r="B424">
        <f>IF(A424="","",'Job Cards'!B34)</f>
        <v/>
      </c>
      <c r="C424">
        <f>IF(A424="","",'Job Cards'!D34)</f>
        <v/>
      </c>
      <c r="D424">
        <f>IF(A424="","",'BOM Mapping'!A4)</f>
        <v/>
      </c>
      <c r="E424">
        <f>IF(A424="","",IF(C424="Longitude",'BOM Mapping'!C4,IF(C424="Latitude",'BOM Mapping'!D4,IF(C424="Altitude",'BOM Mapping'!E4,""))))</f>
        <v/>
      </c>
      <c r="F424">
        <f>IF(A424="","",'BOM Mapping'!F4)</f>
        <v/>
      </c>
      <c r="G424">
        <f>IF(A424="","",'Job Cards'!E34)</f>
        <v/>
      </c>
      <c r="H424">
        <f>IF(E424="","",F424*G424)</f>
        <v/>
      </c>
      <c r="I424">
        <f>IF(E424="","",IFERROR(VLOOKUP(E424,'Master Inventory'!$A$4:$J$69,10,FALSE),0))</f>
        <v/>
      </c>
      <c r="J424">
        <f>IF(E424="","",SUMIFS(Reservations!$G:$G,Reservations!$D:$D,A424,Reservations!$E:$E,E424,Reservations!$H:$H,"Active"))</f>
        <v/>
      </c>
      <c r="K424">
        <f>IF(E424="","",MAX(0,H424-I424-J424))</f>
        <v/>
      </c>
    </row>
    <row r="425">
      <c r="A425">
        <f>'Job Cards'!A34</f>
        <v/>
      </c>
      <c r="B425">
        <f>IF(A425="","",'Job Cards'!B34)</f>
        <v/>
      </c>
      <c r="C425">
        <f>IF(A425="","",'Job Cards'!D34)</f>
        <v/>
      </c>
      <c r="D425">
        <f>IF(A425="","",'BOM Mapping'!A5)</f>
        <v/>
      </c>
      <c r="E425">
        <f>IF(A425="","",IF(C425="Longitude",'BOM Mapping'!C5,IF(C425="Latitude",'BOM Mapping'!D5,IF(C425="Altitude",'BOM Mapping'!E5,""))))</f>
        <v/>
      </c>
      <c r="F425">
        <f>IF(A425="","",'BOM Mapping'!F5)</f>
        <v/>
      </c>
      <c r="G425">
        <f>IF(A425="","",'Job Cards'!E34)</f>
        <v/>
      </c>
      <c r="H425">
        <f>IF(E425="","",F425*G425)</f>
        <v/>
      </c>
      <c r="I425">
        <f>IF(E425="","",IFERROR(VLOOKUP(E425,'Master Inventory'!$A$4:$J$69,10,FALSE),0))</f>
        <v/>
      </c>
      <c r="J425">
        <f>IF(E425="","",SUMIFS(Reservations!$G:$G,Reservations!$D:$D,A425,Reservations!$E:$E,E425,Reservations!$H:$H,"Active"))</f>
        <v/>
      </c>
      <c r="K425">
        <f>IF(E425="","",MAX(0,H425-I425-J425))</f>
        <v/>
      </c>
    </row>
    <row r="426">
      <c r="A426">
        <f>'Job Cards'!A34</f>
        <v/>
      </c>
      <c r="B426">
        <f>IF(A426="","",'Job Cards'!B34)</f>
        <v/>
      </c>
      <c r="C426">
        <f>IF(A426="","",'Job Cards'!D34)</f>
        <v/>
      </c>
      <c r="D426">
        <f>IF(A426="","",'BOM Mapping'!A6)</f>
        <v/>
      </c>
      <c r="E426">
        <f>IF(A426="","",IF(C426="Longitude",'BOM Mapping'!C6,IF(C426="Latitude",'BOM Mapping'!D6,IF(C426="Altitude",'BOM Mapping'!E6,""))))</f>
        <v/>
      </c>
      <c r="F426">
        <f>IF(A426="","",'BOM Mapping'!F6)</f>
        <v/>
      </c>
      <c r="G426">
        <f>IF(A426="","",'Job Cards'!E34)</f>
        <v/>
      </c>
      <c r="H426">
        <f>IF(E426="","",F426*G426)</f>
        <v/>
      </c>
      <c r="I426">
        <f>IF(E426="","",IFERROR(VLOOKUP(E426,'Master Inventory'!$A$4:$J$69,10,FALSE),0))</f>
        <v/>
      </c>
      <c r="J426">
        <f>IF(E426="","",SUMIFS(Reservations!$G:$G,Reservations!$D:$D,A426,Reservations!$E:$E,E426,Reservations!$H:$H,"Active"))</f>
        <v/>
      </c>
      <c r="K426">
        <f>IF(E426="","",MAX(0,H426-I426-J426))</f>
        <v/>
      </c>
    </row>
    <row r="427">
      <c r="A427">
        <f>'Job Cards'!A34</f>
        <v/>
      </c>
      <c r="B427">
        <f>IF(A427="","",'Job Cards'!B34)</f>
        <v/>
      </c>
      <c r="C427">
        <f>IF(A427="","",'Job Cards'!D34)</f>
        <v/>
      </c>
      <c r="D427">
        <f>IF(A427="","",'BOM Mapping'!A7)</f>
        <v/>
      </c>
      <c r="E427">
        <f>IF(A427="","",IF(C427="Longitude",'BOM Mapping'!C7,IF(C427="Latitude",'BOM Mapping'!D7,IF(C427="Altitude",'BOM Mapping'!E7,""))))</f>
        <v/>
      </c>
      <c r="F427">
        <f>IF(A427="","",'BOM Mapping'!F7)</f>
        <v/>
      </c>
      <c r="G427">
        <f>IF(A427="","",'Job Cards'!E34)</f>
        <v/>
      </c>
      <c r="H427">
        <f>IF(E427="","",F427*G427)</f>
        <v/>
      </c>
      <c r="I427">
        <f>IF(E427="","",IFERROR(VLOOKUP(E427,'Master Inventory'!$A$4:$J$69,10,FALSE),0))</f>
        <v/>
      </c>
      <c r="J427">
        <f>IF(E427="","",SUMIFS(Reservations!$G:$G,Reservations!$D:$D,A427,Reservations!$E:$E,E427,Reservations!$H:$H,"Active"))</f>
        <v/>
      </c>
      <c r="K427">
        <f>IF(E427="","",MAX(0,H427-I427-J427))</f>
        <v/>
      </c>
    </row>
    <row r="428">
      <c r="A428">
        <f>'Job Cards'!A34</f>
        <v/>
      </c>
      <c r="B428">
        <f>IF(A428="","",'Job Cards'!B34)</f>
        <v/>
      </c>
      <c r="C428">
        <f>IF(A428="","",'Job Cards'!D34)</f>
        <v/>
      </c>
      <c r="D428">
        <f>IF(A428="","",'BOM Mapping'!A8)</f>
        <v/>
      </c>
      <c r="E428">
        <f>IF(A428="","",IF(C428="Longitude",'BOM Mapping'!C8,IF(C428="Latitude",'BOM Mapping'!D8,IF(C428="Altitude",'BOM Mapping'!E8,""))))</f>
        <v/>
      </c>
      <c r="F428">
        <f>IF(A428="","",'BOM Mapping'!F8)</f>
        <v/>
      </c>
      <c r="G428">
        <f>IF(A428="","",'Job Cards'!E34)</f>
        <v/>
      </c>
      <c r="H428">
        <f>IF(E428="","",F428*G428)</f>
        <v/>
      </c>
      <c r="I428">
        <f>IF(E428="","",IFERROR(VLOOKUP(E428,'Master Inventory'!$A$4:$J$69,10,FALSE),0))</f>
        <v/>
      </c>
      <c r="J428">
        <f>IF(E428="","",SUMIFS(Reservations!$G:$G,Reservations!$D:$D,A428,Reservations!$E:$E,E428,Reservations!$H:$H,"Active"))</f>
        <v/>
      </c>
      <c r="K428">
        <f>IF(E428="","",MAX(0,H428-I428-J428))</f>
        <v/>
      </c>
    </row>
    <row r="429">
      <c r="A429">
        <f>'Job Cards'!A34</f>
        <v/>
      </c>
      <c r="B429">
        <f>IF(A429="","",'Job Cards'!B34)</f>
        <v/>
      </c>
      <c r="C429">
        <f>IF(A429="","",'Job Cards'!D34)</f>
        <v/>
      </c>
      <c r="D429">
        <f>IF(A429="","",'BOM Mapping'!A9)</f>
        <v/>
      </c>
      <c r="E429">
        <f>IF(A429="","",IF(C429="Longitude",'BOM Mapping'!C9,IF(C429="Latitude",'BOM Mapping'!D9,IF(C429="Altitude",'BOM Mapping'!E9,""))))</f>
        <v/>
      </c>
      <c r="F429">
        <f>IF(A429="","",'BOM Mapping'!F9)</f>
        <v/>
      </c>
      <c r="G429">
        <f>IF(A429="","",'Job Cards'!E34)</f>
        <v/>
      </c>
      <c r="H429">
        <f>IF(E429="","",F429*G429)</f>
        <v/>
      </c>
      <c r="I429">
        <f>IF(E429="","",IFERROR(VLOOKUP(E429,'Master Inventory'!$A$4:$J$69,10,FALSE),0))</f>
        <v/>
      </c>
      <c r="J429">
        <f>IF(E429="","",SUMIFS(Reservations!$G:$G,Reservations!$D:$D,A429,Reservations!$E:$E,E429,Reservations!$H:$H,"Active"))</f>
        <v/>
      </c>
      <c r="K429">
        <f>IF(E429="","",MAX(0,H429-I429-J429))</f>
        <v/>
      </c>
    </row>
    <row r="430">
      <c r="A430">
        <f>'Job Cards'!A34</f>
        <v/>
      </c>
      <c r="B430">
        <f>IF(A430="","",'Job Cards'!B34)</f>
        <v/>
      </c>
      <c r="C430">
        <f>IF(A430="","",'Job Cards'!D34)</f>
        <v/>
      </c>
      <c r="D430">
        <f>IF(A430="","",'BOM Mapping'!A10)</f>
        <v/>
      </c>
      <c r="E430">
        <f>IF(A430="","",IF(C430="Longitude",'BOM Mapping'!C10,IF(C430="Latitude",'BOM Mapping'!D10,IF(C430="Altitude",'BOM Mapping'!E10,""))))</f>
        <v/>
      </c>
      <c r="F430">
        <f>IF(A430="","",'BOM Mapping'!F10)</f>
        <v/>
      </c>
      <c r="G430">
        <f>IF(A430="","",'Job Cards'!E34)</f>
        <v/>
      </c>
      <c r="H430">
        <f>IF(E430="","",F430*G430)</f>
        <v/>
      </c>
      <c r="I430">
        <f>IF(E430="","",IFERROR(VLOOKUP(E430,'Master Inventory'!$A$4:$J$69,10,FALSE),0))</f>
        <v/>
      </c>
      <c r="J430">
        <f>IF(E430="","",SUMIFS(Reservations!$G:$G,Reservations!$D:$D,A430,Reservations!$E:$E,E430,Reservations!$H:$H,"Active"))</f>
        <v/>
      </c>
      <c r="K430">
        <f>IF(E430="","",MAX(0,H430-I430-J430))</f>
        <v/>
      </c>
    </row>
    <row r="431">
      <c r="A431">
        <f>'Job Cards'!A34</f>
        <v/>
      </c>
      <c r="B431">
        <f>IF(A431="","",'Job Cards'!B34)</f>
        <v/>
      </c>
      <c r="C431">
        <f>IF(A431="","",'Job Cards'!D34)</f>
        <v/>
      </c>
      <c r="D431">
        <f>IF(A431="","",'BOM Mapping'!A11)</f>
        <v/>
      </c>
      <c r="E431">
        <f>IF(A431="","",IF(C431="Longitude",'BOM Mapping'!C11,IF(C431="Latitude",'BOM Mapping'!D11,IF(C431="Altitude",'BOM Mapping'!E11,""))))</f>
        <v/>
      </c>
      <c r="F431">
        <f>IF(A431="","",'BOM Mapping'!F11)</f>
        <v/>
      </c>
      <c r="G431">
        <f>IF(A431="","",'Job Cards'!E34)</f>
        <v/>
      </c>
      <c r="H431">
        <f>IF(E431="","",F431*G431)</f>
        <v/>
      </c>
      <c r="I431">
        <f>IF(E431="","",IFERROR(VLOOKUP(E431,'Master Inventory'!$A$4:$J$69,10,FALSE),0))</f>
        <v/>
      </c>
      <c r="J431">
        <f>IF(E431="","",SUMIFS(Reservations!$G:$G,Reservations!$D:$D,A431,Reservations!$E:$E,E431,Reservations!$H:$H,"Active"))</f>
        <v/>
      </c>
      <c r="K431">
        <f>IF(E431="","",MAX(0,H431-I431-J431))</f>
        <v/>
      </c>
    </row>
    <row r="432">
      <c r="A432">
        <f>'Job Cards'!A34</f>
        <v/>
      </c>
      <c r="B432">
        <f>IF(A432="","",'Job Cards'!B34)</f>
        <v/>
      </c>
      <c r="C432">
        <f>IF(A432="","",'Job Cards'!D34)</f>
        <v/>
      </c>
      <c r="D432">
        <f>IF(A432="","",'BOM Mapping'!A12)</f>
        <v/>
      </c>
      <c r="E432">
        <f>IF(A432="","",IF(C432="Longitude",'BOM Mapping'!C12,IF(C432="Latitude",'BOM Mapping'!D12,IF(C432="Altitude",'BOM Mapping'!E12,""))))</f>
        <v/>
      </c>
      <c r="F432">
        <f>IF(A432="","",'BOM Mapping'!F12)</f>
        <v/>
      </c>
      <c r="G432">
        <f>IF(A432="","",'Job Cards'!E34)</f>
        <v/>
      </c>
      <c r="H432">
        <f>IF(E432="","",F432*G432)</f>
        <v/>
      </c>
      <c r="I432">
        <f>IF(E432="","",IFERROR(VLOOKUP(E432,'Master Inventory'!$A$4:$J$69,10,FALSE),0))</f>
        <v/>
      </c>
      <c r="J432">
        <f>IF(E432="","",SUMIFS(Reservations!$G:$G,Reservations!$D:$D,A432,Reservations!$E:$E,E432,Reservations!$H:$H,"Active"))</f>
        <v/>
      </c>
      <c r="K432">
        <f>IF(E432="","",MAX(0,H432-I432-J432))</f>
        <v/>
      </c>
    </row>
    <row r="433">
      <c r="A433">
        <f>'Job Cards'!A34</f>
        <v/>
      </c>
      <c r="B433">
        <f>IF(A433="","",'Job Cards'!B34)</f>
        <v/>
      </c>
      <c r="C433">
        <f>IF(A433="","",'Job Cards'!D34)</f>
        <v/>
      </c>
      <c r="D433">
        <f>IF(A433="","",'BOM Mapping'!A13)</f>
        <v/>
      </c>
      <c r="E433">
        <f>IF(A433="","",IF(C433="Longitude",'BOM Mapping'!C13,IF(C433="Latitude",'BOM Mapping'!D13,IF(C433="Altitude",'BOM Mapping'!E13,""))))</f>
        <v/>
      </c>
      <c r="F433">
        <f>IF(A433="","",'BOM Mapping'!F13)</f>
        <v/>
      </c>
      <c r="G433">
        <f>IF(A433="","",'Job Cards'!E34)</f>
        <v/>
      </c>
      <c r="H433">
        <f>IF(E433="","",F433*G433)</f>
        <v/>
      </c>
      <c r="I433">
        <f>IF(E433="","",IFERROR(VLOOKUP(E433,'Master Inventory'!$A$4:$J$69,10,FALSE),0))</f>
        <v/>
      </c>
      <c r="J433">
        <f>IF(E433="","",SUMIFS(Reservations!$G:$G,Reservations!$D:$D,A433,Reservations!$E:$E,E433,Reservations!$H:$H,"Active"))</f>
        <v/>
      </c>
      <c r="K433">
        <f>IF(E433="","",MAX(0,H433-I433-J433))</f>
        <v/>
      </c>
    </row>
    <row r="434">
      <c r="A434">
        <f>'Job Cards'!A34</f>
        <v/>
      </c>
      <c r="B434">
        <f>IF(A434="","",'Job Cards'!B34)</f>
        <v/>
      </c>
      <c r="C434">
        <f>IF(A434="","",'Job Cards'!D34)</f>
        <v/>
      </c>
      <c r="D434">
        <f>IF(A434="","",'BOM Mapping'!A14)</f>
        <v/>
      </c>
      <c r="E434">
        <f>IF(A434="","",IF(C434="Longitude",'BOM Mapping'!C14,IF(C434="Latitude",'BOM Mapping'!D14,IF(C434="Altitude",'BOM Mapping'!E14,""))))</f>
        <v/>
      </c>
      <c r="F434">
        <f>IF(A434="","",'BOM Mapping'!F14)</f>
        <v/>
      </c>
      <c r="G434">
        <f>IF(A434="","",'Job Cards'!E34)</f>
        <v/>
      </c>
      <c r="H434">
        <f>IF(E434="","",F434*G434)</f>
        <v/>
      </c>
      <c r="I434">
        <f>IF(E434="","",IFERROR(VLOOKUP(E434,'Master Inventory'!$A$4:$J$69,10,FALSE),0))</f>
        <v/>
      </c>
      <c r="J434">
        <f>IF(E434="","",SUMIFS(Reservations!$G:$G,Reservations!$D:$D,A434,Reservations!$E:$E,E434,Reservations!$H:$H,"Active"))</f>
        <v/>
      </c>
      <c r="K434">
        <f>IF(E434="","",MAX(0,H434-I434-J434))</f>
        <v/>
      </c>
    </row>
    <row r="435">
      <c r="A435">
        <f>'Job Cards'!A34</f>
        <v/>
      </c>
      <c r="B435">
        <f>IF(A435="","",'Job Cards'!B34)</f>
        <v/>
      </c>
      <c r="C435">
        <f>IF(A435="","",'Job Cards'!D34)</f>
        <v/>
      </c>
      <c r="D435">
        <f>IF(A435="","",'BOM Mapping'!A15)</f>
        <v/>
      </c>
      <c r="E435">
        <f>IF(A435="","",IF(C435="Longitude",'BOM Mapping'!C15,IF(C435="Latitude",'BOM Mapping'!D15,IF(C435="Altitude",'BOM Mapping'!E15,""))))</f>
        <v/>
      </c>
      <c r="F435">
        <f>IF(A435="","",'BOM Mapping'!F15)</f>
        <v/>
      </c>
      <c r="G435">
        <f>IF(A435="","",'Job Cards'!E34)</f>
        <v/>
      </c>
      <c r="H435">
        <f>IF(E435="","",F435*G435)</f>
        <v/>
      </c>
      <c r="I435">
        <f>IF(E435="","",IFERROR(VLOOKUP(E435,'Master Inventory'!$A$4:$J$69,10,FALSE),0))</f>
        <v/>
      </c>
      <c r="J435">
        <f>IF(E435="","",SUMIFS(Reservations!$G:$G,Reservations!$D:$D,A435,Reservations!$E:$E,E435,Reservations!$H:$H,"Active"))</f>
        <v/>
      </c>
      <c r="K435">
        <f>IF(E435="","",MAX(0,H435-I435-J435))</f>
        <v/>
      </c>
    </row>
    <row r="436">
      <c r="A436">
        <f>'Job Cards'!A34</f>
        <v/>
      </c>
      <c r="B436">
        <f>IF(A436="","",'Job Cards'!B34)</f>
        <v/>
      </c>
      <c r="C436">
        <f>IF(A436="","",'Job Cards'!D34)</f>
        <v/>
      </c>
      <c r="D436">
        <f>IF(A436="","",'BOM Mapping'!A16)</f>
        <v/>
      </c>
      <c r="E436">
        <f>IF(A436="","",IF(C436="Longitude",'BOM Mapping'!C16,IF(C436="Latitude",'BOM Mapping'!D16,IF(C436="Altitude",'BOM Mapping'!E16,""))))</f>
        <v/>
      </c>
      <c r="F436">
        <f>IF(A436="","",'BOM Mapping'!F16)</f>
        <v/>
      </c>
      <c r="G436">
        <f>IF(A436="","",'Job Cards'!E34)</f>
        <v/>
      </c>
      <c r="H436">
        <f>IF(E436="","",F436*G436)</f>
        <v/>
      </c>
      <c r="I436">
        <f>IF(E436="","",IFERROR(VLOOKUP(E436,'Master Inventory'!$A$4:$J$69,10,FALSE),0))</f>
        <v/>
      </c>
      <c r="J436">
        <f>IF(E436="","",SUMIFS(Reservations!$G:$G,Reservations!$D:$D,A436,Reservations!$E:$E,E436,Reservations!$H:$H,"Active"))</f>
        <v/>
      </c>
      <c r="K436">
        <f>IF(E436="","",MAX(0,H436-I436-J436))</f>
        <v/>
      </c>
    </row>
    <row r="437">
      <c r="A437">
        <f>'Job Cards'!A34</f>
        <v/>
      </c>
      <c r="B437">
        <f>IF(A437="","",'Job Cards'!B34)</f>
        <v/>
      </c>
      <c r="C437">
        <f>IF(A437="","",'Job Cards'!D34)</f>
        <v/>
      </c>
      <c r="D437">
        <f>IF(A437="","",'BOM Mapping'!A17)</f>
        <v/>
      </c>
      <c r="E437">
        <f>IF(A437="","",IF(C437="Longitude",'BOM Mapping'!C17,IF(C437="Latitude",'BOM Mapping'!D17,IF(C437="Altitude",'BOM Mapping'!E17,""))))</f>
        <v/>
      </c>
      <c r="F437">
        <f>IF(A437="","",'BOM Mapping'!F17)</f>
        <v/>
      </c>
      <c r="G437">
        <f>IF(A437="","",'Job Cards'!E34)</f>
        <v/>
      </c>
      <c r="H437">
        <f>IF(E437="","",F437*G437)</f>
        <v/>
      </c>
      <c r="I437">
        <f>IF(E437="","",IFERROR(VLOOKUP(E437,'Master Inventory'!$A$4:$J$69,10,FALSE),0))</f>
        <v/>
      </c>
      <c r="J437">
        <f>IF(E437="","",SUMIFS(Reservations!$G:$G,Reservations!$D:$D,A437,Reservations!$E:$E,E437,Reservations!$H:$H,"Active"))</f>
        <v/>
      </c>
      <c r="K437">
        <f>IF(E437="","",MAX(0,H437-I437-J437))</f>
        <v/>
      </c>
    </row>
    <row r="438">
      <c r="A438">
        <f>'Job Cards'!A35</f>
        <v/>
      </c>
      <c r="B438">
        <f>IF(A438="","",'Job Cards'!B35)</f>
        <v/>
      </c>
      <c r="C438">
        <f>IF(A438="","",'Job Cards'!D35)</f>
        <v/>
      </c>
      <c r="D438">
        <f>IF(A438="","",'BOM Mapping'!A4)</f>
        <v/>
      </c>
      <c r="E438">
        <f>IF(A438="","",IF(C438="Longitude",'BOM Mapping'!C4,IF(C438="Latitude",'BOM Mapping'!D4,IF(C438="Altitude",'BOM Mapping'!E4,""))))</f>
        <v/>
      </c>
      <c r="F438">
        <f>IF(A438="","",'BOM Mapping'!F4)</f>
        <v/>
      </c>
      <c r="G438">
        <f>IF(A438="","",'Job Cards'!E35)</f>
        <v/>
      </c>
      <c r="H438">
        <f>IF(E438="","",F438*G438)</f>
        <v/>
      </c>
      <c r="I438">
        <f>IF(E438="","",IFERROR(VLOOKUP(E438,'Master Inventory'!$A$4:$J$69,10,FALSE),0))</f>
        <v/>
      </c>
      <c r="J438">
        <f>IF(E438="","",SUMIFS(Reservations!$G:$G,Reservations!$D:$D,A438,Reservations!$E:$E,E438,Reservations!$H:$H,"Active"))</f>
        <v/>
      </c>
      <c r="K438">
        <f>IF(E438="","",MAX(0,H438-I438-J438))</f>
        <v/>
      </c>
    </row>
    <row r="439">
      <c r="A439">
        <f>'Job Cards'!A35</f>
        <v/>
      </c>
      <c r="B439">
        <f>IF(A439="","",'Job Cards'!B35)</f>
        <v/>
      </c>
      <c r="C439">
        <f>IF(A439="","",'Job Cards'!D35)</f>
        <v/>
      </c>
      <c r="D439">
        <f>IF(A439="","",'BOM Mapping'!A5)</f>
        <v/>
      </c>
      <c r="E439">
        <f>IF(A439="","",IF(C439="Longitude",'BOM Mapping'!C5,IF(C439="Latitude",'BOM Mapping'!D5,IF(C439="Altitude",'BOM Mapping'!E5,""))))</f>
        <v/>
      </c>
      <c r="F439">
        <f>IF(A439="","",'BOM Mapping'!F5)</f>
        <v/>
      </c>
      <c r="G439">
        <f>IF(A439="","",'Job Cards'!E35)</f>
        <v/>
      </c>
      <c r="H439">
        <f>IF(E439="","",F439*G439)</f>
        <v/>
      </c>
      <c r="I439">
        <f>IF(E439="","",IFERROR(VLOOKUP(E439,'Master Inventory'!$A$4:$J$69,10,FALSE),0))</f>
        <v/>
      </c>
      <c r="J439">
        <f>IF(E439="","",SUMIFS(Reservations!$G:$G,Reservations!$D:$D,A439,Reservations!$E:$E,E439,Reservations!$H:$H,"Active"))</f>
        <v/>
      </c>
      <c r="K439">
        <f>IF(E439="","",MAX(0,H439-I439-J439))</f>
        <v/>
      </c>
    </row>
    <row r="440">
      <c r="A440">
        <f>'Job Cards'!A35</f>
        <v/>
      </c>
      <c r="B440">
        <f>IF(A440="","",'Job Cards'!B35)</f>
        <v/>
      </c>
      <c r="C440">
        <f>IF(A440="","",'Job Cards'!D35)</f>
        <v/>
      </c>
      <c r="D440">
        <f>IF(A440="","",'BOM Mapping'!A6)</f>
        <v/>
      </c>
      <c r="E440">
        <f>IF(A440="","",IF(C440="Longitude",'BOM Mapping'!C6,IF(C440="Latitude",'BOM Mapping'!D6,IF(C440="Altitude",'BOM Mapping'!E6,""))))</f>
        <v/>
      </c>
      <c r="F440">
        <f>IF(A440="","",'BOM Mapping'!F6)</f>
        <v/>
      </c>
      <c r="G440">
        <f>IF(A440="","",'Job Cards'!E35)</f>
        <v/>
      </c>
      <c r="H440">
        <f>IF(E440="","",F440*G440)</f>
        <v/>
      </c>
      <c r="I440">
        <f>IF(E440="","",IFERROR(VLOOKUP(E440,'Master Inventory'!$A$4:$J$69,10,FALSE),0))</f>
        <v/>
      </c>
      <c r="J440">
        <f>IF(E440="","",SUMIFS(Reservations!$G:$G,Reservations!$D:$D,A440,Reservations!$E:$E,E440,Reservations!$H:$H,"Active"))</f>
        <v/>
      </c>
      <c r="K440">
        <f>IF(E440="","",MAX(0,H440-I440-J440))</f>
        <v/>
      </c>
    </row>
    <row r="441">
      <c r="A441">
        <f>'Job Cards'!A35</f>
        <v/>
      </c>
      <c r="B441">
        <f>IF(A441="","",'Job Cards'!B35)</f>
        <v/>
      </c>
      <c r="C441">
        <f>IF(A441="","",'Job Cards'!D35)</f>
        <v/>
      </c>
      <c r="D441">
        <f>IF(A441="","",'BOM Mapping'!A7)</f>
        <v/>
      </c>
      <c r="E441">
        <f>IF(A441="","",IF(C441="Longitude",'BOM Mapping'!C7,IF(C441="Latitude",'BOM Mapping'!D7,IF(C441="Altitude",'BOM Mapping'!E7,""))))</f>
        <v/>
      </c>
      <c r="F441">
        <f>IF(A441="","",'BOM Mapping'!F7)</f>
        <v/>
      </c>
      <c r="G441">
        <f>IF(A441="","",'Job Cards'!E35)</f>
        <v/>
      </c>
      <c r="H441">
        <f>IF(E441="","",F441*G441)</f>
        <v/>
      </c>
      <c r="I441">
        <f>IF(E441="","",IFERROR(VLOOKUP(E441,'Master Inventory'!$A$4:$J$69,10,FALSE),0))</f>
        <v/>
      </c>
      <c r="J441">
        <f>IF(E441="","",SUMIFS(Reservations!$G:$G,Reservations!$D:$D,A441,Reservations!$E:$E,E441,Reservations!$H:$H,"Active"))</f>
        <v/>
      </c>
      <c r="K441">
        <f>IF(E441="","",MAX(0,H441-I441-J441))</f>
        <v/>
      </c>
    </row>
    <row r="442">
      <c r="A442">
        <f>'Job Cards'!A35</f>
        <v/>
      </c>
      <c r="B442">
        <f>IF(A442="","",'Job Cards'!B35)</f>
        <v/>
      </c>
      <c r="C442">
        <f>IF(A442="","",'Job Cards'!D35)</f>
        <v/>
      </c>
      <c r="D442">
        <f>IF(A442="","",'BOM Mapping'!A8)</f>
        <v/>
      </c>
      <c r="E442">
        <f>IF(A442="","",IF(C442="Longitude",'BOM Mapping'!C8,IF(C442="Latitude",'BOM Mapping'!D8,IF(C442="Altitude",'BOM Mapping'!E8,""))))</f>
        <v/>
      </c>
      <c r="F442">
        <f>IF(A442="","",'BOM Mapping'!F8)</f>
        <v/>
      </c>
      <c r="G442">
        <f>IF(A442="","",'Job Cards'!E35)</f>
        <v/>
      </c>
      <c r="H442">
        <f>IF(E442="","",F442*G442)</f>
        <v/>
      </c>
      <c r="I442">
        <f>IF(E442="","",IFERROR(VLOOKUP(E442,'Master Inventory'!$A$4:$J$69,10,FALSE),0))</f>
        <v/>
      </c>
      <c r="J442">
        <f>IF(E442="","",SUMIFS(Reservations!$G:$G,Reservations!$D:$D,A442,Reservations!$E:$E,E442,Reservations!$H:$H,"Active"))</f>
        <v/>
      </c>
      <c r="K442">
        <f>IF(E442="","",MAX(0,H442-I442-J442))</f>
        <v/>
      </c>
    </row>
    <row r="443">
      <c r="A443">
        <f>'Job Cards'!A35</f>
        <v/>
      </c>
      <c r="B443">
        <f>IF(A443="","",'Job Cards'!B35)</f>
        <v/>
      </c>
      <c r="C443">
        <f>IF(A443="","",'Job Cards'!D35)</f>
        <v/>
      </c>
      <c r="D443">
        <f>IF(A443="","",'BOM Mapping'!A9)</f>
        <v/>
      </c>
      <c r="E443">
        <f>IF(A443="","",IF(C443="Longitude",'BOM Mapping'!C9,IF(C443="Latitude",'BOM Mapping'!D9,IF(C443="Altitude",'BOM Mapping'!E9,""))))</f>
        <v/>
      </c>
      <c r="F443">
        <f>IF(A443="","",'BOM Mapping'!F9)</f>
        <v/>
      </c>
      <c r="G443">
        <f>IF(A443="","",'Job Cards'!E35)</f>
        <v/>
      </c>
      <c r="H443">
        <f>IF(E443="","",F443*G443)</f>
        <v/>
      </c>
      <c r="I443">
        <f>IF(E443="","",IFERROR(VLOOKUP(E443,'Master Inventory'!$A$4:$J$69,10,FALSE),0))</f>
        <v/>
      </c>
      <c r="J443">
        <f>IF(E443="","",SUMIFS(Reservations!$G:$G,Reservations!$D:$D,A443,Reservations!$E:$E,E443,Reservations!$H:$H,"Active"))</f>
        <v/>
      </c>
      <c r="K443">
        <f>IF(E443="","",MAX(0,H443-I443-J443))</f>
        <v/>
      </c>
    </row>
    <row r="444">
      <c r="A444">
        <f>'Job Cards'!A35</f>
        <v/>
      </c>
      <c r="B444">
        <f>IF(A444="","",'Job Cards'!B35)</f>
        <v/>
      </c>
      <c r="C444">
        <f>IF(A444="","",'Job Cards'!D35)</f>
        <v/>
      </c>
      <c r="D444">
        <f>IF(A444="","",'BOM Mapping'!A10)</f>
        <v/>
      </c>
      <c r="E444">
        <f>IF(A444="","",IF(C444="Longitude",'BOM Mapping'!C10,IF(C444="Latitude",'BOM Mapping'!D10,IF(C444="Altitude",'BOM Mapping'!E10,""))))</f>
        <v/>
      </c>
      <c r="F444">
        <f>IF(A444="","",'BOM Mapping'!F10)</f>
        <v/>
      </c>
      <c r="G444">
        <f>IF(A444="","",'Job Cards'!E35)</f>
        <v/>
      </c>
      <c r="H444">
        <f>IF(E444="","",F444*G444)</f>
        <v/>
      </c>
      <c r="I444">
        <f>IF(E444="","",IFERROR(VLOOKUP(E444,'Master Inventory'!$A$4:$J$69,10,FALSE),0))</f>
        <v/>
      </c>
      <c r="J444">
        <f>IF(E444="","",SUMIFS(Reservations!$G:$G,Reservations!$D:$D,A444,Reservations!$E:$E,E444,Reservations!$H:$H,"Active"))</f>
        <v/>
      </c>
      <c r="K444">
        <f>IF(E444="","",MAX(0,H444-I444-J444))</f>
        <v/>
      </c>
    </row>
    <row r="445">
      <c r="A445">
        <f>'Job Cards'!A35</f>
        <v/>
      </c>
      <c r="B445">
        <f>IF(A445="","",'Job Cards'!B35)</f>
        <v/>
      </c>
      <c r="C445">
        <f>IF(A445="","",'Job Cards'!D35)</f>
        <v/>
      </c>
      <c r="D445">
        <f>IF(A445="","",'BOM Mapping'!A11)</f>
        <v/>
      </c>
      <c r="E445">
        <f>IF(A445="","",IF(C445="Longitude",'BOM Mapping'!C11,IF(C445="Latitude",'BOM Mapping'!D11,IF(C445="Altitude",'BOM Mapping'!E11,""))))</f>
        <v/>
      </c>
      <c r="F445">
        <f>IF(A445="","",'BOM Mapping'!F11)</f>
        <v/>
      </c>
      <c r="G445">
        <f>IF(A445="","",'Job Cards'!E35)</f>
        <v/>
      </c>
      <c r="H445">
        <f>IF(E445="","",F445*G445)</f>
        <v/>
      </c>
      <c r="I445">
        <f>IF(E445="","",IFERROR(VLOOKUP(E445,'Master Inventory'!$A$4:$J$69,10,FALSE),0))</f>
        <v/>
      </c>
      <c r="J445">
        <f>IF(E445="","",SUMIFS(Reservations!$G:$G,Reservations!$D:$D,A445,Reservations!$E:$E,E445,Reservations!$H:$H,"Active"))</f>
        <v/>
      </c>
      <c r="K445">
        <f>IF(E445="","",MAX(0,H445-I445-J445))</f>
        <v/>
      </c>
    </row>
    <row r="446">
      <c r="A446">
        <f>'Job Cards'!A35</f>
        <v/>
      </c>
      <c r="B446">
        <f>IF(A446="","",'Job Cards'!B35)</f>
        <v/>
      </c>
      <c r="C446">
        <f>IF(A446="","",'Job Cards'!D35)</f>
        <v/>
      </c>
      <c r="D446">
        <f>IF(A446="","",'BOM Mapping'!A12)</f>
        <v/>
      </c>
      <c r="E446">
        <f>IF(A446="","",IF(C446="Longitude",'BOM Mapping'!C12,IF(C446="Latitude",'BOM Mapping'!D12,IF(C446="Altitude",'BOM Mapping'!E12,""))))</f>
        <v/>
      </c>
      <c r="F446">
        <f>IF(A446="","",'BOM Mapping'!F12)</f>
        <v/>
      </c>
      <c r="G446">
        <f>IF(A446="","",'Job Cards'!E35)</f>
        <v/>
      </c>
      <c r="H446">
        <f>IF(E446="","",F446*G446)</f>
        <v/>
      </c>
      <c r="I446">
        <f>IF(E446="","",IFERROR(VLOOKUP(E446,'Master Inventory'!$A$4:$J$69,10,FALSE),0))</f>
        <v/>
      </c>
      <c r="J446">
        <f>IF(E446="","",SUMIFS(Reservations!$G:$G,Reservations!$D:$D,A446,Reservations!$E:$E,E446,Reservations!$H:$H,"Active"))</f>
        <v/>
      </c>
      <c r="K446">
        <f>IF(E446="","",MAX(0,H446-I446-J446))</f>
        <v/>
      </c>
    </row>
    <row r="447">
      <c r="A447">
        <f>'Job Cards'!A35</f>
        <v/>
      </c>
      <c r="B447">
        <f>IF(A447="","",'Job Cards'!B35)</f>
        <v/>
      </c>
      <c r="C447">
        <f>IF(A447="","",'Job Cards'!D35)</f>
        <v/>
      </c>
      <c r="D447">
        <f>IF(A447="","",'BOM Mapping'!A13)</f>
        <v/>
      </c>
      <c r="E447">
        <f>IF(A447="","",IF(C447="Longitude",'BOM Mapping'!C13,IF(C447="Latitude",'BOM Mapping'!D13,IF(C447="Altitude",'BOM Mapping'!E13,""))))</f>
        <v/>
      </c>
      <c r="F447">
        <f>IF(A447="","",'BOM Mapping'!F13)</f>
        <v/>
      </c>
      <c r="G447">
        <f>IF(A447="","",'Job Cards'!E35)</f>
        <v/>
      </c>
      <c r="H447">
        <f>IF(E447="","",F447*G447)</f>
        <v/>
      </c>
      <c r="I447">
        <f>IF(E447="","",IFERROR(VLOOKUP(E447,'Master Inventory'!$A$4:$J$69,10,FALSE),0))</f>
        <v/>
      </c>
      <c r="J447">
        <f>IF(E447="","",SUMIFS(Reservations!$G:$G,Reservations!$D:$D,A447,Reservations!$E:$E,E447,Reservations!$H:$H,"Active"))</f>
        <v/>
      </c>
      <c r="K447">
        <f>IF(E447="","",MAX(0,H447-I447-J447))</f>
        <v/>
      </c>
    </row>
    <row r="448">
      <c r="A448">
        <f>'Job Cards'!A35</f>
        <v/>
      </c>
      <c r="B448">
        <f>IF(A448="","",'Job Cards'!B35)</f>
        <v/>
      </c>
      <c r="C448">
        <f>IF(A448="","",'Job Cards'!D35)</f>
        <v/>
      </c>
      <c r="D448">
        <f>IF(A448="","",'BOM Mapping'!A14)</f>
        <v/>
      </c>
      <c r="E448">
        <f>IF(A448="","",IF(C448="Longitude",'BOM Mapping'!C14,IF(C448="Latitude",'BOM Mapping'!D14,IF(C448="Altitude",'BOM Mapping'!E14,""))))</f>
        <v/>
      </c>
      <c r="F448">
        <f>IF(A448="","",'BOM Mapping'!F14)</f>
        <v/>
      </c>
      <c r="G448">
        <f>IF(A448="","",'Job Cards'!E35)</f>
        <v/>
      </c>
      <c r="H448">
        <f>IF(E448="","",F448*G448)</f>
        <v/>
      </c>
      <c r="I448">
        <f>IF(E448="","",IFERROR(VLOOKUP(E448,'Master Inventory'!$A$4:$J$69,10,FALSE),0))</f>
        <v/>
      </c>
      <c r="J448">
        <f>IF(E448="","",SUMIFS(Reservations!$G:$G,Reservations!$D:$D,A448,Reservations!$E:$E,E448,Reservations!$H:$H,"Active"))</f>
        <v/>
      </c>
      <c r="K448">
        <f>IF(E448="","",MAX(0,H448-I448-J448))</f>
        <v/>
      </c>
    </row>
    <row r="449">
      <c r="A449">
        <f>'Job Cards'!A35</f>
        <v/>
      </c>
      <c r="B449">
        <f>IF(A449="","",'Job Cards'!B35)</f>
        <v/>
      </c>
      <c r="C449">
        <f>IF(A449="","",'Job Cards'!D35)</f>
        <v/>
      </c>
      <c r="D449">
        <f>IF(A449="","",'BOM Mapping'!A15)</f>
        <v/>
      </c>
      <c r="E449">
        <f>IF(A449="","",IF(C449="Longitude",'BOM Mapping'!C15,IF(C449="Latitude",'BOM Mapping'!D15,IF(C449="Altitude",'BOM Mapping'!E15,""))))</f>
        <v/>
      </c>
      <c r="F449">
        <f>IF(A449="","",'BOM Mapping'!F15)</f>
        <v/>
      </c>
      <c r="G449">
        <f>IF(A449="","",'Job Cards'!E35)</f>
        <v/>
      </c>
      <c r="H449">
        <f>IF(E449="","",F449*G449)</f>
        <v/>
      </c>
      <c r="I449">
        <f>IF(E449="","",IFERROR(VLOOKUP(E449,'Master Inventory'!$A$4:$J$69,10,FALSE),0))</f>
        <v/>
      </c>
      <c r="J449">
        <f>IF(E449="","",SUMIFS(Reservations!$G:$G,Reservations!$D:$D,A449,Reservations!$E:$E,E449,Reservations!$H:$H,"Active"))</f>
        <v/>
      </c>
      <c r="K449">
        <f>IF(E449="","",MAX(0,H449-I449-J449))</f>
        <v/>
      </c>
    </row>
    <row r="450">
      <c r="A450">
        <f>'Job Cards'!A35</f>
        <v/>
      </c>
      <c r="B450">
        <f>IF(A450="","",'Job Cards'!B35)</f>
        <v/>
      </c>
      <c r="C450">
        <f>IF(A450="","",'Job Cards'!D35)</f>
        <v/>
      </c>
      <c r="D450">
        <f>IF(A450="","",'BOM Mapping'!A16)</f>
        <v/>
      </c>
      <c r="E450">
        <f>IF(A450="","",IF(C450="Longitude",'BOM Mapping'!C16,IF(C450="Latitude",'BOM Mapping'!D16,IF(C450="Altitude",'BOM Mapping'!E16,""))))</f>
        <v/>
      </c>
      <c r="F450">
        <f>IF(A450="","",'BOM Mapping'!F16)</f>
        <v/>
      </c>
      <c r="G450">
        <f>IF(A450="","",'Job Cards'!E35)</f>
        <v/>
      </c>
      <c r="H450">
        <f>IF(E450="","",F450*G450)</f>
        <v/>
      </c>
      <c r="I450">
        <f>IF(E450="","",IFERROR(VLOOKUP(E450,'Master Inventory'!$A$4:$J$69,10,FALSE),0))</f>
        <v/>
      </c>
      <c r="J450">
        <f>IF(E450="","",SUMIFS(Reservations!$G:$G,Reservations!$D:$D,A450,Reservations!$E:$E,E450,Reservations!$H:$H,"Active"))</f>
        <v/>
      </c>
      <c r="K450">
        <f>IF(E450="","",MAX(0,H450-I450-J450))</f>
        <v/>
      </c>
    </row>
    <row r="451">
      <c r="A451">
        <f>'Job Cards'!A35</f>
        <v/>
      </c>
      <c r="B451">
        <f>IF(A451="","",'Job Cards'!B35)</f>
        <v/>
      </c>
      <c r="C451">
        <f>IF(A451="","",'Job Cards'!D35)</f>
        <v/>
      </c>
      <c r="D451">
        <f>IF(A451="","",'BOM Mapping'!A17)</f>
        <v/>
      </c>
      <c r="E451">
        <f>IF(A451="","",IF(C451="Longitude",'BOM Mapping'!C17,IF(C451="Latitude",'BOM Mapping'!D17,IF(C451="Altitude",'BOM Mapping'!E17,""))))</f>
        <v/>
      </c>
      <c r="F451">
        <f>IF(A451="","",'BOM Mapping'!F17)</f>
        <v/>
      </c>
      <c r="G451">
        <f>IF(A451="","",'Job Cards'!E35)</f>
        <v/>
      </c>
      <c r="H451">
        <f>IF(E451="","",F451*G451)</f>
        <v/>
      </c>
      <c r="I451">
        <f>IF(E451="","",IFERROR(VLOOKUP(E451,'Master Inventory'!$A$4:$J$69,10,FALSE),0))</f>
        <v/>
      </c>
      <c r="J451">
        <f>IF(E451="","",SUMIFS(Reservations!$G:$G,Reservations!$D:$D,A451,Reservations!$E:$E,E451,Reservations!$H:$H,"Active"))</f>
        <v/>
      </c>
      <c r="K451">
        <f>IF(E451="","",MAX(0,H451-I451-J451))</f>
        <v/>
      </c>
    </row>
    <row r="452">
      <c r="A452">
        <f>'Job Cards'!A36</f>
        <v/>
      </c>
      <c r="B452">
        <f>IF(A452="","",'Job Cards'!B36)</f>
        <v/>
      </c>
      <c r="C452">
        <f>IF(A452="","",'Job Cards'!D36)</f>
        <v/>
      </c>
      <c r="D452">
        <f>IF(A452="","",'BOM Mapping'!A4)</f>
        <v/>
      </c>
      <c r="E452">
        <f>IF(A452="","",IF(C452="Longitude",'BOM Mapping'!C4,IF(C452="Latitude",'BOM Mapping'!D4,IF(C452="Altitude",'BOM Mapping'!E4,""))))</f>
        <v/>
      </c>
      <c r="F452">
        <f>IF(A452="","",'BOM Mapping'!F4)</f>
        <v/>
      </c>
      <c r="G452">
        <f>IF(A452="","",'Job Cards'!E36)</f>
        <v/>
      </c>
      <c r="H452">
        <f>IF(A452="","",F452*G452)</f>
        <v/>
      </c>
      <c r="I452">
        <f>IF(E452="","",IFERROR(VLOOKUP(E452,'Master Inventory'!$A$4:$J$69,10,FALSE),0))</f>
        <v/>
      </c>
      <c r="J452">
        <f>IF(A452="","",MAX(0,H452-I452))</f>
        <v/>
      </c>
      <c r="K452">
        <f>IF(A452="","",IF(J452&gt;0,"SHORTAGE","READY TO RESERVE"))</f>
        <v/>
      </c>
    </row>
    <row r="453">
      <c r="A453">
        <f>'Job Cards'!A36</f>
        <v/>
      </c>
      <c r="B453">
        <f>IF(A453="","",'Job Cards'!B36)</f>
        <v/>
      </c>
      <c r="C453">
        <f>IF(A453="","",'Job Cards'!D36)</f>
        <v/>
      </c>
      <c r="D453">
        <f>IF(A453="","",'BOM Mapping'!A5)</f>
        <v/>
      </c>
      <c r="E453">
        <f>IF(A453="","",IF(C453="Longitude",'BOM Mapping'!C5,IF(C453="Latitude",'BOM Mapping'!D5,IF(C453="Altitude",'BOM Mapping'!E5,""))))</f>
        <v/>
      </c>
      <c r="F453">
        <f>IF(A453="","",'BOM Mapping'!F5)</f>
        <v/>
      </c>
      <c r="G453">
        <f>IF(A453="","",'Job Cards'!E36)</f>
        <v/>
      </c>
      <c r="H453">
        <f>IF(A453="","",F453*G453)</f>
        <v/>
      </c>
      <c r="I453">
        <f>IF(E453="","",IFERROR(VLOOKUP(E453,'Master Inventory'!$A$4:$J$69,10,FALSE),0))</f>
        <v/>
      </c>
      <c r="J453">
        <f>IF(A453="","",MAX(0,H453-I453))</f>
        <v/>
      </c>
      <c r="K453">
        <f>IF(A453="","",IF(J453&gt;0,"SHORTAGE","READY TO RESERVE"))</f>
        <v/>
      </c>
    </row>
    <row r="454">
      <c r="A454">
        <f>'Job Cards'!A36</f>
        <v/>
      </c>
      <c r="B454">
        <f>IF(A454="","",'Job Cards'!B36)</f>
        <v/>
      </c>
      <c r="C454">
        <f>IF(A454="","",'Job Cards'!D36)</f>
        <v/>
      </c>
      <c r="D454">
        <f>IF(A454="","",'BOM Mapping'!A6)</f>
        <v/>
      </c>
      <c r="E454">
        <f>IF(A454="","",IF(C454="Longitude",'BOM Mapping'!C6,IF(C454="Latitude",'BOM Mapping'!D6,IF(C454="Altitude",'BOM Mapping'!E6,""))))</f>
        <v/>
      </c>
      <c r="F454">
        <f>IF(A454="","",'BOM Mapping'!F6)</f>
        <v/>
      </c>
      <c r="G454">
        <f>IF(A454="","",'Job Cards'!E36)</f>
        <v/>
      </c>
      <c r="H454">
        <f>IF(A454="","",F454*G454)</f>
        <v/>
      </c>
      <c r="I454">
        <f>IF(E454="","",IFERROR(VLOOKUP(E454,'Master Inventory'!$A$4:$J$69,10,FALSE),0))</f>
        <v/>
      </c>
      <c r="J454">
        <f>IF(A454="","",MAX(0,H454-I454))</f>
        <v/>
      </c>
      <c r="K454">
        <f>IF(A454="","",IF(J454&gt;0,"SHORTAGE","READY TO RESERVE"))</f>
        <v/>
      </c>
    </row>
    <row r="455">
      <c r="A455">
        <f>'Job Cards'!A36</f>
        <v/>
      </c>
      <c r="B455">
        <f>IF(A455="","",'Job Cards'!B36)</f>
        <v/>
      </c>
      <c r="C455">
        <f>IF(A455="","",'Job Cards'!D36)</f>
        <v/>
      </c>
      <c r="D455">
        <f>IF(A455="","",'BOM Mapping'!A7)</f>
        <v/>
      </c>
      <c r="E455">
        <f>IF(A455="","",IF(C455="Longitude",'BOM Mapping'!C7,IF(C455="Latitude",'BOM Mapping'!D7,IF(C455="Altitude",'BOM Mapping'!E7,""))))</f>
        <v/>
      </c>
      <c r="F455">
        <f>IF(A455="","",'BOM Mapping'!F7)</f>
        <v/>
      </c>
      <c r="G455">
        <f>IF(A455="","",'Job Cards'!E36)</f>
        <v/>
      </c>
      <c r="H455">
        <f>IF(A455="","",F455*G455)</f>
        <v/>
      </c>
      <c r="I455">
        <f>IF(E455="","",IFERROR(VLOOKUP(E455,'Master Inventory'!$A$4:$J$69,10,FALSE),0))</f>
        <v/>
      </c>
      <c r="J455">
        <f>IF(A455="","",MAX(0,H455-I455))</f>
        <v/>
      </c>
      <c r="K455">
        <f>IF(A455="","",IF(J455&gt;0,"SHORTAGE","READY TO RESERVE"))</f>
        <v/>
      </c>
    </row>
    <row r="456">
      <c r="A456">
        <f>'Job Cards'!A36</f>
        <v/>
      </c>
      <c r="B456">
        <f>IF(A456="","",'Job Cards'!B36)</f>
        <v/>
      </c>
      <c r="C456">
        <f>IF(A456="","",'Job Cards'!D36)</f>
        <v/>
      </c>
      <c r="D456">
        <f>IF(A456="","",'BOM Mapping'!A8)</f>
        <v/>
      </c>
      <c r="E456">
        <f>IF(A456="","",IF(C456="Longitude",'BOM Mapping'!C8,IF(C456="Latitude",'BOM Mapping'!D8,IF(C456="Altitude",'BOM Mapping'!E8,""))))</f>
        <v/>
      </c>
      <c r="F456">
        <f>IF(A456="","",'BOM Mapping'!F8)</f>
        <v/>
      </c>
      <c r="G456">
        <f>IF(A456="","",'Job Cards'!E36)</f>
        <v/>
      </c>
      <c r="H456">
        <f>IF(A456="","",F456*G456)</f>
        <v/>
      </c>
      <c r="I456">
        <f>IF(E456="","",IFERROR(VLOOKUP(E456,'Master Inventory'!$A$4:$J$69,10,FALSE),0))</f>
        <v/>
      </c>
      <c r="J456">
        <f>IF(A456="","",MAX(0,H456-I456))</f>
        <v/>
      </c>
      <c r="K456">
        <f>IF(A456="","",IF(J456&gt;0,"SHORTAGE","READY TO RESERVE"))</f>
        <v/>
      </c>
    </row>
    <row r="457">
      <c r="A457">
        <f>'Job Cards'!A36</f>
        <v/>
      </c>
      <c r="B457">
        <f>IF(A457="","",'Job Cards'!B36)</f>
        <v/>
      </c>
      <c r="C457">
        <f>IF(A457="","",'Job Cards'!D36)</f>
        <v/>
      </c>
      <c r="D457">
        <f>IF(A457="","",'BOM Mapping'!A9)</f>
        <v/>
      </c>
      <c r="E457">
        <f>IF(A457="","",IF(C457="Longitude",'BOM Mapping'!C9,IF(C457="Latitude",'BOM Mapping'!D9,IF(C457="Altitude",'BOM Mapping'!E9,""))))</f>
        <v/>
      </c>
      <c r="F457">
        <f>IF(A457="","",'BOM Mapping'!F9)</f>
        <v/>
      </c>
      <c r="G457">
        <f>IF(A457="","",'Job Cards'!E36)</f>
        <v/>
      </c>
      <c r="H457">
        <f>IF(A457="","",F457*G457)</f>
        <v/>
      </c>
      <c r="I457">
        <f>IF(E457="","",IFERROR(VLOOKUP(E457,'Master Inventory'!$A$4:$J$69,10,FALSE),0))</f>
        <v/>
      </c>
      <c r="J457">
        <f>IF(A457="","",MAX(0,H457-I457))</f>
        <v/>
      </c>
      <c r="K457">
        <f>IF(A457="","",IF(J457&gt;0,"SHORTAGE","READY TO RESERVE"))</f>
        <v/>
      </c>
    </row>
    <row r="458">
      <c r="A458">
        <f>'Job Cards'!A36</f>
        <v/>
      </c>
      <c r="B458">
        <f>IF(A458="","",'Job Cards'!B36)</f>
        <v/>
      </c>
      <c r="C458">
        <f>IF(A458="","",'Job Cards'!D36)</f>
        <v/>
      </c>
      <c r="D458">
        <f>IF(A458="","",'BOM Mapping'!A10)</f>
        <v/>
      </c>
      <c r="E458">
        <f>IF(A458="","",IF(C458="Longitude",'BOM Mapping'!C10,IF(C458="Latitude",'BOM Mapping'!D10,IF(C458="Altitude",'BOM Mapping'!E10,""))))</f>
        <v/>
      </c>
      <c r="F458">
        <f>IF(A458="","",'BOM Mapping'!F10)</f>
        <v/>
      </c>
      <c r="G458">
        <f>IF(A458="","",'Job Cards'!E36)</f>
        <v/>
      </c>
      <c r="H458">
        <f>IF(A458="","",F458*G458)</f>
        <v/>
      </c>
      <c r="I458">
        <f>IF(E458="","",IFERROR(VLOOKUP(E458,'Master Inventory'!$A$4:$J$69,10,FALSE),0))</f>
        <v/>
      </c>
      <c r="J458">
        <f>IF(A458="","",MAX(0,H458-I458))</f>
        <v/>
      </c>
      <c r="K458">
        <f>IF(A458="","",IF(J458&gt;0,"SHORTAGE","READY TO RESERVE"))</f>
        <v/>
      </c>
    </row>
    <row r="459">
      <c r="A459">
        <f>'Job Cards'!A36</f>
        <v/>
      </c>
      <c r="B459">
        <f>IF(A459="","",'Job Cards'!B36)</f>
        <v/>
      </c>
      <c r="C459">
        <f>IF(A459="","",'Job Cards'!D36)</f>
        <v/>
      </c>
      <c r="D459">
        <f>IF(A459="","",'BOM Mapping'!A11)</f>
        <v/>
      </c>
      <c r="E459">
        <f>IF(A459="","",IF(C459="Longitude",'BOM Mapping'!C11,IF(C459="Latitude",'BOM Mapping'!D11,IF(C459="Altitude",'BOM Mapping'!E11,""))))</f>
        <v/>
      </c>
      <c r="F459">
        <f>IF(A459="","",'BOM Mapping'!F11)</f>
        <v/>
      </c>
      <c r="G459">
        <f>IF(A459="","",'Job Cards'!E36)</f>
        <v/>
      </c>
      <c r="H459">
        <f>IF(A459="","",F459*G459)</f>
        <v/>
      </c>
      <c r="I459">
        <f>IF(E459="","",IFERROR(VLOOKUP(E459,'Master Inventory'!$A$4:$J$69,10,FALSE),0))</f>
        <v/>
      </c>
      <c r="J459">
        <f>IF(A459="","",MAX(0,H459-I459))</f>
        <v/>
      </c>
      <c r="K459">
        <f>IF(A459="","",IF(J459&gt;0,"SHORTAGE","READY TO RESERVE"))</f>
        <v/>
      </c>
    </row>
    <row r="460">
      <c r="A460">
        <f>'Job Cards'!A36</f>
        <v/>
      </c>
      <c r="B460">
        <f>IF(A460="","",'Job Cards'!B36)</f>
        <v/>
      </c>
      <c r="C460">
        <f>IF(A460="","",'Job Cards'!D36)</f>
        <v/>
      </c>
      <c r="D460">
        <f>IF(A460="","",'BOM Mapping'!A12)</f>
        <v/>
      </c>
      <c r="E460">
        <f>IF(A460="","",IF(C460="Longitude",'BOM Mapping'!C12,IF(C460="Latitude",'BOM Mapping'!D12,IF(C460="Altitude",'BOM Mapping'!E12,""))))</f>
        <v/>
      </c>
      <c r="F460">
        <f>IF(A460="","",'BOM Mapping'!F12)</f>
        <v/>
      </c>
      <c r="G460">
        <f>IF(A460="","",'Job Cards'!E36)</f>
        <v/>
      </c>
      <c r="H460">
        <f>IF(A460="","",F460*G460)</f>
        <v/>
      </c>
      <c r="I460">
        <f>IF(E460="","",IFERROR(VLOOKUP(E460,'Master Inventory'!$A$4:$J$69,10,FALSE),0))</f>
        <v/>
      </c>
      <c r="J460">
        <f>IF(A460="","",MAX(0,H460-I460))</f>
        <v/>
      </c>
      <c r="K460">
        <f>IF(A460="","",IF(J460&gt;0,"SHORTAGE","READY TO RESERVE"))</f>
        <v/>
      </c>
    </row>
    <row r="461">
      <c r="A461">
        <f>'Job Cards'!A36</f>
        <v/>
      </c>
      <c r="B461">
        <f>IF(A461="","",'Job Cards'!B36)</f>
        <v/>
      </c>
      <c r="C461">
        <f>IF(A461="","",'Job Cards'!D36)</f>
        <v/>
      </c>
      <c r="D461">
        <f>IF(A461="","",'BOM Mapping'!A13)</f>
        <v/>
      </c>
      <c r="E461">
        <f>IF(A461="","",IF(C461="Longitude",'BOM Mapping'!C13,IF(C461="Latitude",'BOM Mapping'!D13,IF(C461="Altitude",'BOM Mapping'!E13,""))))</f>
        <v/>
      </c>
      <c r="F461">
        <f>IF(A461="","",'BOM Mapping'!F13)</f>
        <v/>
      </c>
      <c r="G461">
        <f>IF(A461="","",'Job Cards'!E36)</f>
        <v/>
      </c>
      <c r="H461">
        <f>IF(A461="","",F461*G461)</f>
        <v/>
      </c>
      <c r="I461">
        <f>IF(E461="","",IFERROR(VLOOKUP(E461,'Master Inventory'!$A$4:$J$69,10,FALSE),0))</f>
        <v/>
      </c>
      <c r="J461">
        <f>IF(A461="","",MAX(0,H461-I461))</f>
        <v/>
      </c>
      <c r="K461">
        <f>IF(A461="","",IF(J461&gt;0,"SHORTAGE","READY TO RESERVE"))</f>
        <v/>
      </c>
    </row>
    <row r="462">
      <c r="A462">
        <f>'Job Cards'!A36</f>
        <v/>
      </c>
      <c r="B462">
        <f>IF(A462="","",'Job Cards'!B36)</f>
        <v/>
      </c>
      <c r="C462">
        <f>IF(A462="","",'Job Cards'!D36)</f>
        <v/>
      </c>
      <c r="D462">
        <f>IF(A462="","",'BOM Mapping'!A14)</f>
        <v/>
      </c>
      <c r="E462">
        <f>IF(A462="","",IF(C462="Longitude",'BOM Mapping'!C14,IF(C462="Latitude",'BOM Mapping'!D14,IF(C462="Altitude",'BOM Mapping'!E14,""))))</f>
        <v/>
      </c>
      <c r="F462">
        <f>IF(A462="","",'BOM Mapping'!F14)</f>
        <v/>
      </c>
      <c r="G462">
        <f>IF(A462="","",'Job Cards'!E36)</f>
        <v/>
      </c>
      <c r="H462">
        <f>IF(A462="","",F462*G462)</f>
        <v/>
      </c>
      <c r="I462">
        <f>IF(E462="","",IFERROR(VLOOKUP(E462,'Master Inventory'!$A$4:$J$69,10,FALSE),0))</f>
        <v/>
      </c>
      <c r="J462">
        <f>IF(A462="","",MAX(0,H462-I462))</f>
        <v/>
      </c>
      <c r="K462">
        <f>IF(A462="","",IF(J462&gt;0,"SHORTAGE","READY TO RESERVE"))</f>
        <v/>
      </c>
    </row>
    <row r="463">
      <c r="A463">
        <f>'Job Cards'!A36</f>
        <v/>
      </c>
      <c r="B463">
        <f>IF(A463="","",'Job Cards'!B36)</f>
        <v/>
      </c>
      <c r="C463">
        <f>IF(A463="","",'Job Cards'!D36)</f>
        <v/>
      </c>
      <c r="D463">
        <f>IF(A463="","",'BOM Mapping'!A15)</f>
        <v/>
      </c>
      <c r="E463">
        <f>IF(A463="","",IF(C463="Longitude",'BOM Mapping'!C15,IF(C463="Latitude",'BOM Mapping'!D15,IF(C463="Altitude",'BOM Mapping'!E15,""))))</f>
        <v/>
      </c>
      <c r="F463">
        <f>IF(A463="","",'BOM Mapping'!F15)</f>
        <v/>
      </c>
      <c r="G463">
        <f>IF(A463="","",'Job Cards'!E36)</f>
        <v/>
      </c>
      <c r="H463">
        <f>IF(A463="","",F463*G463)</f>
        <v/>
      </c>
      <c r="I463">
        <f>IF(E463="","",IFERROR(VLOOKUP(E463,'Master Inventory'!$A$4:$J$69,10,FALSE),0))</f>
        <v/>
      </c>
      <c r="J463">
        <f>IF(A463="","",MAX(0,H463-I463))</f>
        <v/>
      </c>
      <c r="K463">
        <f>IF(A463="","",IF(J463&gt;0,"SHORTAGE","READY TO RESERVE"))</f>
        <v/>
      </c>
    </row>
    <row r="464">
      <c r="A464">
        <f>'Job Cards'!A36</f>
        <v/>
      </c>
      <c r="B464">
        <f>IF(A464="","",'Job Cards'!B36)</f>
        <v/>
      </c>
      <c r="C464">
        <f>IF(A464="","",'Job Cards'!D36)</f>
        <v/>
      </c>
      <c r="D464">
        <f>IF(A464="","",'BOM Mapping'!A16)</f>
        <v/>
      </c>
      <c r="E464">
        <f>IF(A464="","",IF(C464="Longitude",'BOM Mapping'!C16,IF(C464="Latitude",'BOM Mapping'!D16,IF(C464="Altitude",'BOM Mapping'!E16,""))))</f>
        <v/>
      </c>
      <c r="F464">
        <f>IF(A464="","",'BOM Mapping'!F16)</f>
        <v/>
      </c>
      <c r="G464">
        <f>IF(A464="","",'Job Cards'!E36)</f>
        <v/>
      </c>
      <c r="H464">
        <f>IF(A464="","",F464*G464)</f>
        <v/>
      </c>
      <c r="I464">
        <f>IF(E464="","",IFERROR(VLOOKUP(E464,'Master Inventory'!$A$4:$J$69,10,FALSE),0))</f>
        <v/>
      </c>
      <c r="J464">
        <f>IF(A464="","",MAX(0,H464-I464))</f>
        <v/>
      </c>
      <c r="K464">
        <f>IF(A464="","",IF(J464&gt;0,"SHORTAGE","READY TO RESERVE"))</f>
        <v/>
      </c>
    </row>
    <row r="465">
      <c r="A465">
        <f>'Job Cards'!A36</f>
        <v/>
      </c>
      <c r="B465">
        <f>IF(A465="","",'Job Cards'!B36)</f>
        <v/>
      </c>
      <c r="C465">
        <f>IF(A465="","",'Job Cards'!D36)</f>
        <v/>
      </c>
      <c r="D465">
        <f>IF(A465="","",'BOM Mapping'!A17)</f>
        <v/>
      </c>
      <c r="E465">
        <f>IF(A465="","",IF(C465="Longitude",'BOM Mapping'!C17,IF(C465="Latitude",'BOM Mapping'!D17,IF(C465="Altitude",'BOM Mapping'!E17,""))))</f>
        <v/>
      </c>
      <c r="F465">
        <f>IF(A465="","",'BOM Mapping'!F17)</f>
        <v/>
      </c>
      <c r="G465">
        <f>IF(A465="","",'Job Cards'!E36)</f>
        <v/>
      </c>
      <c r="H465">
        <f>IF(A465="","",F465*G465)</f>
        <v/>
      </c>
      <c r="I465">
        <f>IF(E465="","",IFERROR(VLOOKUP(E465,'Master Inventory'!$A$4:$J$69,10,FALSE),0))</f>
        <v/>
      </c>
      <c r="J465">
        <f>IF(A465="","",MAX(0,H465-I465))</f>
        <v/>
      </c>
      <c r="K465">
        <f>IF(A465="","",IF(J465&gt;0,"SHORTAGE","READY TO RESERVE"))</f>
        <v/>
      </c>
    </row>
    <row r="466">
      <c r="A466">
        <f>'Job Cards'!A37</f>
        <v/>
      </c>
      <c r="B466">
        <f>IF(A466="","",'Job Cards'!B37)</f>
        <v/>
      </c>
      <c r="C466">
        <f>IF(A466="","",'Job Cards'!D37)</f>
        <v/>
      </c>
      <c r="D466">
        <f>IF(A466="","",'BOM Mapping'!A4)</f>
        <v/>
      </c>
      <c r="E466">
        <f>IF(A466="","",IF(C466="Longitude",'BOM Mapping'!C4,IF(C466="Latitude",'BOM Mapping'!D4,IF(C466="Altitude",'BOM Mapping'!E4,""))))</f>
        <v/>
      </c>
      <c r="F466">
        <f>IF(A466="","",'BOM Mapping'!F4)</f>
        <v/>
      </c>
      <c r="G466">
        <f>IF(A466="","",'Job Cards'!E37)</f>
        <v/>
      </c>
      <c r="H466">
        <f>IF(A466="","",F466*G466)</f>
        <v/>
      </c>
      <c r="I466">
        <f>IF(E466="","",IFERROR(VLOOKUP(E466,'Master Inventory'!$A$4:$J$69,10,FALSE),0))</f>
        <v/>
      </c>
      <c r="J466">
        <f>IF(A466="","",MAX(0,H466-I466))</f>
        <v/>
      </c>
      <c r="K466">
        <f>IF(A466="","",IF(J466&gt;0,"SHORTAGE","READY TO RESERVE"))</f>
        <v/>
      </c>
    </row>
    <row r="467">
      <c r="A467">
        <f>'Job Cards'!A37</f>
        <v/>
      </c>
      <c r="B467">
        <f>IF(A467="","",'Job Cards'!B37)</f>
        <v/>
      </c>
      <c r="C467">
        <f>IF(A467="","",'Job Cards'!D37)</f>
        <v/>
      </c>
      <c r="D467">
        <f>IF(A467="","",'BOM Mapping'!A5)</f>
        <v/>
      </c>
      <c r="E467">
        <f>IF(A467="","",IF(C467="Longitude",'BOM Mapping'!C5,IF(C467="Latitude",'BOM Mapping'!D5,IF(C467="Altitude",'BOM Mapping'!E5,""))))</f>
        <v/>
      </c>
      <c r="F467">
        <f>IF(A467="","",'BOM Mapping'!F5)</f>
        <v/>
      </c>
      <c r="G467">
        <f>IF(A467="","",'Job Cards'!E37)</f>
        <v/>
      </c>
      <c r="H467">
        <f>IF(A467="","",F467*G467)</f>
        <v/>
      </c>
      <c r="I467">
        <f>IF(E467="","",IFERROR(VLOOKUP(E467,'Master Inventory'!$A$4:$J$69,10,FALSE),0))</f>
        <v/>
      </c>
      <c r="J467">
        <f>IF(A467="","",MAX(0,H467-I467))</f>
        <v/>
      </c>
      <c r="K467">
        <f>IF(A467="","",IF(J467&gt;0,"SHORTAGE","READY TO RESERVE"))</f>
        <v/>
      </c>
    </row>
    <row r="468">
      <c r="A468">
        <f>'Job Cards'!A37</f>
        <v/>
      </c>
      <c r="B468">
        <f>IF(A468="","",'Job Cards'!B37)</f>
        <v/>
      </c>
      <c r="C468">
        <f>IF(A468="","",'Job Cards'!D37)</f>
        <v/>
      </c>
      <c r="D468">
        <f>IF(A468="","",'BOM Mapping'!A6)</f>
        <v/>
      </c>
      <c r="E468">
        <f>IF(A468="","",IF(C468="Longitude",'BOM Mapping'!C6,IF(C468="Latitude",'BOM Mapping'!D6,IF(C468="Altitude",'BOM Mapping'!E6,""))))</f>
        <v/>
      </c>
      <c r="F468">
        <f>IF(A468="","",'BOM Mapping'!F6)</f>
        <v/>
      </c>
      <c r="G468">
        <f>IF(A468="","",'Job Cards'!E37)</f>
        <v/>
      </c>
      <c r="H468">
        <f>IF(A468="","",F468*G468)</f>
        <v/>
      </c>
      <c r="I468">
        <f>IF(E468="","",IFERROR(VLOOKUP(E468,'Master Inventory'!$A$4:$J$69,10,FALSE),0))</f>
        <v/>
      </c>
      <c r="J468">
        <f>IF(A468="","",MAX(0,H468-I468))</f>
        <v/>
      </c>
      <c r="K468">
        <f>IF(A468="","",IF(J468&gt;0,"SHORTAGE","READY TO RESERVE"))</f>
        <v/>
      </c>
    </row>
    <row r="469">
      <c r="A469">
        <f>'Job Cards'!A37</f>
        <v/>
      </c>
      <c r="B469">
        <f>IF(A469="","",'Job Cards'!B37)</f>
        <v/>
      </c>
      <c r="C469">
        <f>IF(A469="","",'Job Cards'!D37)</f>
        <v/>
      </c>
      <c r="D469">
        <f>IF(A469="","",'BOM Mapping'!A7)</f>
        <v/>
      </c>
      <c r="E469">
        <f>IF(A469="","",IF(C469="Longitude",'BOM Mapping'!C7,IF(C469="Latitude",'BOM Mapping'!D7,IF(C469="Altitude",'BOM Mapping'!E7,""))))</f>
        <v/>
      </c>
      <c r="F469">
        <f>IF(A469="","",'BOM Mapping'!F7)</f>
        <v/>
      </c>
      <c r="G469">
        <f>IF(A469="","",'Job Cards'!E37)</f>
        <v/>
      </c>
      <c r="H469">
        <f>IF(A469="","",F469*G469)</f>
        <v/>
      </c>
      <c r="I469">
        <f>IF(E469="","",IFERROR(VLOOKUP(E469,'Master Inventory'!$A$4:$J$69,10,FALSE),0))</f>
        <v/>
      </c>
      <c r="J469">
        <f>IF(A469="","",MAX(0,H469-I469))</f>
        <v/>
      </c>
      <c r="K469">
        <f>IF(A469="","",IF(J469&gt;0,"SHORTAGE","READY TO RESERVE"))</f>
        <v/>
      </c>
    </row>
    <row r="470">
      <c r="A470">
        <f>'Job Cards'!A37</f>
        <v/>
      </c>
      <c r="B470">
        <f>IF(A470="","",'Job Cards'!B37)</f>
        <v/>
      </c>
      <c r="C470">
        <f>IF(A470="","",'Job Cards'!D37)</f>
        <v/>
      </c>
      <c r="D470">
        <f>IF(A470="","",'BOM Mapping'!A8)</f>
        <v/>
      </c>
      <c r="E470">
        <f>IF(A470="","",IF(C470="Longitude",'BOM Mapping'!C8,IF(C470="Latitude",'BOM Mapping'!D8,IF(C470="Altitude",'BOM Mapping'!E8,""))))</f>
        <v/>
      </c>
      <c r="F470">
        <f>IF(A470="","",'BOM Mapping'!F8)</f>
        <v/>
      </c>
      <c r="G470">
        <f>IF(A470="","",'Job Cards'!E37)</f>
        <v/>
      </c>
      <c r="H470">
        <f>IF(A470="","",F470*G470)</f>
        <v/>
      </c>
      <c r="I470">
        <f>IF(E470="","",IFERROR(VLOOKUP(E470,'Master Inventory'!$A$4:$J$69,10,FALSE),0))</f>
        <v/>
      </c>
      <c r="J470">
        <f>IF(A470="","",MAX(0,H470-I470))</f>
        <v/>
      </c>
      <c r="K470">
        <f>IF(A470="","",IF(J470&gt;0,"SHORTAGE","READY TO RESERVE"))</f>
        <v/>
      </c>
    </row>
    <row r="471">
      <c r="A471">
        <f>'Job Cards'!A37</f>
        <v/>
      </c>
      <c r="B471">
        <f>IF(A471="","",'Job Cards'!B37)</f>
        <v/>
      </c>
      <c r="C471">
        <f>IF(A471="","",'Job Cards'!D37)</f>
        <v/>
      </c>
      <c r="D471">
        <f>IF(A471="","",'BOM Mapping'!A9)</f>
        <v/>
      </c>
      <c r="E471">
        <f>IF(A471="","",IF(C471="Longitude",'BOM Mapping'!C9,IF(C471="Latitude",'BOM Mapping'!D9,IF(C471="Altitude",'BOM Mapping'!E9,""))))</f>
        <v/>
      </c>
      <c r="F471">
        <f>IF(A471="","",'BOM Mapping'!F9)</f>
        <v/>
      </c>
      <c r="G471">
        <f>IF(A471="","",'Job Cards'!E37)</f>
        <v/>
      </c>
      <c r="H471">
        <f>IF(A471="","",F471*G471)</f>
        <v/>
      </c>
      <c r="I471">
        <f>IF(E471="","",IFERROR(VLOOKUP(E471,'Master Inventory'!$A$4:$J$69,10,FALSE),0))</f>
        <v/>
      </c>
      <c r="J471">
        <f>IF(A471="","",MAX(0,H471-I471))</f>
        <v/>
      </c>
      <c r="K471">
        <f>IF(A471="","",IF(J471&gt;0,"SHORTAGE","READY TO RESERVE"))</f>
        <v/>
      </c>
    </row>
    <row r="472">
      <c r="A472">
        <f>'Job Cards'!A37</f>
        <v/>
      </c>
      <c r="B472">
        <f>IF(A472="","",'Job Cards'!B37)</f>
        <v/>
      </c>
      <c r="C472">
        <f>IF(A472="","",'Job Cards'!D37)</f>
        <v/>
      </c>
      <c r="D472">
        <f>IF(A472="","",'BOM Mapping'!A10)</f>
        <v/>
      </c>
      <c r="E472">
        <f>IF(A472="","",IF(C472="Longitude",'BOM Mapping'!C10,IF(C472="Latitude",'BOM Mapping'!D10,IF(C472="Altitude",'BOM Mapping'!E10,""))))</f>
        <v/>
      </c>
      <c r="F472">
        <f>IF(A472="","",'BOM Mapping'!F10)</f>
        <v/>
      </c>
      <c r="G472">
        <f>IF(A472="","",'Job Cards'!E37)</f>
        <v/>
      </c>
      <c r="H472">
        <f>IF(A472="","",F472*G472)</f>
        <v/>
      </c>
      <c r="I472">
        <f>IF(E472="","",IFERROR(VLOOKUP(E472,'Master Inventory'!$A$4:$J$69,10,FALSE),0))</f>
        <v/>
      </c>
      <c r="J472">
        <f>IF(A472="","",MAX(0,H472-I472))</f>
        <v/>
      </c>
      <c r="K472">
        <f>IF(A472="","",IF(J472&gt;0,"SHORTAGE","READY TO RESERVE"))</f>
        <v/>
      </c>
    </row>
    <row r="473">
      <c r="A473">
        <f>'Job Cards'!A37</f>
        <v/>
      </c>
      <c r="B473">
        <f>IF(A473="","",'Job Cards'!B37)</f>
        <v/>
      </c>
      <c r="C473">
        <f>IF(A473="","",'Job Cards'!D37)</f>
        <v/>
      </c>
      <c r="D473">
        <f>IF(A473="","",'BOM Mapping'!A11)</f>
        <v/>
      </c>
      <c r="E473">
        <f>IF(A473="","",IF(C473="Longitude",'BOM Mapping'!C11,IF(C473="Latitude",'BOM Mapping'!D11,IF(C473="Altitude",'BOM Mapping'!E11,""))))</f>
        <v/>
      </c>
      <c r="F473">
        <f>IF(A473="","",'BOM Mapping'!F11)</f>
        <v/>
      </c>
      <c r="G473">
        <f>IF(A473="","",'Job Cards'!E37)</f>
        <v/>
      </c>
      <c r="H473">
        <f>IF(A473="","",F473*G473)</f>
        <v/>
      </c>
      <c r="I473">
        <f>IF(E473="","",IFERROR(VLOOKUP(E473,'Master Inventory'!$A$4:$J$69,10,FALSE),0))</f>
        <v/>
      </c>
      <c r="J473">
        <f>IF(A473="","",MAX(0,H473-I473))</f>
        <v/>
      </c>
      <c r="K473">
        <f>IF(A473="","",IF(J473&gt;0,"SHORTAGE","READY TO RESERVE"))</f>
        <v/>
      </c>
    </row>
    <row r="474">
      <c r="A474">
        <f>'Job Cards'!A37</f>
        <v/>
      </c>
      <c r="B474">
        <f>IF(A474="","",'Job Cards'!B37)</f>
        <v/>
      </c>
      <c r="C474">
        <f>IF(A474="","",'Job Cards'!D37)</f>
        <v/>
      </c>
      <c r="D474">
        <f>IF(A474="","",'BOM Mapping'!A12)</f>
        <v/>
      </c>
      <c r="E474">
        <f>IF(A474="","",IF(C474="Longitude",'BOM Mapping'!C12,IF(C474="Latitude",'BOM Mapping'!D12,IF(C474="Altitude",'BOM Mapping'!E12,""))))</f>
        <v/>
      </c>
      <c r="F474">
        <f>IF(A474="","",'BOM Mapping'!F12)</f>
        <v/>
      </c>
      <c r="G474">
        <f>IF(A474="","",'Job Cards'!E37)</f>
        <v/>
      </c>
      <c r="H474">
        <f>IF(A474="","",F474*G474)</f>
        <v/>
      </c>
      <c r="I474">
        <f>IF(E474="","",IFERROR(VLOOKUP(E474,'Master Inventory'!$A$4:$J$69,10,FALSE),0))</f>
        <v/>
      </c>
      <c r="J474">
        <f>IF(A474="","",MAX(0,H474-I474))</f>
        <v/>
      </c>
      <c r="K474">
        <f>IF(A474="","",IF(J474&gt;0,"SHORTAGE","READY TO RESERVE"))</f>
        <v/>
      </c>
    </row>
    <row r="475">
      <c r="A475">
        <f>'Job Cards'!A37</f>
        <v/>
      </c>
      <c r="B475">
        <f>IF(A475="","",'Job Cards'!B37)</f>
        <v/>
      </c>
      <c r="C475">
        <f>IF(A475="","",'Job Cards'!D37)</f>
        <v/>
      </c>
      <c r="D475">
        <f>IF(A475="","",'BOM Mapping'!A13)</f>
        <v/>
      </c>
      <c r="E475">
        <f>IF(A475="","",IF(C475="Longitude",'BOM Mapping'!C13,IF(C475="Latitude",'BOM Mapping'!D13,IF(C475="Altitude",'BOM Mapping'!E13,""))))</f>
        <v/>
      </c>
      <c r="F475">
        <f>IF(A475="","",'BOM Mapping'!F13)</f>
        <v/>
      </c>
      <c r="G475">
        <f>IF(A475="","",'Job Cards'!E37)</f>
        <v/>
      </c>
      <c r="H475">
        <f>IF(A475="","",F475*G475)</f>
        <v/>
      </c>
      <c r="I475">
        <f>IF(E475="","",IFERROR(VLOOKUP(E475,'Master Inventory'!$A$4:$J$69,10,FALSE),0))</f>
        <v/>
      </c>
      <c r="J475">
        <f>IF(A475="","",MAX(0,H475-I475))</f>
        <v/>
      </c>
      <c r="K475">
        <f>IF(A475="","",IF(J475&gt;0,"SHORTAGE","READY TO RESERVE"))</f>
        <v/>
      </c>
    </row>
    <row r="476">
      <c r="A476">
        <f>'Job Cards'!A37</f>
        <v/>
      </c>
      <c r="B476">
        <f>IF(A476="","",'Job Cards'!B37)</f>
        <v/>
      </c>
      <c r="C476">
        <f>IF(A476="","",'Job Cards'!D37)</f>
        <v/>
      </c>
      <c r="D476">
        <f>IF(A476="","",'BOM Mapping'!A14)</f>
        <v/>
      </c>
      <c r="E476">
        <f>IF(A476="","",IF(C476="Longitude",'BOM Mapping'!C14,IF(C476="Latitude",'BOM Mapping'!D14,IF(C476="Altitude",'BOM Mapping'!E14,""))))</f>
        <v/>
      </c>
      <c r="F476">
        <f>IF(A476="","",'BOM Mapping'!F14)</f>
        <v/>
      </c>
      <c r="G476">
        <f>IF(A476="","",'Job Cards'!E37)</f>
        <v/>
      </c>
      <c r="H476">
        <f>IF(A476="","",F476*G476)</f>
        <v/>
      </c>
      <c r="I476">
        <f>IF(E476="","",IFERROR(VLOOKUP(E476,'Master Inventory'!$A$4:$J$69,10,FALSE),0))</f>
        <v/>
      </c>
      <c r="J476">
        <f>IF(A476="","",MAX(0,H476-I476))</f>
        <v/>
      </c>
      <c r="K476">
        <f>IF(A476="","",IF(J476&gt;0,"SHORTAGE","READY TO RESERVE"))</f>
        <v/>
      </c>
    </row>
    <row r="477">
      <c r="A477">
        <f>'Job Cards'!A37</f>
        <v/>
      </c>
      <c r="B477">
        <f>IF(A477="","",'Job Cards'!B37)</f>
        <v/>
      </c>
      <c r="C477">
        <f>IF(A477="","",'Job Cards'!D37)</f>
        <v/>
      </c>
      <c r="D477">
        <f>IF(A477="","",'BOM Mapping'!A15)</f>
        <v/>
      </c>
      <c r="E477">
        <f>IF(A477="","",IF(C477="Longitude",'BOM Mapping'!C15,IF(C477="Latitude",'BOM Mapping'!D15,IF(C477="Altitude",'BOM Mapping'!E15,""))))</f>
        <v/>
      </c>
      <c r="F477">
        <f>IF(A477="","",'BOM Mapping'!F15)</f>
        <v/>
      </c>
      <c r="G477">
        <f>IF(A477="","",'Job Cards'!E37)</f>
        <v/>
      </c>
      <c r="H477">
        <f>IF(A477="","",F477*G477)</f>
        <v/>
      </c>
      <c r="I477">
        <f>IF(E477="","",IFERROR(VLOOKUP(E477,'Master Inventory'!$A$4:$J$69,10,FALSE),0))</f>
        <v/>
      </c>
      <c r="J477">
        <f>IF(A477="","",MAX(0,H477-I477))</f>
        <v/>
      </c>
      <c r="K477">
        <f>IF(A477="","",IF(J477&gt;0,"SHORTAGE","READY TO RESERVE"))</f>
        <v/>
      </c>
    </row>
    <row r="478">
      <c r="A478">
        <f>'Job Cards'!A37</f>
        <v/>
      </c>
      <c r="B478">
        <f>IF(A478="","",'Job Cards'!B37)</f>
        <v/>
      </c>
      <c r="C478">
        <f>IF(A478="","",'Job Cards'!D37)</f>
        <v/>
      </c>
      <c r="D478">
        <f>IF(A478="","",'BOM Mapping'!A16)</f>
        <v/>
      </c>
      <c r="E478">
        <f>IF(A478="","",IF(C478="Longitude",'BOM Mapping'!C16,IF(C478="Latitude",'BOM Mapping'!D16,IF(C478="Altitude",'BOM Mapping'!E16,""))))</f>
        <v/>
      </c>
      <c r="F478">
        <f>IF(A478="","",'BOM Mapping'!F16)</f>
        <v/>
      </c>
      <c r="G478">
        <f>IF(A478="","",'Job Cards'!E37)</f>
        <v/>
      </c>
      <c r="H478">
        <f>IF(A478="","",F478*G478)</f>
        <v/>
      </c>
      <c r="I478">
        <f>IF(E478="","",IFERROR(VLOOKUP(E478,'Master Inventory'!$A$4:$J$69,10,FALSE),0))</f>
        <v/>
      </c>
      <c r="J478">
        <f>IF(A478="","",MAX(0,H478-I478))</f>
        <v/>
      </c>
      <c r="K478">
        <f>IF(A478="","",IF(J478&gt;0,"SHORTAGE","READY TO RESERVE"))</f>
        <v/>
      </c>
    </row>
    <row r="479">
      <c r="A479">
        <f>'Job Cards'!A37</f>
        <v/>
      </c>
      <c r="B479">
        <f>IF(A479="","",'Job Cards'!B37)</f>
        <v/>
      </c>
      <c r="C479">
        <f>IF(A479="","",'Job Cards'!D37)</f>
        <v/>
      </c>
      <c r="D479">
        <f>IF(A479="","",'BOM Mapping'!A17)</f>
        <v/>
      </c>
      <c r="E479">
        <f>IF(A479="","",IF(C479="Longitude",'BOM Mapping'!C17,IF(C479="Latitude",'BOM Mapping'!D17,IF(C479="Altitude",'BOM Mapping'!E17,""))))</f>
        <v/>
      </c>
      <c r="F479">
        <f>IF(A479="","",'BOM Mapping'!F17)</f>
        <v/>
      </c>
      <c r="G479">
        <f>IF(A479="","",'Job Cards'!E37)</f>
        <v/>
      </c>
      <c r="H479">
        <f>IF(A479="","",F479*G479)</f>
        <v/>
      </c>
      <c r="I479">
        <f>IF(E479="","",IFERROR(VLOOKUP(E479,'Master Inventory'!$A$4:$J$69,10,FALSE),0))</f>
        <v/>
      </c>
      <c r="J479">
        <f>IF(A479="","",MAX(0,H479-I479))</f>
        <v/>
      </c>
      <c r="K479">
        <f>IF(A479="","",IF(J479&gt;0,"SHORTAGE","READY TO RESERVE"))</f>
        <v/>
      </c>
    </row>
    <row r="480">
      <c r="A480">
        <f>'Job Cards'!A38</f>
        <v/>
      </c>
      <c r="B480">
        <f>IF(A480="","",'Job Cards'!B38)</f>
        <v/>
      </c>
      <c r="C480">
        <f>IF(A480="","",'Job Cards'!D38)</f>
        <v/>
      </c>
      <c r="D480">
        <f>IF(A480="","",'BOM Mapping'!A4)</f>
        <v/>
      </c>
      <c r="E480">
        <f>IF(A480="","",IF(C480="Longitude",'BOM Mapping'!C4,IF(C480="Latitude",'BOM Mapping'!D4,IF(C480="Altitude",'BOM Mapping'!E4,""))))</f>
        <v/>
      </c>
      <c r="F480">
        <f>IF(A480="","",'BOM Mapping'!F4)</f>
        <v/>
      </c>
      <c r="G480">
        <f>IF(A480="","",'Job Cards'!E38)</f>
        <v/>
      </c>
      <c r="H480">
        <f>IF(A480="","",F480*G480)</f>
        <v/>
      </c>
      <c r="I480">
        <f>IF(E480="","",IFERROR(VLOOKUP(E480,'Master Inventory'!$A$4:$J$69,10,FALSE),0))</f>
        <v/>
      </c>
      <c r="J480">
        <f>IF(A480="","",MAX(0,H480-I480))</f>
        <v/>
      </c>
      <c r="K480">
        <f>IF(A480="","",IF(J480&gt;0,"SHORTAGE","READY TO RESERVE"))</f>
        <v/>
      </c>
    </row>
    <row r="481">
      <c r="A481">
        <f>'Job Cards'!A38</f>
        <v/>
      </c>
      <c r="B481">
        <f>IF(A481="","",'Job Cards'!B38)</f>
        <v/>
      </c>
      <c r="C481">
        <f>IF(A481="","",'Job Cards'!D38)</f>
        <v/>
      </c>
      <c r="D481">
        <f>IF(A481="","",'BOM Mapping'!A5)</f>
        <v/>
      </c>
      <c r="E481">
        <f>IF(A481="","",IF(C481="Longitude",'BOM Mapping'!C5,IF(C481="Latitude",'BOM Mapping'!D5,IF(C481="Altitude",'BOM Mapping'!E5,""))))</f>
        <v/>
      </c>
      <c r="F481">
        <f>IF(A481="","",'BOM Mapping'!F5)</f>
        <v/>
      </c>
      <c r="G481">
        <f>IF(A481="","",'Job Cards'!E38)</f>
        <v/>
      </c>
      <c r="H481">
        <f>IF(A481="","",F481*G481)</f>
        <v/>
      </c>
      <c r="I481">
        <f>IF(E481="","",IFERROR(VLOOKUP(E481,'Master Inventory'!$A$4:$J$69,10,FALSE),0))</f>
        <v/>
      </c>
      <c r="J481">
        <f>IF(A481="","",MAX(0,H481-I481))</f>
        <v/>
      </c>
      <c r="K481">
        <f>IF(A481="","",IF(J481&gt;0,"SHORTAGE","READY TO RESERVE"))</f>
        <v/>
      </c>
    </row>
    <row r="482">
      <c r="A482">
        <f>'Job Cards'!A38</f>
        <v/>
      </c>
      <c r="B482">
        <f>IF(A482="","",'Job Cards'!B38)</f>
        <v/>
      </c>
      <c r="C482">
        <f>IF(A482="","",'Job Cards'!D38)</f>
        <v/>
      </c>
      <c r="D482">
        <f>IF(A482="","",'BOM Mapping'!A6)</f>
        <v/>
      </c>
      <c r="E482">
        <f>IF(A482="","",IF(C482="Longitude",'BOM Mapping'!C6,IF(C482="Latitude",'BOM Mapping'!D6,IF(C482="Altitude",'BOM Mapping'!E6,""))))</f>
        <v/>
      </c>
      <c r="F482">
        <f>IF(A482="","",'BOM Mapping'!F6)</f>
        <v/>
      </c>
      <c r="G482">
        <f>IF(A482="","",'Job Cards'!E38)</f>
        <v/>
      </c>
      <c r="H482">
        <f>IF(A482="","",F482*G482)</f>
        <v/>
      </c>
      <c r="I482">
        <f>IF(E482="","",IFERROR(VLOOKUP(E482,'Master Inventory'!$A$4:$J$69,10,FALSE),0))</f>
        <v/>
      </c>
      <c r="J482">
        <f>IF(A482="","",MAX(0,H482-I482))</f>
        <v/>
      </c>
      <c r="K482">
        <f>IF(A482="","",IF(J482&gt;0,"SHORTAGE","READY TO RESERVE"))</f>
        <v/>
      </c>
    </row>
    <row r="483">
      <c r="A483">
        <f>'Job Cards'!A38</f>
        <v/>
      </c>
      <c r="B483">
        <f>IF(A483="","",'Job Cards'!B38)</f>
        <v/>
      </c>
      <c r="C483">
        <f>IF(A483="","",'Job Cards'!D38)</f>
        <v/>
      </c>
      <c r="D483">
        <f>IF(A483="","",'BOM Mapping'!A7)</f>
        <v/>
      </c>
      <c r="E483">
        <f>IF(A483="","",IF(C483="Longitude",'BOM Mapping'!C7,IF(C483="Latitude",'BOM Mapping'!D7,IF(C483="Altitude",'BOM Mapping'!E7,""))))</f>
        <v/>
      </c>
      <c r="F483">
        <f>IF(A483="","",'BOM Mapping'!F7)</f>
        <v/>
      </c>
      <c r="G483">
        <f>IF(A483="","",'Job Cards'!E38)</f>
        <v/>
      </c>
      <c r="H483">
        <f>IF(A483="","",F483*G483)</f>
        <v/>
      </c>
      <c r="I483">
        <f>IF(E483="","",IFERROR(VLOOKUP(E483,'Master Inventory'!$A$4:$J$69,10,FALSE),0))</f>
        <v/>
      </c>
      <c r="J483">
        <f>IF(A483="","",MAX(0,H483-I483))</f>
        <v/>
      </c>
      <c r="K483">
        <f>IF(A483="","",IF(J483&gt;0,"SHORTAGE","READY TO RESERVE"))</f>
        <v/>
      </c>
    </row>
    <row r="484">
      <c r="A484">
        <f>'Job Cards'!A38</f>
        <v/>
      </c>
      <c r="B484">
        <f>IF(A484="","",'Job Cards'!B38)</f>
        <v/>
      </c>
      <c r="C484">
        <f>IF(A484="","",'Job Cards'!D38)</f>
        <v/>
      </c>
      <c r="D484">
        <f>IF(A484="","",'BOM Mapping'!A8)</f>
        <v/>
      </c>
      <c r="E484">
        <f>IF(A484="","",IF(C484="Longitude",'BOM Mapping'!C8,IF(C484="Latitude",'BOM Mapping'!D8,IF(C484="Altitude",'BOM Mapping'!E8,""))))</f>
        <v/>
      </c>
      <c r="F484">
        <f>IF(A484="","",'BOM Mapping'!F8)</f>
        <v/>
      </c>
      <c r="G484">
        <f>IF(A484="","",'Job Cards'!E38)</f>
        <v/>
      </c>
      <c r="H484">
        <f>IF(A484="","",F484*G484)</f>
        <v/>
      </c>
      <c r="I484">
        <f>IF(E484="","",IFERROR(VLOOKUP(E484,'Master Inventory'!$A$4:$J$69,10,FALSE),0))</f>
        <v/>
      </c>
      <c r="J484">
        <f>IF(A484="","",MAX(0,H484-I484))</f>
        <v/>
      </c>
      <c r="K484">
        <f>IF(A484="","",IF(J484&gt;0,"SHORTAGE","READY TO RESERVE"))</f>
        <v/>
      </c>
    </row>
    <row r="485">
      <c r="A485">
        <f>'Job Cards'!A38</f>
        <v/>
      </c>
      <c r="B485">
        <f>IF(A485="","",'Job Cards'!B38)</f>
        <v/>
      </c>
      <c r="C485">
        <f>IF(A485="","",'Job Cards'!D38)</f>
        <v/>
      </c>
      <c r="D485">
        <f>IF(A485="","",'BOM Mapping'!A9)</f>
        <v/>
      </c>
      <c r="E485">
        <f>IF(A485="","",IF(C485="Longitude",'BOM Mapping'!C9,IF(C485="Latitude",'BOM Mapping'!D9,IF(C485="Altitude",'BOM Mapping'!E9,""))))</f>
        <v/>
      </c>
      <c r="F485">
        <f>IF(A485="","",'BOM Mapping'!F9)</f>
        <v/>
      </c>
      <c r="G485">
        <f>IF(A485="","",'Job Cards'!E38)</f>
        <v/>
      </c>
      <c r="H485">
        <f>IF(A485="","",F485*G485)</f>
        <v/>
      </c>
      <c r="I485">
        <f>IF(E485="","",IFERROR(VLOOKUP(E485,'Master Inventory'!$A$4:$J$69,10,FALSE),0))</f>
        <v/>
      </c>
      <c r="J485">
        <f>IF(A485="","",MAX(0,H485-I485))</f>
        <v/>
      </c>
      <c r="K485">
        <f>IF(A485="","",IF(J485&gt;0,"SHORTAGE","READY TO RESERVE"))</f>
        <v/>
      </c>
    </row>
    <row r="486">
      <c r="A486">
        <f>'Job Cards'!A38</f>
        <v/>
      </c>
      <c r="B486">
        <f>IF(A486="","",'Job Cards'!B38)</f>
        <v/>
      </c>
      <c r="C486">
        <f>IF(A486="","",'Job Cards'!D38)</f>
        <v/>
      </c>
      <c r="D486">
        <f>IF(A486="","",'BOM Mapping'!A10)</f>
        <v/>
      </c>
      <c r="E486">
        <f>IF(A486="","",IF(C486="Longitude",'BOM Mapping'!C10,IF(C486="Latitude",'BOM Mapping'!D10,IF(C486="Altitude",'BOM Mapping'!E10,""))))</f>
        <v/>
      </c>
      <c r="F486">
        <f>IF(A486="","",'BOM Mapping'!F10)</f>
        <v/>
      </c>
      <c r="G486">
        <f>IF(A486="","",'Job Cards'!E38)</f>
        <v/>
      </c>
      <c r="H486">
        <f>IF(A486="","",F486*G486)</f>
        <v/>
      </c>
      <c r="I486">
        <f>IF(E486="","",IFERROR(VLOOKUP(E486,'Master Inventory'!$A$4:$J$69,10,FALSE),0))</f>
        <v/>
      </c>
      <c r="J486">
        <f>IF(A486="","",MAX(0,H486-I486))</f>
        <v/>
      </c>
      <c r="K486">
        <f>IF(A486="","",IF(J486&gt;0,"SHORTAGE","READY TO RESERVE"))</f>
        <v/>
      </c>
    </row>
    <row r="487">
      <c r="A487">
        <f>'Job Cards'!A38</f>
        <v/>
      </c>
      <c r="B487">
        <f>IF(A487="","",'Job Cards'!B38)</f>
        <v/>
      </c>
      <c r="C487">
        <f>IF(A487="","",'Job Cards'!D38)</f>
        <v/>
      </c>
      <c r="D487">
        <f>IF(A487="","",'BOM Mapping'!A11)</f>
        <v/>
      </c>
      <c r="E487">
        <f>IF(A487="","",IF(C487="Longitude",'BOM Mapping'!C11,IF(C487="Latitude",'BOM Mapping'!D11,IF(C487="Altitude",'BOM Mapping'!E11,""))))</f>
        <v/>
      </c>
      <c r="F487">
        <f>IF(A487="","",'BOM Mapping'!F11)</f>
        <v/>
      </c>
      <c r="G487">
        <f>IF(A487="","",'Job Cards'!E38)</f>
        <v/>
      </c>
      <c r="H487">
        <f>IF(A487="","",F487*G487)</f>
        <v/>
      </c>
      <c r="I487">
        <f>IF(E487="","",IFERROR(VLOOKUP(E487,'Master Inventory'!$A$4:$J$69,10,FALSE),0))</f>
        <v/>
      </c>
      <c r="J487">
        <f>IF(A487="","",MAX(0,H487-I487))</f>
        <v/>
      </c>
      <c r="K487">
        <f>IF(A487="","",IF(J487&gt;0,"SHORTAGE","READY TO RESERVE"))</f>
        <v/>
      </c>
    </row>
    <row r="488">
      <c r="A488">
        <f>'Job Cards'!A38</f>
        <v/>
      </c>
      <c r="B488">
        <f>IF(A488="","",'Job Cards'!B38)</f>
        <v/>
      </c>
      <c r="C488">
        <f>IF(A488="","",'Job Cards'!D38)</f>
        <v/>
      </c>
      <c r="D488">
        <f>IF(A488="","",'BOM Mapping'!A12)</f>
        <v/>
      </c>
      <c r="E488">
        <f>IF(A488="","",IF(C488="Longitude",'BOM Mapping'!C12,IF(C488="Latitude",'BOM Mapping'!D12,IF(C488="Altitude",'BOM Mapping'!E12,""))))</f>
        <v/>
      </c>
      <c r="F488">
        <f>IF(A488="","",'BOM Mapping'!F12)</f>
        <v/>
      </c>
      <c r="G488">
        <f>IF(A488="","",'Job Cards'!E38)</f>
        <v/>
      </c>
      <c r="H488">
        <f>IF(A488="","",F488*G488)</f>
        <v/>
      </c>
      <c r="I488">
        <f>IF(E488="","",IFERROR(VLOOKUP(E488,'Master Inventory'!$A$4:$J$69,10,FALSE),0))</f>
        <v/>
      </c>
      <c r="J488">
        <f>IF(A488="","",MAX(0,H488-I488))</f>
        <v/>
      </c>
      <c r="K488">
        <f>IF(A488="","",IF(J488&gt;0,"SHORTAGE","READY TO RESERVE"))</f>
        <v/>
      </c>
    </row>
    <row r="489">
      <c r="A489">
        <f>'Job Cards'!A38</f>
        <v/>
      </c>
      <c r="B489">
        <f>IF(A489="","",'Job Cards'!B38)</f>
        <v/>
      </c>
      <c r="C489">
        <f>IF(A489="","",'Job Cards'!D38)</f>
        <v/>
      </c>
      <c r="D489">
        <f>IF(A489="","",'BOM Mapping'!A13)</f>
        <v/>
      </c>
      <c r="E489">
        <f>IF(A489="","",IF(C489="Longitude",'BOM Mapping'!C13,IF(C489="Latitude",'BOM Mapping'!D13,IF(C489="Altitude",'BOM Mapping'!E13,""))))</f>
        <v/>
      </c>
      <c r="F489">
        <f>IF(A489="","",'BOM Mapping'!F13)</f>
        <v/>
      </c>
      <c r="G489">
        <f>IF(A489="","",'Job Cards'!E38)</f>
        <v/>
      </c>
      <c r="H489">
        <f>IF(A489="","",F489*G489)</f>
        <v/>
      </c>
      <c r="I489">
        <f>IF(E489="","",IFERROR(VLOOKUP(E489,'Master Inventory'!$A$4:$J$69,10,FALSE),0))</f>
        <v/>
      </c>
      <c r="J489">
        <f>IF(A489="","",MAX(0,H489-I489))</f>
        <v/>
      </c>
      <c r="K489">
        <f>IF(A489="","",IF(J489&gt;0,"SHORTAGE","READY TO RESERVE"))</f>
        <v/>
      </c>
    </row>
    <row r="490">
      <c r="A490">
        <f>'Job Cards'!A38</f>
        <v/>
      </c>
      <c r="B490">
        <f>IF(A490="","",'Job Cards'!B38)</f>
        <v/>
      </c>
      <c r="C490">
        <f>IF(A490="","",'Job Cards'!D38)</f>
        <v/>
      </c>
      <c r="D490">
        <f>IF(A490="","",'BOM Mapping'!A14)</f>
        <v/>
      </c>
      <c r="E490">
        <f>IF(A490="","",IF(C490="Longitude",'BOM Mapping'!C14,IF(C490="Latitude",'BOM Mapping'!D14,IF(C490="Altitude",'BOM Mapping'!E14,""))))</f>
        <v/>
      </c>
      <c r="F490">
        <f>IF(A490="","",'BOM Mapping'!F14)</f>
        <v/>
      </c>
      <c r="G490">
        <f>IF(A490="","",'Job Cards'!E38)</f>
        <v/>
      </c>
      <c r="H490">
        <f>IF(A490="","",F490*G490)</f>
        <v/>
      </c>
      <c r="I490">
        <f>IF(E490="","",IFERROR(VLOOKUP(E490,'Master Inventory'!$A$4:$J$69,10,FALSE),0))</f>
        <v/>
      </c>
      <c r="J490">
        <f>IF(A490="","",MAX(0,H490-I490))</f>
        <v/>
      </c>
      <c r="K490">
        <f>IF(A490="","",IF(J490&gt;0,"SHORTAGE","READY TO RESERVE"))</f>
        <v/>
      </c>
    </row>
    <row r="491">
      <c r="A491">
        <f>'Job Cards'!A38</f>
        <v/>
      </c>
      <c r="B491">
        <f>IF(A491="","",'Job Cards'!B38)</f>
        <v/>
      </c>
      <c r="C491">
        <f>IF(A491="","",'Job Cards'!D38)</f>
        <v/>
      </c>
      <c r="D491">
        <f>IF(A491="","",'BOM Mapping'!A15)</f>
        <v/>
      </c>
      <c r="E491">
        <f>IF(A491="","",IF(C491="Longitude",'BOM Mapping'!C15,IF(C491="Latitude",'BOM Mapping'!D15,IF(C491="Altitude",'BOM Mapping'!E15,""))))</f>
        <v/>
      </c>
      <c r="F491">
        <f>IF(A491="","",'BOM Mapping'!F15)</f>
        <v/>
      </c>
      <c r="G491">
        <f>IF(A491="","",'Job Cards'!E38)</f>
        <v/>
      </c>
      <c r="H491">
        <f>IF(A491="","",F491*G491)</f>
        <v/>
      </c>
      <c r="I491">
        <f>IF(E491="","",IFERROR(VLOOKUP(E491,'Master Inventory'!$A$4:$J$69,10,FALSE),0))</f>
        <v/>
      </c>
      <c r="J491">
        <f>IF(A491="","",MAX(0,H491-I491))</f>
        <v/>
      </c>
      <c r="K491">
        <f>IF(A491="","",IF(J491&gt;0,"SHORTAGE","READY TO RESERVE"))</f>
        <v/>
      </c>
    </row>
    <row r="492">
      <c r="A492">
        <f>'Job Cards'!A38</f>
        <v/>
      </c>
      <c r="B492">
        <f>IF(A492="","",'Job Cards'!B38)</f>
        <v/>
      </c>
      <c r="C492">
        <f>IF(A492="","",'Job Cards'!D38)</f>
        <v/>
      </c>
      <c r="D492">
        <f>IF(A492="","",'BOM Mapping'!A16)</f>
        <v/>
      </c>
      <c r="E492">
        <f>IF(A492="","",IF(C492="Longitude",'BOM Mapping'!C16,IF(C492="Latitude",'BOM Mapping'!D16,IF(C492="Altitude",'BOM Mapping'!E16,""))))</f>
        <v/>
      </c>
      <c r="F492">
        <f>IF(A492="","",'BOM Mapping'!F16)</f>
        <v/>
      </c>
      <c r="G492">
        <f>IF(A492="","",'Job Cards'!E38)</f>
        <v/>
      </c>
      <c r="H492">
        <f>IF(A492="","",F492*G492)</f>
        <v/>
      </c>
      <c r="I492">
        <f>IF(E492="","",IFERROR(VLOOKUP(E492,'Master Inventory'!$A$4:$J$69,10,FALSE),0))</f>
        <v/>
      </c>
      <c r="J492">
        <f>IF(A492="","",MAX(0,H492-I492))</f>
        <v/>
      </c>
      <c r="K492">
        <f>IF(A492="","",IF(J492&gt;0,"SHORTAGE","READY TO RESERVE"))</f>
        <v/>
      </c>
    </row>
    <row r="493">
      <c r="A493">
        <f>'Job Cards'!A38</f>
        <v/>
      </c>
      <c r="B493">
        <f>IF(A493="","",'Job Cards'!B38)</f>
        <v/>
      </c>
      <c r="C493">
        <f>IF(A493="","",'Job Cards'!D38)</f>
        <v/>
      </c>
      <c r="D493">
        <f>IF(A493="","",'BOM Mapping'!A17)</f>
        <v/>
      </c>
      <c r="E493">
        <f>IF(A493="","",IF(C493="Longitude",'BOM Mapping'!C17,IF(C493="Latitude",'BOM Mapping'!D17,IF(C493="Altitude",'BOM Mapping'!E17,""))))</f>
        <v/>
      </c>
      <c r="F493">
        <f>IF(A493="","",'BOM Mapping'!F17)</f>
        <v/>
      </c>
      <c r="G493">
        <f>IF(A493="","",'Job Cards'!E38)</f>
        <v/>
      </c>
      <c r="H493">
        <f>IF(A493="","",F493*G493)</f>
        <v/>
      </c>
      <c r="I493">
        <f>IF(E493="","",IFERROR(VLOOKUP(E493,'Master Inventory'!$A$4:$J$69,10,FALSE),0))</f>
        <v/>
      </c>
      <c r="J493">
        <f>IF(A493="","",MAX(0,H493-I493))</f>
        <v/>
      </c>
      <c r="K493">
        <f>IF(A493="","",IF(J493&gt;0,"SHORTAGE","READY TO RESERVE"))</f>
        <v/>
      </c>
    </row>
    <row r="494">
      <c r="A494">
        <f>'Job Cards'!A39</f>
        <v/>
      </c>
      <c r="B494">
        <f>IF(A494="","",'Job Cards'!B39)</f>
        <v/>
      </c>
      <c r="C494">
        <f>IF(A494="","",'Job Cards'!D39)</f>
        <v/>
      </c>
      <c r="D494">
        <f>IF(A494="","",'BOM Mapping'!A4)</f>
        <v/>
      </c>
      <c r="E494">
        <f>IF(A494="","",IF(C494="Longitude",'BOM Mapping'!C4,IF(C494="Latitude",'BOM Mapping'!D4,IF(C494="Altitude",'BOM Mapping'!E4,""))))</f>
        <v/>
      </c>
      <c r="F494">
        <f>IF(A494="","",'BOM Mapping'!F4)</f>
        <v/>
      </c>
      <c r="G494">
        <f>IF(A494="","",'Job Cards'!E39)</f>
        <v/>
      </c>
      <c r="H494">
        <f>IF(A494="","",F494*G494)</f>
        <v/>
      </c>
      <c r="I494">
        <f>IF(E494="","",IFERROR(VLOOKUP(E494,'Master Inventory'!$A$4:$J$69,10,FALSE),0))</f>
        <v/>
      </c>
      <c r="J494">
        <f>IF(A494="","",MAX(0,H494-I494))</f>
        <v/>
      </c>
      <c r="K494">
        <f>IF(A494="","",IF(J494&gt;0,"SHORTAGE","READY TO RESERVE"))</f>
        <v/>
      </c>
    </row>
    <row r="495">
      <c r="A495">
        <f>'Job Cards'!A39</f>
        <v/>
      </c>
      <c r="B495">
        <f>IF(A495="","",'Job Cards'!B39)</f>
        <v/>
      </c>
      <c r="C495">
        <f>IF(A495="","",'Job Cards'!D39)</f>
        <v/>
      </c>
      <c r="D495">
        <f>IF(A495="","",'BOM Mapping'!A5)</f>
        <v/>
      </c>
      <c r="E495">
        <f>IF(A495="","",IF(C495="Longitude",'BOM Mapping'!C5,IF(C495="Latitude",'BOM Mapping'!D5,IF(C495="Altitude",'BOM Mapping'!E5,""))))</f>
        <v/>
      </c>
      <c r="F495">
        <f>IF(A495="","",'BOM Mapping'!F5)</f>
        <v/>
      </c>
      <c r="G495">
        <f>IF(A495="","",'Job Cards'!E39)</f>
        <v/>
      </c>
      <c r="H495">
        <f>IF(A495="","",F495*G495)</f>
        <v/>
      </c>
      <c r="I495">
        <f>IF(E495="","",IFERROR(VLOOKUP(E495,'Master Inventory'!$A$4:$J$69,10,FALSE),0))</f>
        <v/>
      </c>
      <c r="J495">
        <f>IF(A495="","",MAX(0,H495-I495))</f>
        <v/>
      </c>
      <c r="K495">
        <f>IF(A495="","",IF(J495&gt;0,"SHORTAGE","READY TO RESERVE"))</f>
        <v/>
      </c>
    </row>
    <row r="496">
      <c r="A496">
        <f>'Job Cards'!A39</f>
        <v/>
      </c>
      <c r="B496">
        <f>IF(A496="","",'Job Cards'!B39)</f>
        <v/>
      </c>
      <c r="C496">
        <f>IF(A496="","",'Job Cards'!D39)</f>
        <v/>
      </c>
      <c r="D496">
        <f>IF(A496="","",'BOM Mapping'!A6)</f>
        <v/>
      </c>
      <c r="E496">
        <f>IF(A496="","",IF(C496="Longitude",'BOM Mapping'!C6,IF(C496="Latitude",'BOM Mapping'!D6,IF(C496="Altitude",'BOM Mapping'!E6,""))))</f>
        <v/>
      </c>
      <c r="F496">
        <f>IF(A496="","",'BOM Mapping'!F6)</f>
        <v/>
      </c>
      <c r="G496">
        <f>IF(A496="","",'Job Cards'!E39)</f>
        <v/>
      </c>
      <c r="H496">
        <f>IF(A496="","",F496*G496)</f>
        <v/>
      </c>
      <c r="I496">
        <f>IF(E496="","",IFERROR(VLOOKUP(E496,'Master Inventory'!$A$4:$J$69,10,FALSE),0))</f>
        <v/>
      </c>
      <c r="J496">
        <f>IF(A496="","",MAX(0,H496-I496))</f>
        <v/>
      </c>
      <c r="K496">
        <f>IF(A496="","",IF(J496&gt;0,"SHORTAGE","READY TO RESERVE"))</f>
        <v/>
      </c>
    </row>
    <row r="497">
      <c r="A497">
        <f>'Job Cards'!A39</f>
        <v/>
      </c>
      <c r="B497">
        <f>IF(A497="","",'Job Cards'!B39)</f>
        <v/>
      </c>
      <c r="C497">
        <f>IF(A497="","",'Job Cards'!D39)</f>
        <v/>
      </c>
      <c r="D497">
        <f>IF(A497="","",'BOM Mapping'!A7)</f>
        <v/>
      </c>
      <c r="E497">
        <f>IF(A497="","",IF(C497="Longitude",'BOM Mapping'!C7,IF(C497="Latitude",'BOM Mapping'!D7,IF(C497="Altitude",'BOM Mapping'!E7,""))))</f>
        <v/>
      </c>
      <c r="F497">
        <f>IF(A497="","",'BOM Mapping'!F7)</f>
        <v/>
      </c>
      <c r="G497">
        <f>IF(A497="","",'Job Cards'!E39)</f>
        <v/>
      </c>
      <c r="H497">
        <f>IF(A497="","",F497*G497)</f>
        <v/>
      </c>
      <c r="I497">
        <f>IF(E497="","",IFERROR(VLOOKUP(E497,'Master Inventory'!$A$4:$J$69,10,FALSE),0))</f>
        <v/>
      </c>
      <c r="J497">
        <f>IF(A497="","",MAX(0,H497-I497))</f>
        <v/>
      </c>
      <c r="K497">
        <f>IF(A497="","",IF(J497&gt;0,"SHORTAGE","READY TO RESERVE"))</f>
        <v/>
      </c>
    </row>
    <row r="498">
      <c r="A498">
        <f>'Job Cards'!A39</f>
        <v/>
      </c>
      <c r="B498">
        <f>IF(A498="","",'Job Cards'!B39)</f>
        <v/>
      </c>
      <c r="C498">
        <f>IF(A498="","",'Job Cards'!D39)</f>
        <v/>
      </c>
      <c r="D498">
        <f>IF(A498="","",'BOM Mapping'!A8)</f>
        <v/>
      </c>
      <c r="E498">
        <f>IF(A498="","",IF(C498="Longitude",'BOM Mapping'!C8,IF(C498="Latitude",'BOM Mapping'!D8,IF(C498="Altitude",'BOM Mapping'!E8,""))))</f>
        <v/>
      </c>
      <c r="F498">
        <f>IF(A498="","",'BOM Mapping'!F8)</f>
        <v/>
      </c>
      <c r="G498">
        <f>IF(A498="","",'Job Cards'!E39)</f>
        <v/>
      </c>
      <c r="H498">
        <f>IF(A498="","",F498*G498)</f>
        <v/>
      </c>
      <c r="I498">
        <f>IF(E498="","",IFERROR(VLOOKUP(E498,'Master Inventory'!$A$4:$J$69,10,FALSE),0))</f>
        <v/>
      </c>
      <c r="J498">
        <f>IF(A498="","",MAX(0,H498-I498))</f>
        <v/>
      </c>
      <c r="K498">
        <f>IF(A498="","",IF(J498&gt;0,"SHORTAGE","READY TO RESERVE"))</f>
        <v/>
      </c>
    </row>
    <row r="499">
      <c r="A499">
        <f>'Job Cards'!A39</f>
        <v/>
      </c>
      <c r="B499">
        <f>IF(A499="","",'Job Cards'!B39)</f>
        <v/>
      </c>
      <c r="C499">
        <f>IF(A499="","",'Job Cards'!D39)</f>
        <v/>
      </c>
      <c r="D499">
        <f>IF(A499="","",'BOM Mapping'!A9)</f>
        <v/>
      </c>
      <c r="E499">
        <f>IF(A499="","",IF(C499="Longitude",'BOM Mapping'!C9,IF(C499="Latitude",'BOM Mapping'!D9,IF(C499="Altitude",'BOM Mapping'!E9,""))))</f>
        <v/>
      </c>
      <c r="F499">
        <f>IF(A499="","",'BOM Mapping'!F9)</f>
        <v/>
      </c>
      <c r="G499">
        <f>IF(A499="","",'Job Cards'!E39)</f>
        <v/>
      </c>
      <c r="H499">
        <f>IF(A499="","",F499*G499)</f>
        <v/>
      </c>
      <c r="I499">
        <f>IF(E499="","",IFERROR(VLOOKUP(E499,'Master Inventory'!$A$4:$J$69,10,FALSE),0))</f>
        <v/>
      </c>
      <c r="J499">
        <f>IF(A499="","",MAX(0,H499-I499))</f>
        <v/>
      </c>
      <c r="K499">
        <f>IF(A499="","",IF(J499&gt;0,"SHORTAGE","READY TO RESERVE"))</f>
        <v/>
      </c>
    </row>
    <row r="500">
      <c r="A500">
        <f>'Job Cards'!A39</f>
        <v/>
      </c>
      <c r="B500">
        <f>IF(A500="","",'Job Cards'!B39)</f>
        <v/>
      </c>
      <c r="C500">
        <f>IF(A500="","",'Job Cards'!D39)</f>
        <v/>
      </c>
      <c r="D500">
        <f>IF(A500="","",'BOM Mapping'!A10)</f>
        <v/>
      </c>
      <c r="E500">
        <f>IF(A500="","",IF(C500="Longitude",'BOM Mapping'!C10,IF(C500="Latitude",'BOM Mapping'!D10,IF(C500="Altitude",'BOM Mapping'!E10,""))))</f>
        <v/>
      </c>
      <c r="F500">
        <f>IF(A500="","",'BOM Mapping'!F10)</f>
        <v/>
      </c>
      <c r="G500">
        <f>IF(A500="","",'Job Cards'!E39)</f>
        <v/>
      </c>
      <c r="H500">
        <f>IF(A500="","",F500*G500)</f>
        <v/>
      </c>
      <c r="I500">
        <f>IF(E500="","",IFERROR(VLOOKUP(E500,'Master Inventory'!$A$4:$J$69,10,FALSE),0))</f>
        <v/>
      </c>
      <c r="J500">
        <f>IF(A500="","",MAX(0,H500-I500))</f>
        <v/>
      </c>
      <c r="K500">
        <f>IF(A500="","",IF(J500&gt;0,"SHORTAGE","READY TO RESERVE"))</f>
        <v/>
      </c>
    </row>
    <row r="501">
      <c r="A501">
        <f>'Job Cards'!A39</f>
        <v/>
      </c>
      <c r="B501">
        <f>IF(A501="","",'Job Cards'!B39)</f>
        <v/>
      </c>
      <c r="C501">
        <f>IF(A501="","",'Job Cards'!D39)</f>
        <v/>
      </c>
      <c r="D501">
        <f>IF(A501="","",'BOM Mapping'!A11)</f>
        <v/>
      </c>
      <c r="E501">
        <f>IF(A501="","",IF(C501="Longitude",'BOM Mapping'!C11,IF(C501="Latitude",'BOM Mapping'!D11,IF(C501="Altitude",'BOM Mapping'!E11,""))))</f>
        <v/>
      </c>
      <c r="F501">
        <f>IF(A501="","",'BOM Mapping'!F11)</f>
        <v/>
      </c>
      <c r="G501">
        <f>IF(A501="","",'Job Cards'!E39)</f>
        <v/>
      </c>
      <c r="H501">
        <f>IF(A501="","",F501*G501)</f>
        <v/>
      </c>
      <c r="I501">
        <f>IF(E501="","",IFERROR(VLOOKUP(E501,'Master Inventory'!$A$4:$J$69,10,FALSE),0))</f>
        <v/>
      </c>
      <c r="J501">
        <f>IF(A501="","",MAX(0,H501-I501))</f>
        <v/>
      </c>
      <c r="K501">
        <f>IF(A501="","",IF(J501&gt;0,"SHORTAGE","READY TO RESERVE"))</f>
        <v/>
      </c>
    </row>
    <row r="502">
      <c r="A502">
        <f>'Job Cards'!A39</f>
        <v/>
      </c>
      <c r="B502">
        <f>IF(A502="","",'Job Cards'!B39)</f>
        <v/>
      </c>
      <c r="C502">
        <f>IF(A502="","",'Job Cards'!D39)</f>
        <v/>
      </c>
      <c r="D502">
        <f>IF(A502="","",'BOM Mapping'!A12)</f>
        <v/>
      </c>
      <c r="E502">
        <f>IF(A502="","",IF(C502="Longitude",'BOM Mapping'!C12,IF(C502="Latitude",'BOM Mapping'!D12,IF(C502="Altitude",'BOM Mapping'!E12,""))))</f>
        <v/>
      </c>
      <c r="F502">
        <f>IF(A502="","",'BOM Mapping'!F12)</f>
        <v/>
      </c>
      <c r="G502">
        <f>IF(A502="","",'Job Cards'!E39)</f>
        <v/>
      </c>
      <c r="H502">
        <f>IF(A502="","",F502*G502)</f>
        <v/>
      </c>
      <c r="I502">
        <f>IF(E502="","",IFERROR(VLOOKUP(E502,'Master Inventory'!$A$4:$J$69,10,FALSE),0))</f>
        <v/>
      </c>
      <c r="J502">
        <f>IF(A502="","",MAX(0,H502-I502))</f>
        <v/>
      </c>
      <c r="K502">
        <f>IF(A502="","",IF(J502&gt;0,"SHORTAGE","READY TO RESERVE"))</f>
        <v/>
      </c>
    </row>
    <row r="503">
      <c r="A503">
        <f>'Job Cards'!A39</f>
        <v/>
      </c>
      <c r="B503">
        <f>IF(A503="","",'Job Cards'!B39)</f>
        <v/>
      </c>
      <c r="C503">
        <f>IF(A503="","",'Job Cards'!D39)</f>
        <v/>
      </c>
      <c r="D503">
        <f>IF(A503="","",'BOM Mapping'!A13)</f>
        <v/>
      </c>
      <c r="E503">
        <f>IF(A503="","",IF(C503="Longitude",'BOM Mapping'!C13,IF(C503="Latitude",'BOM Mapping'!D13,IF(C503="Altitude",'BOM Mapping'!E13,""))))</f>
        <v/>
      </c>
      <c r="F503">
        <f>IF(A503="","",'BOM Mapping'!F13)</f>
        <v/>
      </c>
      <c r="G503">
        <f>IF(A503="","",'Job Cards'!E39)</f>
        <v/>
      </c>
      <c r="H503">
        <f>IF(A503="","",F503*G503)</f>
        <v/>
      </c>
      <c r="I503">
        <f>IF(E503="","",IFERROR(VLOOKUP(E503,'Master Inventory'!$A$4:$J$69,10,FALSE),0))</f>
        <v/>
      </c>
      <c r="J503">
        <f>IF(A503="","",MAX(0,H503-I503))</f>
        <v/>
      </c>
      <c r="K503">
        <f>IF(A503="","",IF(J503&gt;0,"SHORTAGE","READY TO RESERVE"))</f>
        <v/>
      </c>
    </row>
    <row r="504">
      <c r="A504">
        <f>'Job Cards'!A39</f>
        <v/>
      </c>
      <c r="B504">
        <f>IF(A504="","",'Job Cards'!B39)</f>
        <v/>
      </c>
      <c r="C504">
        <f>IF(A504="","",'Job Cards'!D39)</f>
        <v/>
      </c>
      <c r="D504">
        <f>IF(A504="","",'BOM Mapping'!A14)</f>
        <v/>
      </c>
      <c r="E504">
        <f>IF(A504="","",IF(C504="Longitude",'BOM Mapping'!C14,IF(C504="Latitude",'BOM Mapping'!D14,IF(C504="Altitude",'BOM Mapping'!E14,""))))</f>
        <v/>
      </c>
      <c r="F504">
        <f>IF(A504="","",'BOM Mapping'!F14)</f>
        <v/>
      </c>
      <c r="G504">
        <f>IF(A504="","",'Job Cards'!E39)</f>
        <v/>
      </c>
      <c r="H504">
        <f>IF(A504="","",F504*G504)</f>
        <v/>
      </c>
      <c r="I504">
        <f>IF(E504="","",IFERROR(VLOOKUP(E504,'Master Inventory'!$A$4:$J$69,10,FALSE),0))</f>
        <v/>
      </c>
      <c r="J504">
        <f>IF(A504="","",MAX(0,H504-I504))</f>
        <v/>
      </c>
      <c r="K504">
        <f>IF(A504="","",IF(J504&gt;0,"SHORTAGE","READY TO RESERVE"))</f>
        <v/>
      </c>
    </row>
    <row r="505">
      <c r="A505">
        <f>'Job Cards'!A39</f>
        <v/>
      </c>
      <c r="B505">
        <f>IF(A505="","",'Job Cards'!B39)</f>
        <v/>
      </c>
      <c r="C505">
        <f>IF(A505="","",'Job Cards'!D39)</f>
        <v/>
      </c>
      <c r="D505">
        <f>IF(A505="","",'BOM Mapping'!A15)</f>
        <v/>
      </c>
      <c r="E505">
        <f>IF(A505="","",IF(C505="Longitude",'BOM Mapping'!C15,IF(C505="Latitude",'BOM Mapping'!D15,IF(C505="Altitude",'BOM Mapping'!E15,""))))</f>
        <v/>
      </c>
      <c r="F505">
        <f>IF(A505="","",'BOM Mapping'!F15)</f>
        <v/>
      </c>
      <c r="G505">
        <f>IF(A505="","",'Job Cards'!E39)</f>
        <v/>
      </c>
      <c r="H505">
        <f>IF(A505="","",F505*G505)</f>
        <v/>
      </c>
      <c r="I505">
        <f>IF(E505="","",IFERROR(VLOOKUP(E505,'Master Inventory'!$A$4:$J$69,10,FALSE),0))</f>
        <v/>
      </c>
      <c r="J505">
        <f>IF(A505="","",MAX(0,H505-I505))</f>
        <v/>
      </c>
      <c r="K505">
        <f>IF(A505="","",IF(J505&gt;0,"SHORTAGE","READY TO RESERVE"))</f>
        <v/>
      </c>
    </row>
    <row r="506">
      <c r="A506">
        <f>'Job Cards'!A39</f>
        <v/>
      </c>
      <c r="B506">
        <f>IF(A506="","",'Job Cards'!B39)</f>
        <v/>
      </c>
      <c r="C506">
        <f>IF(A506="","",'Job Cards'!D39)</f>
        <v/>
      </c>
      <c r="D506">
        <f>IF(A506="","",'BOM Mapping'!A16)</f>
        <v/>
      </c>
      <c r="E506">
        <f>IF(A506="","",IF(C506="Longitude",'BOM Mapping'!C16,IF(C506="Latitude",'BOM Mapping'!D16,IF(C506="Altitude",'BOM Mapping'!E16,""))))</f>
        <v/>
      </c>
      <c r="F506">
        <f>IF(A506="","",'BOM Mapping'!F16)</f>
        <v/>
      </c>
      <c r="G506">
        <f>IF(A506="","",'Job Cards'!E39)</f>
        <v/>
      </c>
      <c r="H506">
        <f>IF(A506="","",F506*G506)</f>
        <v/>
      </c>
      <c r="I506">
        <f>IF(E506="","",IFERROR(VLOOKUP(E506,'Master Inventory'!$A$4:$J$69,10,FALSE),0))</f>
        <v/>
      </c>
      <c r="J506">
        <f>IF(A506="","",MAX(0,H506-I506))</f>
        <v/>
      </c>
      <c r="K506">
        <f>IF(A506="","",IF(J506&gt;0,"SHORTAGE","READY TO RESERVE"))</f>
        <v/>
      </c>
    </row>
    <row r="507">
      <c r="A507">
        <f>'Job Cards'!A39</f>
        <v/>
      </c>
      <c r="B507">
        <f>IF(A507="","",'Job Cards'!B39)</f>
        <v/>
      </c>
      <c r="C507">
        <f>IF(A507="","",'Job Cards'!D39)</f>
        <v/>
      </c>
      <c r="D507">
        <f>IF(A507="","",'BOM Mapping'!A17)</f>
        <v/>
      </c>
      <c r="E507">
        <f>IF(A507="","",IF(C507="Longitude",'BOM Mapping'!C17,IF(C507="Latitude",'BOM Mapping'!D17,IF(C507="Altitude",'BOM Mapping'!E17,""))))</f>
        <v/>
      </c>
      <c r="F507">
        <f>IF(A507="","",'BOM Mapping'!F17)</f>
        <v/>
      </c>
      <c r="G507">
        <f>IF(A507="","",'Job Cards'!E39)</f>
        <v/>
      </c>
      <c r="H507">
        <f>IF(A507="","",F507*G507)</f>
        <v/>
      </c>
      <c r="I507">
        <f>IF(E507="","",IFERROR(VLOOKUP(E507,'Master Inventory'!$A$4:$J$69,10,FALSE),0))</f>
        <v/>
      </c>
      <c r="J507">
        <f>IF(A507="","",MAX(0,H507-I507))</f>
        <v/>
      </c>
      <c r="K507">
        <f>IF(A507="","",IF(J507&gt;0,"SHORTAGE","READY TO RESERVE"))</f>
        <v/>
      </c>
    </row>
    <row r="508">
      <c r="A508">
        <f>'Job Cards'!A40</f>
        <v/>
      </c>
      <c r="B508">
        <f>IF(A508="","",'Job Cards'!B40)</f>
        <v/>
      </c>
      <c r="C508">
        <f>IF(A508="","",'Job Cards'!D40)</f>
        <v/>
      </c>
      <c r="D508">
        <f>IF(A508="","",'BOM Mapping'!A4)</f>
        <v/>
      </c>
      <c r="E508">
        <f>IF(A508="","",IF(C508="Longitude",'BOM Mapping'!C4,IF(C508="Latitude",'BOM Mapping'!D4,IF(C508="Altitude",'BOM Mapping'!E4,""))))</f>
        <v/>
      </c>
      <c r="F508">
        <f>IF(A508="","",'BOM Mapping'!F4)</f>
        <v/>
      </c>
      <c r="G508">
        <f>IF(A508="","",'Job Cards'!E40)</f>
        <v/>
      </c>
      <c r="H508">
        <f>IF(A508="","",F508*G508)</f>
        <v/>
      </c>
      <c r="I508">
        <f>IF(E508="","",IFERROR(VLOOKUP(E508,'Master Inventory'!$A$4:$J$69,10,FALSE),0))</f>
        <v/>
      </c>
      <c r="J508">
        <f>IF(A508="","",MAX(0,H508-I508))</f>
        <v/>
      </c>
      <c r="K508">
        <f>IF(A508="","",IF(J508&gt;0,"SHORTAGE","READY TO RESERVE"))</f>
        <v/>
      </c>
    </row>
    <row r="509">
      <c r="A509">
        <f>'Job Cards'!A40</f>
        <v/>
      </c>
      <c r="B509">
        <f>IF(A509="","",'Job Cards'!B40)</f>
        <v/>
      </c>
      <c r="C509">
        <f>IF(A509="","",'Job Cards'!D40)</f>
        <v/>
      </c>
      <c r="D509">
        <f>IF(A509="","",'BOM Mapping'!A5)</f>
        <v/>
      </c>
      <c r="E509">
        <f>IF(A509="","",IF(C509="Longitude",'BOM Mapping'!C5,IF(C509="Latitude",'BOM Mapping'!D5,IF(C509="Altitude",'BOM Mapping'!E5,""))))</f>
        <v/>
      </c>
      <c r="F509">
        <f>IF(A509="","",'BOM Mapping'!F5)</f>
        <v/>
      </c>
      <c r="G509">
        <f>IF(A509="","",'Job Cards'!E40)</f>
        <v/>
      </c>
      <c r="H509">
        <f>IF(A509="","",F509*G509)</f>
        <v/>
      </c>
      <c r="I509">
        <f>IF(E509="","",IFERROR(VLOOKUP(E509,'Master Inventory'!$A$4:$J$69,10,FALSE),0))</f>
        <v/>
      </c>
      <c r="J509">
        <f>IF(A509="","",MAX(0,H509-I509))</f>
        <v/>
      </c>
      <c r="K509">
        <f>IF(A509="","",IF(J509&gt;0,"SHORTAGE","READY TO RESERVE"))</f>
        <v/>
      </c>
    </row>
    <row r="510">
      <c r="A510">
        <f>'Job Cards'!A40</f>
        <v/>
      </c>
      <c r="B510">
        <f>IF(A510="","",'Job Cards'!B40)</f>
        <v/>
      </c>
      <c r="C510">
        <f>IF(A510="","",'Job Cards'!D40)</f>
        <v/>
      </c>
      <c r="D510">
        <f>IF(A510="","",'BOM Mapping'!A6)</f>
        <v/>
      </c>
      <c r="E510">
        <f>IF(A510="","",IF(C510="Longitude",'BOM Mapping'!C6,IF(C510="Latitude",'BOM Mapping'!D6,IF(C510="Altitude",'BOM Mapping'!E6,""))))</f>
        <v/>
      </c>
      <c r="F510">
        <f>IF(A510="","",'BOM Mapping'!F6)</f>
        <v/>
      </c>
      <c r="G510">
        <f>IF(A510="","",'Job Cards'!E40)</f>
        <v/>
      </c>
      <c r="H510">
        <f>IF(A510="","",F510*G510)</f>
        <v/>
      </c>
      <c r="I510">
        <f>IF(E510="","",IFERROR(VLOOKUP(E510,'Master Inventory'!$A$4:$J$69,10,FALSE),0))</f>
        <v/>
      </c>
      <c r="J510">
        <f>IF(A510="","",MAX(0,H510-I510))</f>
        <v/>
      </c>
      <c r="K510">
        <f>IF(A510="","",IF(J510&gt;0,"SHORTAGE","READY TO RESERVE"))</f>
        <v/>
      </c>
    </row>
    <row r="511">
      <c r="A511">
        <f>'Job Cards'!A40</f>
        <v/>
      </c>
      <c r="B511">
        <f>IF(A511="","",'Job Cards'!B40)</f>
        <v/>
      </c>
      <c r="C511">
        <f>IF(A511="","",'Job Cards'!D40)</f>
        <v/>
      </c>
      <c r="D511">
        <f>IF(A511="","",'BOM Mapping'!A7)</f>
        <v/>
      </c>
      <c r="E511">
        <f>IF(A511="","",IF(C511="Longitude",'BOM Mapping'!C7,IF(C511="Latitude",'BOM Mapping'!D7,IF(C511="Altitude",'BOM Mapping'!E7,""))))</f>
        <v/>
      </c>
      <c r="F511">
        <f>IF(A511="","",'BOM Mapping'!F7)</f>
        <v/>
      </c>
      <c r="G511">
        <f>IF(A511="","",'Job Cards'!E40)</f>
        <v/>
      </c>
      <c r="H511">
        <f>IF(A511="","",F511*G511)</f>
        <v/>
      </c>
      <c r="I511">
        <f>IF(E511="","",IFERROR(VLOOKUP(E511,'Master Inventory'!$A$4:$J$69,10,FALSE),0))</f>
        <v/>
      </c>
      <c r="J511">
        <f>IF(A511="","",MAX(0,H511-I511))</f>
        <v/>
      </c>
      <c r="K511">
        <f>IF(A511="","",IF(J511&gt;0,"SHORTAGE","READY TO RESERVE"))</f>
        <v/>
      </c>
    </row>
    <row r="512">
      <c r="A512">
        <f>'Job Cards'!A40</f>
        <v/>
      </c>
      <c r="B512">
        <f>IF(A512="","",'Job Cards'!B40)</f>
        <v/>
      </c>
      <c r="C512">
        <f>IF(A512="","",'Job Cards'!D40)</f>
        <v/>
      </c>
      <c r="D512">
        <f>IF(A512="","",'BOM Mapping'!A8)</f>
        <v/>
      </c>
      <c r="E512">
        <f>IF(A512="","",IF(C512="Longitude",'BOM Mapping'!C8,IF(C512="Latitude",'BOM Mapping'!D8,IF(C512="Altitude",'BOM Mapping'!E8,""))))</f>
        <v/>
      </c>
      <c r="F512">
        <f>IF(A512="","",'BOM Mapping'!F8)</f>
        <v/>
      </c>
      <c r="G512">
        <f>IF(A512="","",'Job Cards'!E40)</f>
        <v/>
      </c>
      <c r="H512">
        <f>IF(A512="","",F512*G512)</f>
        <v/>
      </c>
      <c r="I512">
        <f>IF(E512="","",IFERROR(VLOOKUP(E512,'Master Inventory'!$A$4:$J$69,10,FALSE),0))</f>
        <v/>
      </c>
      <c r="J512">
        <f>IF(A512="","",MAX(0,H512-I512))</f>
        <v/>
      </c>
      <c r="K512">
        <f>IF(A512="","",IF(J512&gt;0,"SHORTAGE","READY TO RESERVE"))</f>
        <v/>
      </c>
    </row>
    <row r="513">
      <c r="A513">
        <f>'Job Cards'!A40</f>
        <v/>
      </c>
      <c r="B513">
        <f>IF(A513="","",'Job Cards'!B40)</f>
        <v/>
      </c>
      <c r="C513">
        <f>IF(A513="","",'Job Cards'!D40)</f>
        <v/>
      </c>
      <c r="D513">
        <f>IF(A513="","",'BOM Mapping'!A9)</f>
        <v/>
      </c>
      <c r="E513">
        <f>IF(A513="","",IF(C513="Longitude",'BOM Mapping'!C9,IF(C513="Latitude",'BOM Mapping'!D9,IF(C513="Altitude",'BOM Mapping'!E9,""))))</f>
        <v/>
      </c>
      <c r="F513">
        <f>IF(A513="","",'BOM Mapping'!F9)</f>
        <v/>
      </c>
      <c r="G513">
        <f>IF(A513="","",'Job Cards'!E40)</f>
        <v/>
      </c>
      <c r="H513">
        <f>IF(A513="","",F513*G513)</f>
        <v/>
      </c>
      <c r="I513">
        <f>IF(E513="","",IFERROR(VLOOKUP(E513,'Master Inventory'!$A$4:$J$69,10,FALSE),0))</f>
        <v/>
      </c>
      <c r="J513">
        <f>IF(A513="","",MAX(0,H513-I513))</f>
        <v/>
      </c>
      <c r="K513">
        <f>IF(A513="","",IF(J513&gt;0,"SHORTAGE","READY TO RESERVE"))</f>
        <v/>
      </c>
    </row>
    <row r="514">
      <c r="A514">
        <f>'Job Cards'!A40</f>
        <v/>
      </c>
      <c r="B514">
        <f>IF(A514="","",'Job Cards'!B40)</f>
        <v/>
      </c>
      <c r="C514">
        <f>IF(A514="","",'Job Cards'!D40)</f>
        <v/>
      </c>
      <c r="D514">
        <f>IF(A514="","",'BOM Mapping'!A10)</f>
        <v/>
      </c>
      <c r="E514">
        <f>IF(A514="","",IF(C514="Longitude",'BOM Mapping'!C10,IF(C514="Latitude",'BOM Mapping'!D10,IF(C514="Altitude",'BOM Mapping'!E10,""))))</f>
        <v/>
      </c>
      <c r="F514">
        <f>IF(A514="","",'BOM Mapping'!F10)</f>
        <v/>
      </c>
      <c r="G514">
        <f>IF(A514="","",'Job Cards'!E40)</f>
        <v/>
      </c>
      <c r="H514">
        <f>IF(A514="","",F514*G514)</f>
        <v/>
      </c>
      <c r="I514">
        <f>IF(E514="","",IFERROR(VLOOKUP(E514,'Master Inventory'!$A$4:$J$69,10,FALSE),0))</f>
        <v/>
      </c>
      <c r="J514">
        <f>IF(A514="","",MAX(0,H514-I514))</f>
        <v/>
      </c>
      <c r="K514">
        <f>IF(A514="","",IF(J514&gt;0,"SHORTAGE","READY TO RESERVE"))</f>
        <v/>
      </c>
    </row>
    <row r="515">
      <c r="A515">
        <f>'Job Cards'!A40</f>
        <v/>
      </c>
      <c r="B515">
        <f>IF(A515="","",'Job Cards'!B40)</f>
        <v/>
      </c>
      <c r="C515">
        <f>IF(A515="","",'Job Cards'!D40)</f>
        <v/>
      </c>
      <c r="D515">
        <f>IF(A515="","",'BOM Mapping'!A11)</f>
        <v/>
      </c>
      <c r="E515">
        <f>IF(A515="","",IF(C515="Longitude",'BOM Mapping'!C11,IF(C515="Latitude",'BOM Mapping'!D11,IF(C515="Altitude",'BOM Mapping'!E11,""))))</f>
        <v/>
      </c>
      <c r="F515">
        <f>IF(A515="","",'BOM Mapping'!F11)</f>
        <v/>
      </c>
      <c r="G515">
        <f>IF(A515="","",'Job Cards'!E40)</f>
        <v/>
      </c>
      <c r="H515">
        <f>IF(A515="","",F515*G515)</f>
        <v/>
      </c>
      <c r="I515">
        <f>IF(E515="","",IFERROR(VLOOKUP(E515,'Master Inventory'!$A$4:$J$69,10,FALSE),0))</f>
        <v/>
      </c>
      <c r="J515">
        <f>IF(A515="","",MAX(0,H515-I515))</f>
        <v/>
      </c>
      <c r="K515">
        <f>IF(A515="","",IF(J515&gt;0,"SHORTAGE","READY TO RESERVE"))</f>
        <v/>
      </c>
    </row>
    <row r="516">
      <c r="A516">
        <f>'Job Cards'!A40</f>
        <v/>
      </c>
      <c r="B516">
        <f>IF(A516="","",'Job Cards'!B40)</f>
        <v/>
      </c>
      <c r="C516">
        <f>IF(A516="","",'Job Cards'!D40)</f>
        <v/>
      </c>
      <c r="D516">
        <f>IF(A516="","",'BOM Mapping'!A12)</f>
        <v/>
      </c>
      <c r="E516">
        <f>IF(A516="","",IF(C516="Longitude",'BOM Mapping'!C12,IF(C516="Latitude",'BOM Mapping'!D12,IF(C516="Altitude",'BOM Mapping'!E12,""))))</f>
        <v/>
      </c>
      <c r="F516">
        <f>IF(A516="","",'BOM Mapping'!F12)</f>
        <v/>
      </c>
      <c r="G516">
        <f>IF(A516="","",'Job Cards'!E40)</f>
        <v/>
      </c>
      <c r="H516">
        <f>IF(A516="","",F516*G516)</f>
        <v/>
      </c>
      <c r="I516">
        <f>IF(E516="","",IFERROR(VLOOKUP(E516,'Master Inventory'!$A$4:$J$69,10,FALSE),0))</f>
        <v/>
      </c>
      <c r="J516">
        <f>IF(A516="","",MAX(0,H516-I516))</f>
        <v/>
      </c>
      <c r="K516">
        <f>IF(A516="","",IF(J516&gt;0,"SHORTAGE","READY TO RESERVE"))</f>
        <v/>
      </c>
    </row>
    <row r="517">
      <c r="A517">
        <f>'Job Cards'!A40</f>
        <v/>
      </c>
      <c r="B517">
        <f>IF(A517="","",'Job Cards'!B40)</f>
        <v/>
      </c>
      <c r="C517">
        <f>IF(A517="","",'Job Cards'!D40)</f>
        <v/>
      </c>
      <c r="D517">
        <f>IF(A517="","",'BOM Mapping'!A13)</f>
        <v/>
      </c>
      <c r="E517">
        <f>IF(A517="","",IF(C517="Longitude",'BOM Mapping'!C13,IF(C517="Latitude",'BOM Mapping'!D13,IF(C517="Altitude",'BOM Mapping'!E13,""))))</f>
        <v/>
      </c>
      <c r="F517">
        <f>IF(A517="","",'BOM Mapping'!F13)</f>
        <v/>
      </c>
      <c r="G517">
        <f>IF(A517="","",'Job Cards'!E40)</f>
        <v/>
      </c>
      <c r="H517">
        <f>IF(A517="","",F517*G517)</f>
        <v/>
      </c>
      <c r="I517">
        <f>IF(E517="","",IFERROR(VLOOKUP(E517,'Master Inventory'!$A$4:$J$69,10,FALSE),0))</f>
        <v/>
      </c>
      <c r="J517">
        <f>IF(A517="","",MAX(0,H517-I517))</f>
        <v/>
      </c>
      <c r="K517">
        <f>IF(A517="","",IF(J517&gt;0,"SHORTAGE","READY TO RESERVE"))</f>
        <v/>
      </c>
    </row>
    <row r="518">
      <c r="A518">
        <f>'Job Cards'!A40</f>
        <v/>
      </c>
      <c r="B518">
        <f>IF(A518="","",'Job Cards'!B40)</f>
        <v/>
      </c>
      <c r="C518">
        <f>IF(A518="","",'Job Cards'!D40)</f>
        <v/>
      </c>
      <c r="D518">
        <f>IF(A518="","",'BOM Mapping'!A14)</f>
        <v/>
      </c>
      <c r="E518">
        <f>IF(A518="","",IF(C518="Longitude",'BOM Mapping'!C14,IF(C518="Latitude",'BOM Mapping'!D14,IF(C518="Altitude",'BOM Mapping'!E14,""))))</f>
        <v/>
      </c>
      <c r="F518">
        <f>IF(A518="","",'BOM Mapping'!F14)</f>
        <v/>
      </c>
      <c r="G518">
        <f>IF(A518="","",'Job Cards'!E40)</f>
        <v/>
      </c>
      <c r="H518">
        <f>IF(A518="","",F518*G518)</f>
        <v/>
      </c>
      <c r="I518">
        <f>IF(E518="","",IFERROR(VLOOKUP(E518,'Master Inventory'!$A$4:$J$69,10,FALSE),0))</f>
        <v/>
      </c>
      <c r="J518">
        <f>IF(A518="","",MAX(0,H518-I518))</f>
        <v/>
      </c>
      <c r="K518">
        <f>IF(A518="","",IF(J518&gt;0,"SHORTAGE","READY TO RESERVE"))</f>
        <v/>
      </c>
    </row>
    <row r="519">
      <c r="A519">
        <f>'Job Cards'!A40</f>
        <v/>
      </c>
      <c r="B519">
        <f>IF(A519="","",'Job Cards'!B40)</f>
        <v/>
      </c>
      <c r="C519">
        <f>IF(A519="","",'Job Cards'!D40)</f>
        <v/>
      </c>
      <c r="D519">
        <f>IF(A519="","",'BOM Mapping'!A15)</f>
        <v/>
      </c>
      <c r="E519">
        <f>IF(A519="","",IF(C519="Longitude",'BOM Mapping'!C15,IF(C519="Latitude",'BOM Mapping'!D15,IF(C519="Altitude",'BOM Mapping'!E15,""))))</f>
        <v/>
      </c>
      <c r="F519">
        <f>IF(A519="","",'BOM Mapping'!F15)</f>
        <v/>
      </c>
      <c r="G519">
        <f>IF(A519="","",'Job Cards'!E40)</f>
        <v/>
      </c>
      <c r="H519">
        <f>IF(A519="","",F519*G519)</f>
        <v/>
      </c>
      <c r="I519">
        <f>IF(E519="","",IFERROR(VLOOKUP(E519,'Master Inventory'!$A$4:$J$69,10,FALSE),0))</f>
        <v/>
      </c>
      <c r="J519">
        <f>IF(A519="","",MAX(0,H519-I519))</f>
        <v/>
      </c>
      <c r="K519">
        <f>IF(A519="","",IF(J519&gt;0,"SHORTAGE","READY TO RESERVE"))</f>
        <v/>
      </c>
    </row>
    <row r="520">
      <c r="A520">
        <f>'Job Cards'!A40</f>
        <v/>
      </c>
      <c r="B520">
        <f>IF(A520="","",'Job Cards'!B40)</f>
        <v/>
      </c>
      <c r="C520">
        <f>IF(A520="","",'Job Cards'!D40)</f>
        <v/>
      </c>
      <c r="D520">
        <f>IF(A520="","",'BOM Mapping'!A16)</f>
        <v/>
      </c>
      <c r="E520">
        <f>IF(A520="","",IF(C520="Longitude",'BOM Mapping'!C16,IF(C520="Latitude",'BOM Mapping'!D16,IF(C520="Altitude",'BOM Mapping'!E16,""))))</f>
        <v/>
      </c>
      <c r="F520">
        <f>IF(A520="","",'BOM Mapping'!F16)</f>
        <v/>
      </c>
      <c r="G520">
        <f>IF(A520="","",'Job Cards'!E40)</f>
        <v/>
      </c>
      <c r="H520">
        <f>IF(A520="","",F520*G520)</f>
        <v/>
      </c>
      <c r="I520">
        <f>IF(E520="","",IFERROR(VLOOKUP(E520,'Master Inventory'!$A$4:$J$69,10,FALSE),0))</f>
        <v/>
      </c>
      <c r="J520">
        <f>IF(A520="","",MAX(0,H520-I520))</f>
        <v/>
      </c>
      <c r="K520">
        <f>IF(A520="","",IF(J520&gt;0,"SHORTAGE","READY TO RESERVE"))</f>
        <v/>
      </c>
    </row>
    <row r="521">
      <c r="A521">
        <f>'Job Cards'!A40</f>
        <v/>
      </c>
      <c r="B521">
        <f>IF(A521="","",'Job Cards'!B40)</f>
        <v/>
      </c>
      <c r="C521">
        <f>IF(A521="","",'Job Cards'!D40)</f>
        <v/>
      </c>
      <c r="D521">
        <f>IF(A521="","",'BOM Mapping'!A17)</f>
        <v/>
      </c>
      <c r="E521">
        <f>IF(A521="","",IF(C521="Longitude",'BOM Mapping'!C17,IF(C521="Latitude",'BOM Mapping'!D17,IF(C521="Altitude",'BOM Mapping'!E17,""))))</f>
        <v/>
      </c>
      <c r="F521">
        <f>IF(A521="","",'BOM Mapping'!F17)</f>
        <v/>
      </c>
      <c r="G521">
        <f>IF(A521="","",'Job Cards'!E40)</f>
        <v/>
      </c>
      <c r="H521">
        <f>IF(A521="","",F521*G521)</f>
        <v/>
      </c>
      <c r="I521">
        <f>IF(E521="","",IFERROR(VLOOKUP(E521,'Master Inventory'!$A$4:$J$69,10,FALSE),0))</f>
        <v/>
      </c>
      <c r="J521">
        <f>IF(A521="","",MAX(0,H521-I521))</f>
        <v/>
      </c>
      <c r="K521">
        <f>IF(A521="","",IF(J521&gt;0,"SHORTAGE","READY TO RESERVE"))</f>
        <v/>
      </c>
    </row>
    <row r="522">
      <c r="A522">
        <f>'Job Cards'!A41</f>
        <v/>
      </c>
      <c r="B522">
        <f>IF(A522="","",'Job Cards'!B41)</f>
        <v/>
      </c>
      <c r="C522">
        <f>IF(A522="","",'Job Cards'!D41)</f>
        <v/>
      </c>
      <c r="D522">
        <f>IF(A522="","",'BOM Mapping'!A4)</f>
        <v/>
      </c>
      <c r="E522">
        <f>IF(A522="","",IF(C522="Longitude",'BOM Mapping'!C4,IF(C522="Latitude",'BOM Mapping'!D4,IF(C522="Altitude",'BOM Mapping'!E4,""))))</f>
        <v/>
      </c>
      <c r="F522">
        <f>IF(A522="","",'BOM Mapping'!F4)</f>
        <v/>
      </c>
      <c r="G522">
        <f>IF(A522="","",'Job Cards'!E41)</f>
        <v/>
      </c>
      <c r="H522">
        <f>IF(A522="","",F522*G522)</f>
        <v/>
      </c>
      <c r="I522">
        <f>IF(E522="","",IFERROR(VLOOKUP(E522,'Master Inventory'!$A$4:$J$69,10,FALSE),0))</f>
        <v/>
      </c>
      <c r="J522">
        <f>IF(A522="","",MAX(0,H522-I522))</f>
        <v/>
      </c>
      <c r="K522">
        <f>IF(A522="","",IF(J522&gt;0,"SHORTAGE","READY TO RESERVE"))</f>
        <v/>
      </c>
    </row>
    <row r="523">
      <c r="A523">
        <f>'Job Cards'!A41</f>
        <v/>
      </c>
      <c r="B523">
        <f>IF(A523="","",'Job Cards'!B41)</f>
        <v/>
      </c>
      <c r="C523">
        <f>IF(A523="","",'Job Cards'!D41)</f>
        <v/>
      </c>
      <c r="D523">
        <f>IF(A523="","",'BOM Mapping'!A5)</f>
        <v/>
      </c>
      <c r="E523">
        <f>IF(A523="","",IF(C523="Longitude",'BOM Mapping'!C5,IF(C523="Latitude",'BOM Mapping'!D5,IF(C523="Altitude",'BOM Mapping'!E5,""))))</f>
        <v/>
      </c>
      <c r="F523">
        <f>IF(A523="","",'BOM Mapping'!F5)</f>
        <v/>
      </c>
      <c r="G523">
        <f>IF(A523="","",'Job Cards'!E41)</f>
        <v/>
      </c>
      <c r="H523">
        <f>IF(A523="","",F523*G523)</f>
        <v/>
      </c>
      <c r="I523">
        <f>IF(E523="","",IFERROR(VLOOKUP(E523,'Master Inventory'!$A$4:$J$69,10,FALSE),0))</f>
        <v/>
      </c>
      <c r="J523">
        <f>IF(A523="","",MAX(0,H523-I523))</f>
        <v/>
      </c>
      <c r="K523">
        <f>IF(A523="","",IF(J523&gt;0,"SHORTAGE","READY TO RESERVE"))</f>
        <v/>
      </c>
    </row>
    <row r="524">
      <c r="A524">
        <f>'Job Cards'!A41</f>
        <v/>
      </c>
      <c r="B524">
        <f>IF(A524="","",'Job Cards'!B41)</f>
        <v/>
      </c>
      <c r="C524">
        <f>IF(A524="","",'Job Cards'!D41)</f>
        <v/>
      </c>
      <c r="D524">
        <f>IF(A524="","",'BOM Mapping'!A6)</f>
        <v/>
      </c>
      <c r="E524">
        <f>IF(A524="","",IF(C524="Longitude",'BOM Mapping'!C6,IF(C524="Latitude",'BOM Mapping'!D6,IF(C524="Altitude",'BOM Mapping'!E6,""))))</f>
        <v/>
      </c>
      <c r="F524">
        <f>IF(A524="","",'BOM Mapping'!F6)</f>
        <v/>
      </c>
      <c r="G524">
        <f>IF(A524="","",'Job Cards'!E41)</f>
        <v/>
      </c>
      <c r="H524">
        <f>IF(A524="","",F524*G524)</f>
        <v/>
      </c>
      <c r="I524">
        <f>IF(E524="","",IFERROR(VLOOKUP(E524,'Master Inventory'!$A$4:$J$69,10,FALSE),0))</f>
        <v/>
      </c>
      <c r="J524">
        <f>IF(A524="","",MAX(0,H524-I524))</f>
        <v/>
      </c>
      <c r="K524">
        <f>IF(A524="","",IF(J524&gt;0,"SHORTAGE","READY TO RESERVE"))</f>
        <v/>
      </c>
    </row>
    <row r="525">
      <c r="A525">
        <f>'Job Cards'!A41</f>
        <v/>
      </c>
      <c r="B525">
        <f>IF(A525="","",'Job Cards'!B41)</f>
        <v/>
      </c>
      <c r="C525">
        <f>IF(A525="","",'Job Cards'!D41)</f>
        <v/>
      </c>
      <c r="D525">
        <f>IF(A525="","",'BOM Mapping'!A7)</f>
        <v/>
      </c>
      <c r="E525">
        <f>IF(A525="","",IF(C525="Longitude",'BOM Mapping'!C7,IF(C525="Latitude",'BOM Mapping'!D7,IF(C525="Altitude",'BOM Mapping'!E7,""))))</f>
        <v/>
      </c>
      <c r="F525">
        <f>IF(A525="","",'BOM Mapping'!F7)</f>
        <v/>
      </c>
      <c r="G525">
        <f>IF(A525="","",'Job Cards'!E41)</f>
        <v/>
      </c>
      <c r="H525">
        <f>IF(A525="","",F525*G525)</f>
        <v/>
      </c>
      <c r="I525">
        <f>IF(E525="","",IFERROR(VLOOKUP(E525,'Master Inventory'!$A$4:$J$69,10,FALSE),0))</f>
        <v/>
      </c>
      <c r="J525">
        <f>IF(A525="","",MAX(0,H525-I525))</f>
        <v/>
      </c>
      <c r="K525">
        <f>IF(A525="","",IF(J525&gt;0,"SHORTAGE","READY TO RESERVE"))</f>
        <v/>
      </c>
    </row>
    <row r="526">
      <c r="A526">
        <f>'Job Cards'!A41</f>
        <v/>
      </c>
      <c r="B526">
        <f>IF(A526="","",'Job Cards'!B41)</f>
        <v/>
      </c>
      <c r="C526">
        <f>IF(A526="","",'Job Cards'!D41)</f>
        <v/>
      </c>
      <c r="D526">
        <f>IF(A526="","",'BOM Mapping'!A8)</f>
        <v/>
      </c>
      <c r="E526">
        <f>IF(A526="","",IF(C526="Longitude",'BOM Mapping'!C8,IF(C526="Latitude",'BOM Mapping'!D8,IF(C526="Altitude",'BOM Mapping'!E8,""))))</f>
        <v/>
      </c>
      <c r="F526">
        <f>IF(A526="","",'BOM Mapping'!F8)</f>
        <v/>
      </c>
      <c r="G526">
        <f>IF(A526="","",'Job Cards'!E41)</f>
        <v/>
      </c>
      <c r="H526">
        <f>IF(A526="","",F526*G526)</f>
        <v/>
      </c>
      <c r="I526">
        <f>IF(E526="","",IFERROR(VLOOKUP(E526,'Master Inventory'!$A$4:$J$69,10,FALSE),0))</f>
        <v/>
      </c>
      <c r="J526">
        <f>IF(A526="","",MAX(0,H526-I526))</f>
        <v/>
      </c>
      <c r="K526">
        <f>IF(A526="","",IF(J526&gt;0,"SHORTAGE","READY TO RESERVE"))</f>
        <v/>
      </c>
    </row>
    <row r="527">
      <c r="A527">
        <f>'Job Cards'!A41</f>
        <v/>
      </c>
      <c r="B527">
        <f>IF(A527="","",'Job Cards'!B41)</f>
        <v/>
      </c>
      <c r="C527">
        <f>IF(A527="","",'Job Cards'!D41)</f>
        <v/>
      </c>
      <c r="D527">
        <f>IF(A527="","",'BOM Mapping'!A9)</f>
        <v/>
      </c>
      <c r="E527">
        <f>IF(A527="","",IF(C527="Longitude",'BOM Mapping'!C9,IF(C527="Latitude",'BOM Mapping'!D9,IF(C527="Altitude",'BOM Mapping'!E9,""))))</f>
        <v/>
      </c>
      <c r="F527">
        <f>IF(A527="","",'BOM Mapping'!F9)</f>
        <v/>
      </c>
      <c r="G527">
        <f>IF(A527="","",'Job Cards'!E41)</f>
        <v/>
      </c>
      <c r="H527">
        <f>IF(A527="","",F527*G527)</f>
        <v/>
      </c>
      <c r="I527">
        <f>IF(E527="","",IFERROR(VLOOKUP(E527,'Master Inventory'!$A$4:$J$69,10,FALSE),0))</f>
        <v/>
      </c>
      <c r="J527">
        <f>IF(A527="","",MAX(0,H527-I527))</f>
        <v/>
      </c>
      <c r="K527">
        <f>IF(A527="","",IF(J527&gt;0,"SHORTAGE","READY TO RESERVE"))</f>
        <v/>
      </c>
    </row>
    <row r="528">
      <c r="A528">
        <f>'Job Cards'!A41</f>
        <v/>
      </c>
      <c r="B528">
        <f>IF(A528="","",'Job Cards'!B41)</f>
        <v/>
      </c>
      <c r="C528">
        <f>IF(A528="","",'Job Cards'!D41)</f>
        <v/>
      </c>
      <c r="D528">
        <f>IF(A528="","",'BOM Mapping'!A10)</f>
        <v/>
      </c>
      <c r="E528">
        <f>IF(A528="","",IF(C528="Longitude",'BOM Mapping'!C10,IF(C528="Latitude",'BOM Mapping'!D10,IF(C528="Altitude",'BOM Mapping'!E10,""))))</f>
        <v/>
      </c>
      <c r="F528">
        <f>IF(A528="","",'BOM Mapping'!F10)</f>
        <v/>
      </c>
      <c r="G528">
        <f>IF(A528="","",'Job Cards'!E41)</f>
        <v/>
      </c>
      <c r="H528">
        <f>IF(A528="","",F528*G528)</f>
        <v/>
      </c>
      <c r="I528">
        <f>IF(E528="","",IFERROR(VLOOKUP(E528,'Master Inventory'!$A$4:$J$69,10,FALSE),0))</f>
        <v/>
      </c>
      <c r="J528">
        <f>IF(A528="","",MAX(0,H528-I528))</f>
        <v/>
      </c>
      <c r="K528">
        <f>IF(A528="","",IF(J528&gt;0,"SHORTAGE","READY TO RESERVE"))</f>
        <v/>
      </c>
    </row>
    <row r="529">
      <c r="A529">
        <f>'Job Cards'!A41</f>
        <v/>
      </c>
      <c r="B529">
        <f>IF(A529="","",'Job Cards'!B41)</f>
        <v/>
      </c>
      <c r="C529">
        <f>IF(A529="","",'Job Cards'!D41)</f>
        <v/>
      </c>
      <c r="D529">
        <f>IF(A529="","",'BOM Mapping'!A11)</f>
        <v/>
      </c>
      <c r="E529">
        <f>IF(A529="","",IF(C529="Longitude",'BOM Mapping'!C11,IF(C529="Latitude",'BOM Mapping'!D11,IF(C529="Altitude",'BOM Mapping'!E11,""))))</f>
        <v/>
      </c>
      <c r="F529">
        <f>IF(A529="","",'BOM Mapping'!F11)</f>
        <v/>
      </c>
      <c r="G529">
        <f>IF(A529="","",'Job Cards'!E41)</f>
        <v/>
      </c>
      <c r="H529">
        <f>IF(A529="","",F529*G529)</f>
        <v/>
      </c>
      <c r="I529">
        <f>IF(E529="","",IFERROR(VLOOKUP(E529,'Master Inventory'!$A$4:$J$69,10,FALSE),0))</f>
        <v/>
      </c>
      <c r="J529">
        <f>IF(A529="","",MAX(0,H529-I529))</f>
        <v/>
      </c>
      <c r="K529">
        <f>IF(A529="","",IF(J529&gt;0,"SHORTAGE","READY TO RESERVE"))</f>
        <v/>
      </c>
    </row>
    <row r="530">
      <c r="A530">
        <f>'Job Cards'!A41</f>
        <v/>
      </c>
      <c r="B530">
        <f>IF(A530="","",'Job Cards'!B41)</f>
        <v/>
      </c>
      <c r="C530">
        <f>IF(A530="","",'Job Cards'!D41)</f>
        <v/>
      </c>
      <c r="D530">
        <f>IF(A530="","",'BOM Mapping'!A12)</f>
        <v/>
      </c>
      <c r="E530">
        <f>IF(A530="","",IF(C530="Longitude",'BOM Mapping'!C12,IF(C530="Latitude",'BOM Mapping'!D12,IF(C530="Altitude",'BOM Mapping'!E12,""))))</f>
        <v/>
      </c>
      <c r="F530">
        <f>IF(A530="","",'BOM Mapping'!F12)</f>
        <v/>
      </c>
      <c r="G530">
        <f>IF(A530="","",'Job Cards'!E41)</f>
        <v/>
      </c>
      <c r="H530">
        <f>IF(A530="","",F530*G530)</f>
        <v/>
      </c>
      <c r="I530">
        <f>IF(E530="","",IFERROR(VLOOKUP(E530,'Master Inventory'!$A$4:$J$69,10,FALSE),0))</f>
        <v/>
      </c>
      <c r="J530">
        <f>IF(A530="","",MAX(0,H530-I530))</f>
        <v/>
      </c>
      <c r="K530">
        <f>IF(A530="","",IF(J530&gt;0,"SHORTAGE","READY TO RESERVE"))</f>
        <v/>
      </c>
    </row>
    <row r="531">
      <c r="A531">
        <f>'Job Cards'!A41</f>
        <v/>
      </c>
      <c r="B531">
        <f>IF(A531="","",'Job Cards'!B41)</f>
        <v/>
      </c>
      <c r="C531">
        <f>IF(A531="","",'Job Cards'!D41)</f>
        <v/>
      </c>
      <c r="D531">
        <f>IF(A531="","",'BOM Mapping'!A13)</f>
        <v/>
      </c>
      <c r="E531">
        <f>IF(A531="","",IF(C531="Longitude",'BOM Mapping'!C13,IF(C531="Latitude",'BOM Mapping'!D13,IF(C531="Altitude",'BOM Mapping'!E13,""))))</f>
        <v/>
      </c>
      <c r="F531">
        <f>IF(A531="","",'BOM Mapping'!F13)</f>
        <v/>
      </c>
      <c r="G531">
        <f>IF(A531="","",'Job Cards'!E41)</f>
        <v/>
      </c>
      <c r="H531">
        <f>IF(A531="","",F531*G531)</f>
        <v/>
      </c>
      <c r="I531">
        <f>IF(E531="","",IFERROR(VLOOKUP(E531,'Master Inventory'!$A$4:$J$69,10,FALSE),0))</f>
        <v/>
      </c>
      <c r="J531">
        <f>IF(A531="","",MAX(0,H531-I531))</f>
        <v/>
      </c>
      <c r="K531">
        <f>IF(A531="","",IF(J531&gt;0,"SHORTAGE","READY TO RESERVE"))</f>
        <v/>
      </c>
    </row>
    <row r="532">
      <c r="A532">
        <f>'Job Cards'!A41</f>
        <v/>
      </c>
      <c r="B532">
        <f>IF(A532="","",'Job Cards'!B41)</f>
        <v/>
      </c>
      <c r="C532">
        <f>IF(A532="","",'Job Cards'!D41)</f>
        <v/>
      </c>
      <c r="D532">
        <f>IF(A532="","",'BOM Mapping'!A14)</f>
        <v/>
      </c>
      <c r="E532">
        <f>IF(A532="","",IF(C532="Longitude",'BOM Mapping'!C14,IF(C532="Latitude",'BOM Mapping'!D14,IF(C532="Altitude",'BOM Mapping'!E14,""))))</f>
        <v/>
      </c>
      <c r="F532">
        <f>IF(A532="","",'BOM Mapping'!F14)</f>
        <v/>
      </c>
      <c r="G532">
        <f>IF(A532="","",'Job Cards'!E41)</f>
        <v/>
      </c>
      <c r="H532">
        <f>IF(A532="","",F532*G532)</f>
        <v/>
      </c>
      <c r="I532">
        <f>IF(E532="","",IFERROR(VLOOKUP(E532,'Master Inventory'!$A$4:$J$69,10,FALSE),0))</f>
        <v/>
      </c>
      <c r="J532">
        <f>IF(A532="","",MAX(0,H532-I532))</f>
        <v/>
      </c>
      <c r="K532">
        <f>IF(A532="","",IF(J532&gt;0,"SHORTAGE","READY TO RESERVE"))</f>
        <v/>
      </c>
    </row>
    <row r="533">
      <c r="A533">
        <f>'Job Cards'!A41</f>
        <v/>
      </c>
      <c r="B533">
        <f>IF(A533="","",'Job Cards'!B41)</f>
        <v/>
      </c>
      <c r="C533">
        <f>IF(A533="","",'Job Cards'!D41)</f>
        <v/>
      </c>
      <c r="D533">
        <f>IF(A533="","",'BOM Mapping'!A15)</f>
        <v/>
      </c>
      <c r="E533">
        <f>IF(A533="","",IF(C533="Longitude",'BOM Mapping'!C15,IF(C533="Latitude",'BOM Mapping'!D15,IF(C533="Altitude",'BOM Mapping'!E15,""))))</f>
        <v/>
      </c>
      <c r="F533">
        <f>IF(A533="","",'BOM Mapping'!F15)</f>
        <v/>
      </c>
      <c r="G533">
        <f>IF(A533="","",'Job Cards'!E41)</f>
        <v/>
      </c>
      <c r="H533">
        <f>IF(A533="","",F533*G533)</f>
        <v/>
      </c>
      <c r="I533">
        <f>IF(E533="","",IFERROR(VLOOKUP(E533,'Master Inventory'!$A$4:$J$69,10,FALSE),0))</f>
        <v/>
      </c>
      <c r="J533">
        <f>IF(A533="","",MAX(0,H533-I533))</f>
        <v/>
      </c>
      <c r="K533">
        <f>IF(A533="","",IF(J533&gt;0,"SHORTAGE","READY TO RESERVE"))</f>
        <v/>
      </c>
    </row>
    <row r="534">
      <c r="A534">
        <f>'Job Cards'!A41</f>
        <v/>
      </c>
      <c r="B534">
        <f>IF(A534="","",'Job Cards'!B41)</f>
        <v/>
      </c>
      <c r="C534">
        <f>IF(A534="","",'Job Cards'!D41)</f>
        <v/>
      </c>
      <c r="D534">
        <f>IF(A534="","",'BOM Mapping'!A16)</f>
        <v/>
      </c>
      <c r="E534">
        <f>IF(A534="","",IF(C534="Longitude",'BOM Mapping'!C16,IF(C534="Latitude",'BOM Mapping'!D16,IF(C534="Altitude",'BOM Mapping'!E16,""))))</f>
        <v/>
      </c>
      <c r="F534">
        <f>IF(A534="","",'BOM Mapping'!F16)</f>
        <v/>
      </c>
      <c r="G534">
        <f>IF(A534="","",'Job Cards'!E41)</f>
        <v/>
      </c>
      <c r="H534">
        <f>IF(A534="","",F534*G534)</f>
        <v/>
      </c>
      <c r="I534">
        <f>IF(E534="","",IFERROR(VLOOKUP(E534,'Master Inventory'!$A$4:$J$69,10,FALSE),0))</f>
        <v/>
      </c>
      <c r="J534">
        <f>IF(A534="","",MAX(0,H534-I534))</f>
        <v/>
      </c>
      <c r="K534">
        <f>IF(A534="","",IF(J534&gt;0,"SHORTAGE","READY TO RESERVE"))</f>
        <v/>
      </c>
    </row>
    <row r="535">
      <c r="A535">
        <f>'Job Cards'!A41</f>
        <v/>
      </c>
      <c r="B535">
        <f>IF(A535="","",'Job Cards'!B41)</f>
        <v/>
      </c>
      <c r="C535">
        <f>IF(A535="","",'Job Cards'!D41)</f>
        <v/>
      </c>
      <c r="D535">
        <f>IF(A535="","",'BOM Mapping'!A17)</f>
        <v/>
      </c>
      <c r="E535">
        <f>IF(A535="","",IF(C535="Longitude",'BOM Mapping'!C17,IF(C535="Latitude",'BOM Mapping'!D17,IF(C535="Altitude",'BOM Mapping'!E17,""))))</f>
        <v/>
      </c>
      <c r="F535">
        <f>IF(A535="","",'BOM Mapping'!F17)</f>
        <v/>
      </c>
      <c r="G535">
        <f>IF(A535="","",'Job Cards'!E41)</f>
        <v/>
      </c>
      <c r="H535">
        <f>IF(A535="","",F535*G535)</f>
        <v/>
      </c>
      <c r="I535">
        <f>IF(E535="","",IFERROR(VLOOKUP(E535,'Master Inventory'!$A$4:$J$69,10,FALSE),0))</f>
        <v/>
      </c>
      <c r="J535">
        <f>IF(A535="","",MAX(0,H535-I535))</f>
        <v/>
      </c>
      <c r="K535">
        <f>IF(A535="","",IF(J535&gt;0,"SHORTAGE","READY TO RESERVE"))</f>
        <v/>
      </c>
    </row>
    <row r="536">
      <c r="A536">
        <f>'Job Cards'!A42</f>
        <v/>
      </c>
      <c r="B536">
        <f>IF(A536="","",'Job Cards'!B42)</f>
        <v/>
      </c>
      <c r="C536">
        <f>IF(A536="","",'Job Cards'!D42)</f>
        <v/>
      </c>
      <c r="D536">
        <f>IF(A536="","",'BOM Mapping'!A4)</f>
        <v/>
      </c>
      <c r="E536">
        <f>IF(A536="","",IF(C536="Longitude",'BOM Mapping'!C4,IF(C536="Latitude",'BOM Mapping'!D4,IF(C536="Altitude",'BOM Mapping'!E4,""))))</f>
        <v/>
      </c>
      <c r="F536">
        <f>IF(A536="","",'BOM Mapping'!F4)</f>
        <v/>
      </c>
      <c r="G536">
        <f>IF(A536="","",'Job Cards'!E42)</f>
        <v/>
      </c>
      <c r="H536">
        <f>IF(A536="","",F536*G536)</f>
        <v/>
      </c>
      <c r="I536">
        <f>IF(E536="","",IFERROR(VLOOKUP(E536,'Master Inventory'!$A$4:$J$69,10,FALSE),0))</f>
        <v/>
      </c>
      <c r="J536">
        <f>IF(A536="","",MAX(0,H536-I536))</f>
        <v/>
      </c>
      <c r="K536">
        <f>IF(A536="","",IF(J536&gt;0,"SHORTAGE","READY TO RESERVE"))</f>
        <v/>
      </c>
    </row>
    <row r="537">
      <c r="A537">
        <f>'Job Cards'!A42</f>
        <v/>
      </c>
      <c r="B537">
        <f>IF(A537="","",'Job Cards'!B42)</f>
        <v/>
      </c>
      <c r="C537">
        <f>IF(A537="","",'Job Cards'!D42)</f>
        <v/>
      </c>
      <c r="D537">
        <f>IF(A537="","",'BOM Mapping'!A5)</f>
        <v/>
      </c>
      <c r="E537">
        <f>IF(A537="","",IF(C537="Longitude",'BOM Mapping'!C5,IF(C537="Latitude",'BOM Mapping'!D5,IF(C537="Altitude",'BOM Mapping'!E5,""))))</f>
        <v/>
      </c>
      <c r="F537">
        <f>IF(A537="","",'BOM Mapping'!F5)</f>
        <v/>
      </c>
      <c r="G537">
        <f>IF(A537="","",'Job Cards'!E42)</f>
        <v/>
      </c>
      <c r="H537">
        <f>IF(A537="","",F537*G537)</f>
        <v/>
      </c>
      <c r="I537">
        <f>IF(E537="","",IFERROR(VLOOKUP(E537,'Master Inventory'!$A$4:$J$69,10,FALSE),0))</f>
        <v/>
      </c>
      <c r="J537">
        <f>IF(A537="","",MAX(0,H537-I537))</f>
        <v/>
      </c>
      <c r="K537">
        <f>IF(A537="","",IF(J537&gt;0,"SHORTAGE","READY TO RESERVE"))</f>
        <v/>
      </c>
    </row>
    <row r="538">
      <c r="A538">
        <f>'Job Cards'!A42</f>
        <v/>
      </c>
      <c r="B538">
        <f>IF(A538="","",'Job Cards'!B42)</f>
        <v/>
      </c>
      <c r="C538">
        <f>IF(A538="","",'Job Cards'!D42)</f>
        <v/>
      </c>
      <c r="D538">
        <f>IF(A538="","",'BOM Mapping'!A6)</f>
        <v/>
      </c>
      <c r="E538">
        <f>IF(A538="","",IF(C538="Longitude",'BOM Mapping'!C6,IF(C538="Latitude",'BOM Mapping'!D6,IF(C538="Altitude",'BOM Mapping'!E6,""))))</f>
        <v/>
      </c>
      <c r="F538">
        <f>IF(A538="","",'BOM Mapping'!F6)</f>
        <v/>
      </c>
      <c r="G538">
        <f>IF(A538="","",'Job Cards'!E42)</f>
        <v/>
      </c>
      <c r="H538">
        <f>IF(A538="","",F538*G538)</f>
        <v/>
      </c>
      <c r="I538">
        <f>IF(E538="","",IFERROR(VLOOKUP(E538,'Master Inventory'!$A$4:$J$69,10,FALSE),0))</f>
        <v/>
      </c>
      <c r="J538">
        <f>IF(A538="","",MAX(0,H538-I538))</f>
        <v/>
      </c>
      <c r="K538">
        <f>IF(A538="","",IF(J538&gt;0,"SHORTAGE","READY TO RESERVE"))</f>
        <v/>
      </c>
    </row>
    <row r="539">
      <c r="A539">
        <f>'Job Cards'!A42</f>
        <v/>
      </c>
      <c r="B539">
        <f>IF(A539="","",'Job Cards'!B42)</f>
        <v/>
      </c>
      <c r="C539">
        <f>IF(A539="","",'Job Cards'!D42)</f>
        <v/>
      </c>
      <c r="D539">
        <f>IF(A539="","",'BOM Mapping'!A7)</f>
        <v/>
      </c>
      <c r="E539">
        <f>IF(A539="","",IF(C539="Longitude",'BOM Mapping'!C7,IF(C539="Latitude",'BOM Mapping'!D7,IF(C539="Altitude",'BOM Mapping'!E7,""))))</f>
        <v/>
      </c>
      <c r="F539">
        <f>IF(A539="","",'BOM Mapping'!F7)</f>
        <v/>
      </c>
      <c r="G539">
        <f>IF(A539="","",'Job Cards'!E42)</f>
        <v/>
      </c>
      <c r="H539">
        <f>IF(A539="","",F539*G539)</f>
        <v/>
      </c>
      <c r="I539">
        <f>IF(E539="","",IFERROR(VLOOKUP(E539,'Master Inventory'!$A$4:$J$69,10,FALSE),0))</f>
        <v/>
      </c>
      <c r="J539">
        <f>IF(A539="","",MAX(0,H539-I539))</f>
        <v/>
      </c>
      <c r="K539">
        <f>IF(A539="","",IF(J539&gt;0,"SHORTAGE","READY TO RESERVE"))</f>
        <v/>
      </c>
    </row>
    <row r="540">
      <c r="A540">
        <f>'Job Cards'!A42</f>
        <v/>
      </c>
      <c r="B540">
        <f>IF(A540="","",'Job Cards'!B42)</f>
        <v/>
      </c>
      <c r="C540">
        <f>IF(A540="","",'Job Cards'!D42)</f>
        <v/>
      </c>
      <c r="D540">
        <f>IF(A540="","",'BOM Mapping'!A8)</f>
        <v/>
      </c>
      <c r="E540">
        <f>IF(A540="","",IF(C540="Longitude",'BOM Mapping'!C8,IF(C540="Latitude",'BOM Mapping'!D8,IF(C540="Altitude",'BOM Mapping'!E8,""))))</f>
        <v/>
      </c>
      <c r="F540">
        <f>IF(A540="","",'BOM Mapping'!F8)</f>
        <v/>
      </c>
      <c r="G540">
        <f>IF(A540="","",'Job Cards'!E42)</f>
        <v/>
      </c>
      <c r="H540">
        <f>IF(A540="","",F540*G540)</f>
        <v/>
      </c>
      <c r="I540">
        <f>IF(E540="","",IFERROR(VLOOKUP(E540,'Master Inventory'!$A$4:$J$69,10,FALSE),0))</f>
        <v/>
      </c>
      <c r="J540">
        <f>IF(A540="","",MAX(0,H540-I540))</f>
        <v/>
      </c>
      <c r="K540">
        <f>IF(A540="","",IF(J540&gt;0,"SHORTAGE","READY TO RESERVE"))</f>
        <v/>
      </c>
    </row>
    <row r="541">
      <c r="A541">
        <f>'Job Cards'!A42</f>
        <v/>
      </c>
      <c r="B541">
        <f>IF(A541="","",'Job Cards'!B42)</f>
        <v/>
      </c>
      <c r="C541">
        <f>IF(A541="","",'Job Cards'!D42)</f>
        <v/>
      </c>
      <c r="D541">
        <f>IF(A541="","",'BOM Mapping'!A9)</f>
        <v/>
      </c>
      <c r="E541">
        <f>IF(A541="","",IF(C541="Longitude",'BOM Mapping'!C9,IF(C541="Latitude",'BOM Mapping'!D9,IF(C541="Altitude",'BOM Mapping'!E9,""))))</f>
        <v/>
      </c>
      <c r="F541">
        <f>IF(A541="","",'BOM Mapping'!F9)</f>
        <v/>
      </c>
      <c r="G541">
        <f>IF(A541="","",'Job Cards'!E42)</f>
        <v/>
      </c>
      <c r="H541">
        <f>IF(A541="","",F541*G541)</f>
        <v/>
      </c>
      <c r="I541">
        <f>IF(E541="","",IFERROR(VLOOKUP(E541,'Master Inventory'!$A$4:$J$69,10,FALSE),0))</f>
        <v/>
      </c>
      <c r="J541">
        <f>IF(A541="","",MAX(0,H541-I541))</f>
        <v/>
      </c>
      <c r="K541">
        <f>IF(A541="","",IF(J541&gt;0,"SHORTAGE","READY TO RESERVE"))</f>
        <v/>
      </c>
    </row>
    <row r="542">
      <c r="A542">
        <f>'Job Cards'!A42</f>
        <v/>
      </c>
      <c r="B542">
        <f>IF(A542="","",'Job Cards'!B42)</f>
        <v/>
      </c>
      <c r="C542">
        <f>IF(A542="","",'Job Cards'!D42)</f>
        <v/>
      </c>
      <c r="D542">
        <f>IF(A542="","",'BOM Mapping'!A10)</f>
        <v/>
      </c>
      <c r="E542">
        <f>IF(A542="","",IF(C542="Longitude",'BOM Mapping'!C10,IF(C542="Latitude",'BOM Mapping'!D10,IF(C542="Altitude",'BOM Mapping'!E10,""))))</f>
        <v/>
      </c>
      <c r="F542">
        <f>IF(A542="","",'BOM Mapping'!F10)</f>
        <v/>
      </c>
      <c r="G542">
        <f>IF(A542="","",'Job Cards'!E42)</f>
        <v/>
      </c>
      <c r="H542">
        <f>IF(A542="","",F542*G542)</f>
        <v/>
      </c>
      <c r="I542">
        <f>IF(E542="","",IFERROR(VLOOKUP(E542,'Master Inventory'!$A$4:$J$69,10,FALSE),0))</f>
        <v/>
      </c>
      <c r="J542">
        <f>IF(A542="","",MAX(0,H542-I542))</f>
        <v/>
      </c>
      <c r="K542">
        <f>IF(A542="","",IF(J542&gt;0,"SHORTAGE","READY TO RESERVE"))</f>
        <v/>
      </c>
    </row>
    <row r="543">
      <c r="A543">
        <f>'Job Cards'!A42</f>
        <v/>
      </c>
      <c r="B543">
        <f>IF(A543="","",'Job Cards'!B42)</f>
        <v/>
      </c>
      <c r="C543">
        <f>IF(A543="","",'Job Cards'!D42)</f>
        <v/>
      </c>
      <c r="D543">
        <f>IF(A543="","",'BOM Mapping'!A11)</f>
        <v/>
      </c>
      <c r="E543">
        <f>IF(A543="","",IF(C543="Longitude",'BOM Mapping'!C11,IF(C543="Latitude",'BOM Mapping'!D11,IF(C543="Altitude",'BOM Mapping'!E11,""))))</f>
        <v/>
      </c>
      <c r="F543">
        <f>IF(A543="","",'BOM Mapping'!F11)</f>
        <v/>
      </c>
      <c r="G543">
        <f>IF(A543="","",'Job Cards'!E42)</f>
        <v/>
      </c>
      <c r="H543">
        <f>IF(A543="","",F543*G543)</f>
        <v/>
      </c>
      <c r="I543">
        <f>IF(E543="","",IFERROR(VLOOKUP(E543,'Master Inventory'!$A$4:$J$69,10,FALSE),0))</f>
        <v/>
      </c>
      <c r="J543">
        <f>IF(A543="","",MAX(0,H543-I543))</f>
        <v/>
      </c>
      <c r="K543">
        <f>IF(A543="","",IF(J543&gt;0,"SHORTAGE","READY TO RESERVE"))</f>
        <v/>
      </c>
    </row>
    <row r="544">
      <c r="A544">
        <f>'Job Cards'!A42</f>
        <v/>
      </c>
      <c r="B544">
        <f>IF(A544="","",'Job Cards'!B42)</f>
        <v/>
      </c>
      <c r="C544">
        <f>IF(A544="","",'Job Cards'!D42)</f>
        <v/>
      </c>
      <c r="D544">
        <f>IF(A544="","",'BOM Mapping'!A12)</f>
        <v/>
      </c>
      <c r="E544">
        <f>IF(A544="","",IF(C544="Longitude",'BOM Mapping'!C12,IF(C544="Latitude",'BOM Mapping'!D12,IF(C544="Altitude",'BOM Mapping'!E12,""))))</f>
        <v/>
      </c>
      <c r="F544">
        <f>IF(A544="","",'BOM Mapping'!F12)</f>
        <v/>
      </c>
      <c r="G544">
        <f>IF(A544="","",'Job Cards'!E42)</f>
        <v/>
      </c>
      <c r="H544">
        <f>IF(A544="","",F544*G544)</f>
        <v/>
      </c>
      <c r="I544">
        <f>IF(E544="","",IFERROR(VLOOKUP(E544,'Master Inventory'!$A$4:$J$69,10,FALSE),0))</f>
        <v/>
      </c>
      <c r="J544">
        <f>IF(A544="","",MAX(0,H544-I544))</f>
        <v/>
      </c>
      <c r="K544">
        <f>IF(A544="","",IF(J544&gt;0,"SHORTAGE","READY TO RESERVE"))</f>
        <v/>
      </c>
    </row>
    <row r="545">
      <c r="A545">
        <f>'Job Cards'!A42</f>
        <v/>
      </c>
      <c r="B545">
        <f>IF(A545="","",'Job Cards'!B42)</f>
        <v/>
      </c>
      <c r="C545">
        <f>IF(A545="","",'Job Cards'!D42)</f>
        <v/>
      </c>
      <c r="D545">
        <f>IF(A545="","",'BOM Mapping'!A13)</f>
        <v/>
      </c>
      <c r="E545">
        <f>IF(A545="","",IF(C545="Longitude",'BOM Mapping'!C13,IF(C545="Latitude",'BOM Mapping'!D13,IF(C545="Altitude",'BOM Mapping'!E13,""))))</f>
        <v/>
      </c>
      <c r="F545">
        <f>IF(A545="","",'BOM Mapping'!F13)</f>
        <v/>
      </c>
      <c r="G545">
        <f>IF(A545="","",'Job Cards'!E42)</f>
        <v/>
      </c>
      <c r="H545">
        <f>IF(A545="","",F545*G545)</f>
        <v/>
      </c>
      <c r="I545">
        <f>IF(E545="","",IFERROR(VLOOKUP(E545,'Master Inventory'!$A$4:$J$69,10,FALSE),0))</f>
        <v/>
      </c>
      <c r="J545">
        <f>IF(A545="","",MAX(0,H545-I545))</f>
        <v/>
      </c>
      <c r="K545">
        <f>IF(A545="","",IF(J545&gt;0,"SHORTAGE","READY TO RESERVE"))</f>
        <v/>
      </c>
    </row>
    <row r="546">
      <c r="A546">
        <f>'Job Cards'!A42</f>
        <v/>
      </c>
      <c r="B546">
        <f>IF(A546="","",'Job Cards'!B42)</f>
        <v/>
      </c>
      <c r="C546">
        <f>IF(A546="","",'Job Cards'!D42)</f>
        <v/>
      </c>
      <c r="D546">
        <f>IF(A546="","",'BOM Mapping'!A14)</f>
        <v/>
      </c>
      <c r="E546">
        <f>IF(A546="","",IF(C546="Longitude",'BOM Mapping'!C14,IF(C546="Latitude",'BOM Mapping'!D14,IF(C546="Altitude",'BOM Mapping'!E14,""))))</f>
        <v/>
      </c>
      <c r="F546">
        <f>IF(A546="","",'BOM Mapping'!F14)</f>
        <v/>
      </c>
      <c r="G546">
        <f>IF(A546="","",'Job Cards'!E42)</f>
        <v/>
      </c>
      <c r="H546">
        <f>IF(A546="","",F546*G546)</f>
        <v/>
      </c>
      <c r="I546">
        <f>IF(E546="","",IFERROR(VLOOKUP(E546,'Master Inventory'!$A$4:$J$69,10,FALSE),0))</f>
        <v/>
      </c>
      <c r="J546">
        <f>IF(A546="","",MAX(0,H546-I546))</f>
        <v/>
      </c>
      <c r="K546">
        <f>IF(A546="","",IF(J546&gt;0,"SHORTAGE","READY TO RESERVE"))</f>
        <v/>
      </c>
    </row>
    <row r="547">
      <c r="A547">
        <f>'Job Cards'!A42</f>
        <v/>
      </c>
      <c r="B547">
        <f>IF(A547="","",'Job Cards'!B42)</f>
        <v/>
      </c>
      <c r="C547">
        <f>IF(A547="","",'Job Cards'!D42)</f>
        <v/>
      </c>
      <c r="D547">
        <f>IF(A547="","",'BOM Mapping'!A15)</f>
        <v/>
      </c>
      <c r="E547">
        <f>IF(A547="","",IF(C547="Longitude",'BOM Mapping'!C15,IF(C547="Latitude",'BOM Mapping'!D15,IF(C547="Altitude",'BOM Mapping'!E15,""))))</f>
        <v/>
      </c>
      <c r="F547">
        <f>IF(A547="","",'BOM Mapping'!F15)</f>
        <v/>
      </c>
      <c r="G547">
        <f>IF(A547="","",'Job Cards'!E42)</f>
        <v/>
      </c>
      <c r="H547">
        <f>IF(A547="","",F547*G547)</f>
        <v/>
      </c>
      <c r="I547">
        <f>IF(E547="","",IFERROR(VLOOKUP(E547,'Master Inventory'!$A$4:$J$69,10,FALSE),0))</f>
        <v/>
      </c>
      <c r="J547">
        <f>IF(A547="","",MAX(0,H547-I547))</f>
        <v/>
      </c>
      <c r="K547">
        <f>IF(A547="","",IF(J547&gt;0,"SHORTAGE","READY TO RESERVE"))</f>
        <v/>
      </c>
    </row>
    <row r="548">
      <c r="A548">
        <f>'Job Cards'!A42</f>
        <v/>
      </c>
      <c r="B548">
        <f>IF(A548="","",'Job Cards'!B42)</f>
        <v/>
      </c>
      <c r="C548">
        <f>IF(A548="","",'Job Cards'!D42)</f>
        <v/>
      </c>
      <c r="D548">
        <f>IF(A548="","",'BOM Mapping'!A16)</f>
        <v/>
      </c>
      <c r="E548">
        <f>IF(A548="","",IF(C548="Longitude",'BOM Mapping'!C16,IF(C548="Latitude",'BOM Mapping'!D16,IF(C548="Altitude",'BOM Mapping'!E16,""))))</f>
        <v/>
      </c>
      <c r="F548">
        <f>IF(A548="","",'BOM Mapping'!F16)</f>
        <v/>
      </c>
      <c r="G548">
        <f>IF(A548="","",'Job Cards'!E42)</f>
        <v/>
      </c>
      <c r="H548">
        <f>IF(A548="","",F548*G548)</f>
        <v/>
      </c>
      <c r="I548">
        <f>IF(E548="","",IFERROR(VLOOKUP(E548,'Master Inventory'!$A$4:$J$69,10,FALSE),0))</f>
        <v/>
      </c>
      <c r="J548">
        <f>IF(A548="","",MAX(0,H548-I548))</f>
        <v/>
      </c>
      <c r="K548">
        <f>IF(A548="","",IF(J548&gt;0,"SHORTAGE","READY TO RESERVE"))</f>
        <v/>
      </c>
    </row>
    <row r="549">
      <c r="A549">
        <f>'Job Cards'!A42</f>
        <v/>
      </c>
      <c r="B549">
        <f>IF(A549="","",'Job Cards'!B42)</f>
        <v/>
      </c>
      <c r="C549">
        <f>IF(A549="","",'Job Cards'!D42)</f>
        <v/>
      </c>
      <c r="D549">
        <f>IF(A549="","",'BOM Mapping'!A17)</f>
        <v/>
      </c>
      <c r="E549">
        <f>IF(A549="","",IF(C549="Longitude",'BOM Mapping'!C17,IF(C549="Latitude",'BOM Mapping'!D17,IF(C549="Altitude",'BOM Mapping'!E17,""))))</f>
        <v/>
      </c>
      <c r="F549">
        <f>IF(A549="","",'BOM Mapping'!F17)</f>
        <v/>
      </c>
      <c r="G549">
        <f>IF(A549="","",'Job Cards'!E42)</f>
        <v/>
      </c>
      <c r="H549">
        <f>IF(A549="","",F549*G549)</f>
        <v/>
      </c>
      <c r="I549">
        <f>IF(E549="","",IFERROR(VLOOKUP(E549,'Master Inventory'!$A$4:$J$69,10,FALSE),0))</f>
        <v/>
      </c>
      <c r="J549">
        <f>IF(A549="","",MAX(0,H549-I549))</f>
        <v/>
      </c>
      <c r="K549">
        <f>IF(A549="","",IF(J549&gt;0,"SHORTAGE","READY TO RESERVE"))</f>
        <v/>
      </c>
    </row>
    <row r="550">
      <c r="A550">
        <f>'Job Cards'!A43</f>
        <v/>
      </c>
      <c r="B550">
        <f>IF(A550="","",'Job Cards'!B43)</f>
        <v/>
      </c>
      <c r="C550">
        <f>IF(A550="","",'Job Cards'!D43)</f>
        <v/>
      </c>
      <c r="D550">
        <f>IF(A550="","",'BOM Mapping'!A4)</f>
        <v/>
      </c>
      <c r="E550">
        <f>IF(A550="","",IF(C550="Longitude",'BOM Mapping'!C4,IF(C550="Latitude",'BOM Mapping'!D4,IF(C550="Altitude",'BOM Mapping'!E4,""))))</f>
        <v/>
      </c>
      <c r="F550">
        <f>IF(A550="","",'BOM Mapping'!F4)</f>
        <v/>
      </c>
      <c r="G550">
        <f>IF(A550="","",'Job Cards'!E43)</f>
        <v/>
      </c>
      <c r="H550">
        <f>IF(A550="","",F550*G550)</f>
        <v/>
      </c>
      <c r="I550">
        <f>IF(E550="","",IFERROR(VLOOKUP(E550,'Master Inventory'!$A$4:$J$69,10,FALSE),0))</f>
        <v/>
      </c>
      <c r="J550">
        <f>IF(A550="","",MAX(0,H550-I550))</f>
        <v/>
      </c>
      <c r="K550">
        <f>IF(A550="","",IF(J550&gt;0,"SHORTAGE","READY TO RESERVE"))</f>
        <v/>
      </c>
    </row>
    <row r="551">
      <c r="A551">
        <f>'Job Cards'!A43</f>
        <v/>
      </c>
      <c r="B551">
        <f>IF(A551="","",'Job Cards'!B43)</f>
        <v/>
      </c>
      <c r="C551">
        <f>IF(A551="","",'Job Cards'!D43)</f>
        <v/>
      </c>
      <c r="D551">
        <f>IF(A551="","",'BOM Mapping'!A5)</f>
        <v/>
      </c>
      <c r="E551">
        <f>IF(A551="","",IF(C551="Longitude",'BOM Mapping'!C5,IF(C551="Latitude",'BOM Mapping'!D5,IF(C551="Altitude",'BOM Mapping'!E5,""))))</f>
        <v/>
      </c>
      <c r="F551">
        <f>IF(A551="","",'BOM Mapping'!F5)</f>
        <v/>
      </c>
      <c r="G551">
        <f>IF(A551="","",'Job Cards'!E43)</f>
        <v/>
      </c>
      <c r="H551">
        <f>IF(A551="","",F551*G551)</f>
        <v/>
      </c>
      <c r="I551">
        <f>IF(E551="","",IFERROR(VLOOKUP(E551,'Master Inventory'!$A$4:$J$69,10,FALSE),0))</f>
        <v/>
      </c>
      <c r="J551">
        <f>IF(A551="","",MAX(0,H551-I551))</f>
        <v/>
      </c>
      <c r="K551">
        <f>IF(A551="","",IF(J551&gt;0,"SHORTAGE","READY TO RESERVE"))</f>
        <v/>
      </c>
    </row>
    <row r="552">
      <c r="A552">
        <f>'Job Cards'!A43</f>
        <v/>
      </c>
      <c r="B552">
        <f>IF(A552="","",'Job Cards'!B43)</f>
        <v/>
      </c>
      <c r="C552">
        <f>IF(A552="","",'Job Cards'!D43)</f>
        <v/>
      </c>
      <c r="D552">
        <f>IF(A552="","",'BOM Mapping'!A6)</f>
        <v/>
      </c>
      <c r="E552">
        <f>IF(A552="","",IF(C552="Longitude",'BOM Mapping'!C6,IF(C552="Latitude",'BOM Mapping'!D6,IF(C552="Altitude",'BOM Mapping'!E6,""))))</f>
        <v/>
      </c>
      <c r="F552">
        <f>IF(A552="","",'BOM Mapping'!F6)</f>
        <v/>
      </c>
      <c r="G552">
        <f>IF(A552="","",'Job Cards'!E43)</f>
        <v/>
      </c>
      <c r="H552">
        <f>IF(A552="","",F552*G552)</f>
        <v/>
      </c>
      <c r="I552">
        <f>IF(E552="","",IFERROR(VLOOKUP(E552,'Master Inventory'!$A$4:$J$69,10,FALSE),0))</f>
        <v/>
      </c>
      <c r="J552">
        <f>IF(A552="","",MAX(0,H552-I552))</f>
        <v/>
      </c>
      <c r="K552">
        <f>IF(A552="","",IF(J552&gt;0,"SHORTAGE","READY TO RESERVE"))</f>
        <v/>
      </c>
    </row>
    <row r="553">
      <c r="A553">
        <f>'Job Cards'!A43</f>
        <v/>
      </c>
      <c r="B553">
        <f>IF(A553="","",'Job Cards'!B43)</f>
        <v/>
      </c>
      <c r="C553">
        <f>IF(A553="","",'Job Cards'!D43)</f>
        <v/>
      </c>
      <c r="D553">
        <f>IF(A553="","",'BOM Mapping'!A7)</f>
        <v/>
      </c>
      <c r="E553">
        <f>IF(A553="","",IF(C553="Longitude",'BOM Mapping'!C7,IF(C553="Latitude",'BOM Mapping'!D7,IF(C553="Altitude",'BOM Mapping'!E7,""))))</f>
        <v/>
      </c>
      <c r="F553">
        <f>IF(A553="","",'BOM Mapping'!F7)</f>
        <v/>
      </c>
      <c r="G553">
        <f>IF(A553="","",'Job Cards'!E43)</f>
        <v/>
      </c>
      <c r="H553">
        <f>IF(A553="","",F553*G553)</f>
        <v/>
      </c>
      <c r="I553">
        <f>IF(E553="","",IFERROR(VLOOKUP(E553,'Master Inventory'!$A$4:$J$69,10,FALSE),0))</f>
        <v/>
      </c>
      <c r="J553">
        <f>IF(A553="","",MAX(0,H553-I553))</f>
        <v/>
      </c>
      <c r="K553">
        <f>IF(A553="","",IF(J553&gt;0,"SHORTAGE","READY TO RESERVE"))</f>
        <v/>
      </c>
    </row>
    <row r="554">
      <c r="A554">
        <f>'Job Cards'!A43</f>
        <v/>
      </c>
      <c r="B554">
        <f>IF(A554="","",'Job Cards'!B43)</f>
        <v/>
      </c>
      <c r="C554">
        <f>IF(A554="","",'Job Cards'!D43)</f>
        <v/>
      </c>
      <c r="D554">
        <f>IF(A554="","",'BOM Mapping'!A8)</f>
        <v/>
      </c>
      <c r="E554">
        <f>IF(A554="","",IF(C554="Longitude",'BOM Mapping'!C8,IF(C554="Latitude",'BOM Mapping'!D8,IF(C554="Altitude",'BOM Mapping'!E8,""))))</f>
        <v/>
      </c>
      <c r="F554">
        <f>IF(A554="","",'BOM Mapping'!F8)</f>
        <v/>
      </c>
      <c r="G554">
        <f>IF(A554="","",'Job Cards'!E43)</f>
        <v/>
      </c>
      <c r="H554">
        <f>IF(A554="","",F554*G554)</f>
        <v/>
      </c>
      <c r="I554">
        <f>IF(E554="","",IFERROR(VLOOKUP(E554,'Master Inventory'!$A$4:$J$69,10,FALSE),0))</f>
        <v/>
      </c>
      <c r="J554">
        <f>IF(A554="","",MAX(0,H554-I554))</f>
        <v/>
      </c>
      <c r="K554">
        <f>IF(A554="","",IF(J554&gt;0,"SHORTAGE","READY TO RESERVE"))</f>
        <v/>
      </c>
    </row>
    <row r="555">
      <c r="A555">
        <f>'Job Cards'!A43</f>
        <v/>
      </c>
      <c r="B555">
        <f>IF(A555="","",'Job Cards'!B43)</f>
        <v/>
      </c>
      <c r="C555">
        <f>IF(A555="","",'Job Cards'!D43)</f>
        <v/>
      </c>
      <c r="D555">
        <f>IF(A555="","",'BOM Mapping'!A9)</f>
        <v/>
      </c>
      <c r="E555">
        <f>IF(A555="","",IF(C555="Longitude",'BOM Mapping'!C9,IF(C555="Latitude",'BOM Mapping'!D9,IF(C555="Altitude",'BOM Mapping'!E9,""))))</f>
        <v/>
      </c>
      <c r="F555">
        <f>IF(A555="","",'BOM Mapping'!F9)</f>
        <v/>
      </c>
      <c r="G555">
        <f>IF(A555="","",'Job Cards'!E43)</f>
        <v/>
      </c>
      <c r="H555">
        <f>IF(A555="","",F555*G555)</f>
        <v/>
      </c>
      <c r="I555">
        <f>IF(E555="","",IFERROR(VLOOKUP(E555,'Master Inventory'!$A$4:$J$69,10,FALSE),0))</f>
        <v/>
      </c>
      <c r="J555">
        <f>IF(A555="","",MAX(0,H555-I555))</f>
        <v/>
      </c>
      <c r="K555">
        <f>IF(A555="","",IF(J555&gt;0,"SHORTAGE","READY TO RESERVE"))</f>
        <v/>
      </c>
    </row>
    <row r="556">
      <c r="A556">
        <f>'Job Cards'!A43</f>
        <v/>
      </c>
      <c r="B556">
        <f>IF(A556="","",'Job Cards'!B43)</f>
        <v/>
      </c>
      <c r="C556">
        <f>IF(A556="","",'Job Cards'!D43)</f>
        <v/>
      </c>
      <c r="D556">
        <f>IF(A556="","",'BOM Mapping'!A10)</f>
        <v/>
      </c>
      <c r="E556">
        <f>IF(A556="","",IF(C556="Longitude",'BOM Mapping'!C10,IF(C556="Latitude",'BOM Mapping'!D10,IF(C556="Altitude",'BOM Mapping'!E10,""))))</f>
        <v/>
      </c>
      <c r="F556">
        <f>IF(A556="","",'BOM Mapping'!F10)</f>
        <v/>
      </c>
      <c r="G556">
        <f>IF(A556="","",'Job Cards'!E43)</f>
        <v/>
      </c>
      <c r="H556">
        <f>IF(A556="","",F556*G556)</f>
        <v/>
      </c>
      <c r="I556">
        <f>IF(E556="","",IFERROR(VLOOKUP(E556,'Master Inventory'!$A$4:$J$69,10,FALSE),0))</f>
        <v/>
      </c>
      <c r="J556">
        <f>IF(A556="","",MAX(0,H556-I556))</f>
        <v/>
      </c>
      <c r="K556">
        <f>IF(A556="","",IF(J556&gt;0,"SHORTAGE","READY TO RESERVE"))</f>
        <v/>
      </c>
    </row>
    <row r="557">
      <c r="A557">
        <f>'Job Cards'!A43</f>
        <v/>
      </c>
      <c r="B557">
        <f>IF(A557="","",'Job Cards'!B43)</f>
        <v/>
      </c>
      <c r="C557">
        <f>IF(A557="","",'Job Cards'!D43)</f>
        <v/>
      </c>
      <c r="D557">
        <f>IF(A557="","",'BOM Mapping'!A11)</f>
        <v/>
      </c>
      <c r="E557">
        <f>IF(A557="","",IF(C557="Longitude",'BOM Mapping'!C11,IF(C557="Latitude",'BOM Mapping'!D11,IF(C557="Altitude",'BOM Mapping'!E11,""))))</f>
        <v/>
      </c>
      <c r="F557">
        <f>IF(A557="","",'BOM Mapping'!F11)</f>
        <v/>
      </c>
      <c r="G557">
        <f>IF(A557="","",'Job Cards'!E43)</f>
        <v/>
      </c>
      <c r="H557">
        <f>IF(A557="","",F557*G557)</f>
        <v/>
      </c>
      <c r="I557">
        <f>IF(E557="","",IFERROR(VLOOKUP(E557,'Master Inventory'!$A$4:$J$69,10,FALSE),0))</f>
        <v/>
      </c>
      <c r="J557">
        <f>IF(A557="","",MAX(0,H557-I557))</f>
        <v/>
      </c>
      <c r="K557">
        <f>IF(A557="","",IF(J557&gt;0,"SHORTAGE","READY TO RESERVE"))</f>
        <v/>
      </c>
    </row>
    <row r="558">
      <c r="A558">
        <f>'Job Cards'!A43</f>
        <v/>
      </c>
      <c r="B558">
        <f>IF(A558="","",'Job Cards'!B43)</f>
        <v/>
      </c>
      <c r="C558">
        <f>IF(A558="","",'Job Cards'!D43)</f>
        <v/>
      </c>
      <c r="D558">
        <f>IF(A558="","",'BOM Mapping'!A12)</f>
        <v/>
      </c>
      <c r="E558">
        <f>IF(A558="","",IF(C558="Longitude",'BOM Mapping'!C12,IF(C558="Latitude",'BOM Mapping'!D12,IF(C558="Altitude",'BOM Mapping'!E12,""))))</f>
        <v/>
      </c>
      <c r="F558">
        <f>IF(A558="","",'BOM Mapping'!F12)</f>
        <v/>
      </c>
      <c r="G558">
        <f>IF(A558="","",'Job Cards'!E43)</f>
        <v/>
      </c>
      <c r="H558">
        <f>IF(A558="","",F558*G558)</f>
        <v/>
      </c>
      <c r="I558">
        <f>IF(E558="","",IFERROR(VLOOKUP(E558,'Master Inventory'!$A$4:$J$69,10,FALSE),0))</f>
        <v/>
      </c>
      <c r="J558">
        <f>IF(A558="","",MAX(0,H558-I558))</f>
        <v/>
      </c>
      <c r="K558">
        <f>IF(A558="","",IF(J558&gt;0,"SHORTAGE","READY TO RESERVE"))</f>
        <v/>
      </c>
    </row>
    <row r="559">
      <c r="A559">
        <f>'Job Cards'!A43</f>
        <v/>
      </c>
      <c r="B559">
        <f>IF(A559="","",'Job Cards'!B43)</f>
        <v/>
      </c>
      <c r="C559">
        <f>IF(A559="","",'Job Cards'!D43)</f>
        <v/>
      </c>
      <c r="D559">
        <f>IF(A559="","",'BOM Mapping'!A13)</f>
        <v/>
      </c>
      <c r="E559">
        <f>IF(A559="","",IF(C559="Longitude",'BOM Mapping'!C13,IF(C559="Latitude",'BOM Mapping'!D13,IF(C559="Altitude",'BOM Mapping'!E13,""))))</f>
        <v/>
      </c>
      <c r="F559">
        <f>IF(A559="","",'BOM Mapping'!F13)</f>
        <v/>
      </c>
      <c r="G559">
        <f>IF(A559="","",'Job Cards'!E43)</f>
        <v/>
      </c>
      <c r="H559">
        <f>IF(A559="","",F559*G559)</f>
        <v/>
      </c>
      <c r="I559">
        <f>IF(E559="","",IFERROR(VLOOKUP(E559,'Master Inventory'!$A$4:$J$69,10,FALSE),0))</f>
        <v/>
      </c>
      <c r="J559">
        <f>IF(A559="","",MAX(0,H559-I559))</f>
        <v/>
      </c>
      <c r="K559">
        <f>IF(A559="","",IF(J559&gt;0,"SHORTAGE","READY TO RESERVE"))</f>
        <v/>
      </c>
    </row>
    <row r="560">
      <c r="A560">
        <f>'Job Cards'!A43</f>
        <v/>
      </c>
      <c r="B560">
        <f>IF(A560="","",'Job Cards'!B43)</f>
        <v/>
      </c>
      <c r="C560">
        <f>IF(A560="","",'Job Cards'!D43)</f>
        <v/>
      </c>
      <c r="D560">
        <f>IF(A560="","",'BOM Mapping'!A14)</f>
        <v/>
      </c>
      <c r="E560">
        <f>IF(A560="","",IF(C560="Longitude",'BOM Mapping'!C14,IF(C560="Latitude",'BOM Mapping'!D14,IF(C560="Altitude",'BOM Mapping'!E14,""))))</f>
        <v/>
      </c>
      <c r="F560">
        <f>IF(A560="","",'BOM Mapping'!F14)</f>
        <v/>
      </c>
      <c r="G560">
        <f>IF(A560="","",'Job Cards'!E43)</f>
        <v/>
      </c>
      <c r="H560">
        <f>IF(A560="","",F560*G560)</f>
        <v/>
      </c>
      <c r="I560">
        <f>IF(E560="","",IFERROR(VLOOKUP(E560,'Master Inventory'!$A$4:$J$69,10,FALSE),0))</f>
        <v/>
      </c>
      <c r="J560">
        <f>IF(A560="","",MAX(0,H560-I560))</f>
        <v/>
      </c>
      <c r="K560">
        <f>IF(A560="","",IF(J560&gt;0,"SHORTAGE","READY TO RESERVE"))</f>
        <v/>
      </c>
    </row>
    <row r="561">
      <c r="A561">
        <f>'Job Cards'!A43</f>
        <v/>
      </c>
      <c r="B561">
        <f>IF(A561="","",'Job Cards'!B43)</f>
        <v/>
      </c>
      <c r="C561">
        <f>IF(A561="","",'Job Cards'!D43)</f>
        <v/>
      </c>
      <c r="D561">
        <f>IF(A561="","",'BOM Mapping'!A15)</f>
        <v/>
      </c>
      <c r="E561">
        <f>IF(A561="","",IF(C561="Longitude",'BOM Mapping'!C15,IF(C561="Latitude",'BOM Mapping'!D15,IF(C561="Altitude",'BOM Mapping'!E15,""))))</f>
        <v/>
      </c>
      <c r="F561">
        <f>IF(A561="","",'BOM Mapping'!F15)</f>
        <v/>
      </c>
      <c r="G561">
        <f>IF(A561="","",'Job Cards'!E43)</f>
        <v/>
      </c>
      <c r="H561">
        <f>IF(A561="","",F561*G561)</f>
        <v/>
      </c>
      <c r="I561">
        <f>IF(E561="","",IFERROR(VLOOKUP(E561,'Master Inventory'!$A$4:$J$69,10,FALSE),0))</f>
        <v/>
      </c>
      <c r="J561">
        <f>IF(A561="","",MAX(0,H561-I561))</f>
        <v/>
      </c>
      <c r="K561">
        <f>IF(A561="","",IF(J561&gt;0,"SHORTAGE","READY TO RESERVE"))</f>
        <v/>
      </c>
    </row>
    <row r="562">
      <c r="A562">
        <f>'Job Cards'!A43</f>
        <v/>
      </c>
      <c r="B562">
        <f>IF(A562="","",'Job Cards'!B43)</f>
        <v/>
      </c>
      <c r="C562">
        <f>IF(A562="","",'Job Cards'!D43)</f>
        <v/>
      </c>
      <c r="D562">
        <f>IF(A562="","",'BOM Mapping'!A16)</f>
        <v/>
      </c>
      <c r="E562">
        <f>IF(A562="","",IF(C562="Longitude",'BOM Mapping'!C16,IF(C562="Latitude",'BOM Mapping'!D16,IF(C562="Altitude",'BOM Mapping'!E16,""))))</f>
        <v/>
      </c>
      <c r="F562">
        <f>IF(A562="","",'BOM Mapping'!F16)</f>
        <v/>
      </c>
      <c r="G562">
        <f>IF(A562="","",'Job Cards'!E43)</f>
        <v/>
      </c>
      <c r="H562">
        <f>IF(A562="","",F562*G562)</f>
        <v/>
      </c>
      <c r="I562">
        <f>IF(E562="","",IFERROR(VLOOKUP(E562,'Master Inventory'!$A$4:$J$69,10,FALSE),0))</f>
        <v/>
      </c>
      <c r="J562">
        <f>IF(A562="","",MAX(0,H562-I562))</f>
        <v/>
      </c>
      <c r="K562">
        <f>IF(A562="","",IF(J562&gt;0,"SHORTAGE","READY TO RESERVE"))</f>
        <v/>
      </c>
    </row>
    <row r="563">
      <c r="A563">
        <f>'Job Cards'!A43</f>
        <v/>
      </c>
      <c r="B563">
        <f>IF(A563="","",'Job Cards'!B43)</f>
        <v/>
      </c>
      <c r="C563">
        <f>IF(A563="","",'Job Cards'!D43)</f>
        <v/>
      </c>
      <c r="D563">
        <f>IF(A563="","",'BOM Mapping'!A17)</f>
        <v/>
      </c>
      <c r="E563">
        <f>IF(A563="","",IF(C563="Longitude",'BOM Mapping'!C17,IF(C563="Latitude",'BOM Mapping'!D17,IF(C563="Altitude",'BOM Mapping'!E17,""))))</f>
        <v/>
      </c>
      <c r="F563">
        <f>IF(A563="","",'BOM Mapping'!F17)</f>
        <v/>
      </c>
      <c r="G563">
        <f>IF(A563="","",'Job Cards'!E43)</f>
        <v/>
      </c>
      <c r="H563">
        <f>IF(A563="","",F563*G563)</f>
        <v/>
      </c>
      <c r="I563">
        <f>IF(E563="","",IFERROR(VLOOKUP(E563,'Master Inventory'!$A$4:$J$69,10,FALSE),0))</f>
        <v/>
      </c>
      <c r="J563">
        <f>IF(A563="","",MAX(0,H563-I563))</f>
        <v/>
      </c>
      <c r="K563">
        <f>IF(A563="","",IF(J563&gt;0,"SHORTAGE","READY TO RESERVE"))</f>
        <v/>
      </c>
    </row>
    <row r="564">
      <c r="A564">
        <f>'Job Cards'!A44</f>
        <v/>
      </c>
      <c r="B564">
        <f>IF(A564="","",'Job Cards'!B44)</f>
        <v/>
      </c>
      <c r="C564">
        <f>IF(A564="","",'Job Cards'!D44)</f>
        <v/>
      </c>
      <c r="D564">
        <f>IF(A564="","",'BOM Mapping'!A4)</f>
        <v/>
      </c>
      <c r="E564">
        <f>IF(A564="","",IF(C564="Longitude",'BOM Mapping'!C4,IF(C564="Latitude",'BOM Mapping'!D4,IF(C564="Altitude",'BOM Mapping'!E4,""))))</f>
        <v/>
      </c>
      <c r="F564">
        <f>IF(A564="","",'BOM Mapping'!F4)</f>
        <v/>
      </c>
      <c r="G564">
        <f>IF(A564="","",'Job Cards'!E44)</f>
        <v/>
      </c>
      <c r="H564">
        <f>IF(A564="","",F564*G564)</f>
        <v/>
      </c>
      <c r="I564">
        <f>IF(E564="","",IFERROR(VLOOKUP(E564,'Master Inventory'!$A$4:$J$69,10,FALSE),0))</f>
        <v/>
      </c>
      <c r="J564">
        <f>IF(A564="","",MAX(0,H564-I564))</f>
        <v/>
      </c>
      <c r="K564">
        <f>IF(A564="","",IF(J564&gt;0,"SHORTAGE","READY TO RESERVE"))</f>
        <v/>
      </c>
    </row>
    <row r="565">
      <c r="A565">
        <f>'Job Cards'!A44</f>
        <v/>
      </c>
      <c r="B565">
        <f>IF(A565="","",'Job Cards'!B44)</f>
        <v/>
      </c>
      <c r="C565">
        <f>IF(A565="","",'Job Cards'!D44)</f>
        <v/>
      </c>
      <c r="D565">
        <f>IF(A565="","",'BOM Mapping'!A5)</f>
        <v/>
      </c>
      <c r="E565">
        <f>IF(A565="","",IF(C565="Longitude",'BOM Mapping'!C5,IF(C565="Latitude",'BOM Mapping'!D5,IF(C565="Altitude",'BOM Mapping'!E5,""))))</f>
        <v/>
      </c>
      <c r="F565">
        <f>IF(A565="","",'BOM Mapping'!F5)</f>
        <v/>
      </c>
      <c r="G565">
        <f>IF(A565="","",'Job Cards'!E44)</f>
        <v/>
      </c>
      <c r="H565">
        <f>IF(A565="","",F565*G565)</f>
        <v/>
      </c>
      <c r="I565">
        <f>IF(E565="","",IFERROR(VLOOKUP(E565,'Master Inventory'!$A$4:$J$69,10,FALSE),0))</f>
        <v/>
      </c>
      <c r="J565">
        <f>IF(A565="","",MAX(0,H565-I565))</f>
        <v/>
      </c>
      <c r="K565">
        <f>IF(A565="","",IF(J565&gt;0,"SHORTAGE","READY TO RESERVE"))</f>
        <v/>
      </c>
    </row>
    <row r="566">
      <c r="A566">
        <f>'Job Cards'!A44</f>
        <v/>
      </c>
      <c r="B566">
        <f>IF(A566="","",'Job Cards'!B44)</f>
        <v/>
      </c>
      <c r="C566">
        <f>IF(A566="","",'Job Cards'!D44)</f>
        <v/>
      </c>
      <c r="D566">
        <f>IF(A566="","",'BOM Mapping'!A6)</f>
        <v/>
      </c>
      <c r="E566">
        <f>IF(A566="","",IF(C566="Longitude",'BOM Mapping'!C6,IF(C566="Latitude",'BOM Mapping'!D6,IF(C566="Altitude",'BOM Mapping'!E6,""))))</f>
        <v/>
      </c>
      <c r="F566">
        <f>IF(A566="","",'BOM Mapping'!F6)</f>
        <v/>
      </c>
      <c r="G566">
        <f>IF(A566="","",'Job Cards'!E44)</f>
        <v/>
      </c>
      <c r="H566">
        <f>IF(A566="","",F566*G566)</f>
        <v/>
      </c>
      <c r="I566">
        <f>IF(E566="","",IFERROR(VLOOKUP(E566,'Master Inventory'!$A$4:$J$69,10,FALSE),0))</f>
        <v/>
      </c>
      <c r="J566">
        <f>IF(A566="","",MAX(0,H566-I566))</f>
        <v/>
      </c>
      <c r="K566">
        <f>IF(A566="","",IF(J566&gt;0,"SHORTAGE","READY TO RESERVE"))</f>
        <v/>
      </c>
    </row>
    <row r="567">
      <c r="A567">
        <f>'Job Cards'!A44</f>
        <v/>
      </c>
      <c r="B567">
        <f>IF(A567="","",'Job Cards'!B44)</f>
        <v/>
      </c>
      <c r="C567">
        <f>IF(A567="","",'Job Cards'!D44)</f>
        <v/>
      </c>
      <c r="D567">
        <f>IF(A567="","",'BOM Mapping'!A7)</f>
        <v/>
      </c>
      <c r="E567">
        <f>IF(A567="","",IF(C567="Longitude",'BOM Mapping'!C7,IF(C567="Latitude",'BOM Mapping'!D7,IF(C567="Altitude",'BOM Mapping'!E7,""))))</f>
        <v/>
      </c>
      <c r="F567">
        <f>IF(A567="","",'BOM Mapping'!F7)</f>
        <v/>
      </c>
      <c r="G567">
        <f>IF(A567="","",'Job Cards'!E44)</f>
        <v/>
      </c>
      <c r="H567">
        <f>IF(A567="","",F567*G567)</f>
        <v/>
      </c>
      <c r="I567">
        <f>IF(E567="","",IFERROR(VLOOKUP(E567,'Master Inventory'!$A$4:$J$69,10,FALSE),0))</f>
        <v/>
      </c>
      <c r="J567">
        <f>IF(A567="","",MAX(0,H567-I567))</f>
        <v/>
      </c>
      <c r="K567">
        <f>IF(A567="","",IF(J567&gt;0,"SHORTAGE","READY TO RESERVE"))</f>
        <v/>
      </c>
    </row>
    <row r="568">
      <c r="A568">
        <f>'Job Cards'!A44</f>
        <v/>
      </c>
      <c r="B568">
        <f>IF(A568="","",'Job Cards'!B44)</f>
        <v/>
      </c>
      <c r="C568">
        <f>IF(A568="","",'Job Cards'!D44)</f>
        <v/>
      </c>
      <c r="D568">
        <f>IF(A568="","",'BOM Mapping'!A8)</f>
        <v/>
      </c>
      <c r="E568">
        <f>IF(A568="","",IF(C568="Longitude",'BOM Mapping'!C8,IF(C568="Latitude",'BOM Mapping'!D8,IF(C568="Altitude",'BOM Mapping'!E8,""))))</f>
        <v/>
      </c>
      <c r="F568">
        <f>IF(A568="","",'BOM Mapping'!F8)</f>
        <v/>
      </c>
      <c r="G568">
        <f>IF(A568="","",'Job Cards'!E44)</f>
        <v/>
      </c>
      <c r="H568">
        <f>IF(A568="","",F568*G568)</f>
        <v/>
      </c>
      <c r="I568">
        <f>IF(E568="","",IFERROR(VLOOKUP(E568,'Master Inventory'!$A$4:$J$69,10,FALSE),0))</f>
        <v/>
      </c>
      <c r="J568">
        <f>IF(A568="","",MAX(0,H568-I568))</f>
        <v/>
      </c>
      <c r="K568">
        <f>IF(A568="","",IF(J568&gt;0,"SHORTAGE","READY TO RESERVE"))</f>
        <v/>
      </c>
    </row>
    <row r="569">
      <c r="A569">
        <f>'Job Cards'!A44</f>
        <v/>
      </c>
      <c r="B569">
        <f>IF(A569="","",'Job Cards'!B44)</f>
        <v/>
      </c>
      <c r="C569">
        <f>IF(A569="","",'Job Cards'!D44)</f>
        <v/>
      </c>
      <c r="D569">
        <f>IF(A569="","",'BOM Mapping'!A9)</f>
        <v/>
      </c>
      <c r="E569">
        <f>IF(A569="","",IF(C569="Longitude",'BOM Mapping'!C9,IF(C569="Latitude",'BOM Mapping'!D9,IF(C569="Altitude",'BOM Mapping'!E9,""))))</f>
        <v/>
      </c>
      <c r="F569">
        <f>IF(A569="","",'BOM Mapping'!F9)</f>
        <v/>
      </c>
      <c r="G569">
        <f>IF(A569="","",'Job Cards'!E44)</f>
        <v/>
      </c>
      <c r="H569">
        <f>IF(A569="","",F569*G569)</f>
        <v/>
      </c>
      <c r="I569">
        <f>IF(E569="","",IFERROR(VLOOKUP(E569,'Master Inventory'!$A$4:$J$69,10,FALSE),0))</f>
        <v/>
      </c>
      <c r="J569">
        <f>IF(A569="","",MAX(0,H569-I569))</f>
        <v/>
      </c>
      <c r="K569">
        <f>IF(A569="","",IF(J569&gt;0,"SHORTAGE","READY TO RESERVE"))</f>
        <v/>
      </c>
    </row>
    <row r="570">
      <c r="A570">
        <f>'Job Cards'!A44</f>
        <v/>
      </c>
      <c r="B570">
        <f>IF(A570="","",'Job Cards'!B44)</f>
        <v/>
      </c>
      <c r="C570">
        <f>IF(A570="","",'Job Cards'!D44)</f>
        <v/>
      </c>
      <c r="D570">
        <f>IF(A570="","",'BOM Mapping'!A10)</f>
        <v/>
      </c>
      <c r="E570">
        <f>IF(A570="","",IF(C570="Longitude",'BOM Mapping'!C10,IF(C570="Latitude",'BOM Mapping'!D10,IF(C570="Altitude",'BOM Mapping'!E10,""))))</f>
        <v/>
      </c>
      <c r="F570">
        <f>IF(A570="","",'BOM Mapping'!F10)</f>
        <v/>
      </c>
      <c r="G570">
        <f>IF(A570="","",'Job Cards'!E44)</f>
        <v/>
      </c>
      <c r="H570">
        <f>IF(A570="","",F570*G570)</f>
        <v/>
      </c>
      <c r="I570">
        <f>IF(E570="","",IFERROR(VLOOKUP(E570,'Master Inventory'!$A$4:$J$69,10,FALSE),0))</f>
        <v/>
      </c>
      <c r="J570">
        <f>IF(A570="","",MAX(0,H570-I570))</f>
        <v/>
      </c>
      <c r="K570">
        <f>IF(A570="","",IF(J570&gt;0,"SHORTAGE","READY TO RESERVE"))</f>
        <v/>
      </c>
    </row>
    <row r="571">
      <c r="A571">
        <f>'Job Cards'!A44</f>
        <v/>
      </c>
      <c r="B571">
        <f>IF(A571="","",'Job Cards'!B44)</f>
        <v/>
      </c>
      <c r="C571">
        <f>IF(A571="","",'Job Cards'!D44)</f>
        <v/>
      </c>
      <c r="D571">
        <f>IF(A571="","",'BOM Mapping'!A11)</f>
        <v/>
      </c>
      <c r="E571">
        <f>IF(A571="","",IF(C571="Longitude",'BOM Mapping'!C11,IF(C571="Latitude",'BOM Mapping'!D11,IF(C571="Altitude",'BOM Mapping'!E11,""))))</f>
        <v/>
      </c>
      <c r="F571">
        <f>IF(A571="","",'BOM Mapping'!F11)</f>
        <v/>
      </c>
      <c r="G571">
        <f>IF(A571="","",'Job Cards'!E44)</f>
        <v/>
      </c>
      <c r="H571">
        <f>IF(A571="","",F571*G571)</f>
        <v/>
      </c>
      <c r="I571">
        <f>IF(E571="","",IFERROR(VLOOKUP(E571,'Master Inventory'!$A$4:$J$69,10,FALSE),0))</f>
        <v/>
      </c>
      <c r="J571">
        <f>IF(A571="","",MAX(0,H571-I571))</f>
        <v/>
      </c>
      <c r="K571">
        <f>IF(A571="","",IF(J571&gt;0,"SHORTAGE","READY TO RESERVE"))</f>
        <v/>
      </c>
    </row>
    <row r="572">
      <c r="A572">
        <f>'Job Cards'!A44</f>
        <v/>
      </c>
      <c r="B572">
        <f>IF(A572="","",'Job Cards'!B44)</f>
        <v/>
      </c>
      <c r="C572">
        <f>IF(A572="","",'Job Cards'!D44)</f>
        <v/>
      </c>
      <c r="D572">
        <f>IF(A572="","",'BOM Mapping'!A12)</f>
        <v/>
      </c>
      <c r="E572">
        <f>IF(A572="","",IF(C572="Longitude",'BOM Mapping'!C12,IF(C572="Latitude",'BOM Mapping'!D12,IF(C572="Altitude",'BOM Mapping'!E12,""))))</f>
        <v/>
      </c>
      <c r="F572">
        <f>IF(A572="","",'BOM Mapping'!F12)</f>
        <v/>
      </c>
      <c r="G572">
        <f>IF(A572="","",'Job Cards'!E44)</f>
        <v/>
      </c>
      <c r="H572">
        <f>IF(A572="","",F572*G572)</f>
        <v/>
      </c>
      <c r="I572">
        <f>IF(E572="","",IFERROR(VLOOKUP(E572,'Master Inventory'!$A$4:$J$69,10,FALSE),0))</f>
        <v/>
      </c>
      <c r="J572">
        <f>IF(A572="","",MAX(0,H572-I572))</f>
        <v/>
      </c>
      <c r="K572">
        <f>IF(A572="","",IF(J572&gt;0,"SHORTAGE","READY TO RESERVE"))</f>
        <v/>
      </c>
    </row>
    <row r="573">
      <c r="A573">
        <f>'Job Cards'!A44</f>
        <v/>
      </c>
      <c r="B573">
        <f>IF(A573="","",'Job Cards'!B44)</f>
        <v/>
      </c>
      <c r="C573">
        <f>IF(A573="","",'Job Cards'!D44)</f>
        <v/>
      </c>
      <c r="D573">
        <f>IF(A573="","",'BOM Mapping'!A13)</f>
        <v/>
      </c>
      <c r="E573">
        <f>IF(A573="","",IF(C573="Longitude",'BOM Mapping'!C13,IF(C573="Latitude",'BOM Mapping'!D13,IF(C573="Altitude",'BOM Mapping'!E13,""))))</f>
        <v/>
      </c>
      <c r="F573">
        <f>IF(A573="","",'BOM Mapping'!F13)</f>
        <v/>
      </c>
      <c r="G573">
        <f>IF(A573="","",'Job Cards'!E44)</f>
        <v/>
      </c>
      <c r="H573">
        <f>IF(A573="","",F573*G573)</f>
        <v/>
      </c>
      <c r="I573">
        <f>IF(E573="","",IFERROR(VLOOKUP(E573,'Master Inventory'!$A$4:$J$69,10,FALSE),0))</f>
        <v/>
      </c>
      <c r="J573">
        <f>IF(A573="","",MAX(0,H573-I573))</f>
        <v/>
      </c>
      <c r="K573">
        <f>IF(A573="","",IF(J573&gt;0,"SHORTAGE","READY TO RESERVE"))</f>
        <v/>
      </c>
    </row>
    <row r="574">
      <c r="A574">
        <f>'Job Cards'!A44</f>
        <v/>
      </c>
      <c r="B574">
        <f>IF(A574="","",'Job Cards'!B44)</f>
        <v/>
      </c>
      <c r="C574">
        <f>IF(A574="","",'Job Cards'!D44)</f>
        <v/>
      </c>
      <c r="D574">
        <f>IF(A574="","",'BOM Mapping'!A14)</f>
        <v/>
      </c>
      <c r="E574">
        <f>IF(A574="","",IF(C574="Longitude",'BOM Mapping'!C14,IF(C574="Latitude",'BOM Mapping'!D14,IF(C574="Altitude",'BOM Mapping'!E14,""))))</f>
        <v/>
      </c>
      <c r="F574">
        <f>IF(A574="","",'BOM Mapping'!F14)</f>
        <v/>
      </c>
      <c r="G574">
        <f>IF(A574="","",'Job Cards'!E44)</f>
        <v/>
      </c>
      <c r="H574">
        <f>IF(A574="","",F574*G574)</f>
        <v/>
      </c>
      <c r="I574">
        <f>IF(E574="","",IFERROR(VLOOKUP(E574,'Master Inventory'!$A$4:$J$69,10,FALSE),0))</f>
        <v/>
      </c>
      <c r="J574">
        <f>IF(A574="","",MAX(0,H574-I574))</f>
        <v/>
      </c>
      <c r="K574">
        <f>IF(A574="","",IF(J574&gt;0,"SHORTAGE","READY TO RESERVE"))</f>
        <v/>
      </c>
    </row>
    <row r="575">
      <c r="A575">
        <f>'Job Cards'!A44</f>
        <v/>
      </c>
      <c r="B575">
        <f>IF(A575="","",'Job Cards'!B44)</f>
        <v/>
      </c>
      <c r="C575">
        <f>IF(A575="","",'Job Cards'!D44)</f>
        <v/>
      </c>
      <c r="D575">
        <f>IF(A575="","",'BOM Mapping'!A15)</f>
        <v/>
      </c>
      <c r="E575">
        <f>IF(A575="","",IF(C575="Longitude",'BOM Mapping'!C15,IF(C575="Latitude",'BOM Mapping'!D15,IF(C575="Altitude",'BOM Mapping'!E15,""))))</f>
        <v/>
      </c>
      <c r="F575">
        <f>IF(A575="","",'BOM Mapping'!F15)</f>
        <v/>
      </c>
      <c r="G575">
        <f>IF(A575="","",'Job Cards'!E44)</f>
        <v/>
      </c>
      <c r="H575">
        <f>IF(A575="","",F575*G575)</f>
        <v/>
      </c>
      <c r="I575">
        <f>IF(E575="","",IFERROR(VLOOKUP(E575,'Master Inventory'!$A$4:$J$69,10,FALSE),0))</f>
        <v/>
      </c>
      <c r="J575">
        <f>IF(A575="","",MAX(0,H575-I575))</f>
        <v/>
      </c>
      <c r="K575">
        <f>IF(A575="","",IF(J575&gt;0,"SHORTAGE","READY TO RESERVE"))</f>
        <v/>
      </c>
    </row>
    <row r="576">
      <c r="A576">
        <f>'Job Cards'!A44</f>
        <v/>
      </c>
      <c r="B576">
        <f>IF(A576="","",'Job Cards'!B44)</f>
        <v/>
      </c>
      <c r="C576">
        <f>IF(A576="","",'Job Cards'!D44)</f>
        <v/>
      </c>
      <c r="D576">
        <f>IF(A576="","",'BOM Mapping'!A16)</f>
        <v/>
      </c>
      <c r="E576">
        <f>IF(A576="","",IF(C576="Longitude",'BOM Mapping'!C16,IF(C576="Latitude",'BOM Mapping'!D16,IF(C576="Altitude",'BOM Mapping'!E16,""))))</f>
        <v/>
      </c>
      <c r="F576">
        <f>IF(A576="","",'BOM Mapping'!F16)</f>
        <v/>
      </c>
      <c r="G576">
        <f>IF(A576="","",'Job Cards'!E44)</f>
        <v/>
      </c>
      <c r="H576">
        <f>IF(A576="","",F576*G576)</f>
        <v/>
      </c>
      <c r="I576">
        <f>IF(E576="","",IFERROR(VLOOKUP(E576,'Master Inventory'!$A$4:$J$69,10,FALSE),0))</f>
        <v/>
      </c>
      <c r="J576">
        <f>IF(A576="","",MAX(0,H576-I576))</f>
        <v/>
      </c>
      <c r="K576">
        <f>IF(A576="","",IF(J576&gt;0,"SHORTAGE","READY TO RESERVE"))</f>
        <v/>
      </c>
    </row>
    <row r="577">
      <c r="A577">
        <f>'Job Cards'!A44</f>
        <v/>
      </c>
      <c r="B577">
        <f>IF(A577="","",'Job Cards'!B44)</f>
        <v/>
      </c>
      <c r="C577">
        <f>IF(A577="","",'Job Cards'!D44)</f>
        <v/>
      </c>
      <c r="D577">
        <f>IF(A577="","",'BOM Mapping'!A17)</f>
        <v/>
      </c>
      <c r="E577">
        <f>IF(A577="","",IF(C577="Longitude",'BOM Mapping'!C17,IF(C577="Latitude",'BOM Mapping'!D17,IF(C577="Altitude",'BOM Mapping'!E17,""))))</f>
        <v/>
      </c>
      <c r="F577">
        <f>IF(A577="","",'BOM Mapping'!F17)</f>
        <v/>
      </c>
      <c r="G577">
        <f>IF(A577="","",'Job Cards'!E44)</f>
        <v/>
      </c>
      <c r="H577">
        <f>IF(A577="","",F577*G577)</f>
        <v/>
      </c>
      <c r="I577">
        <f>IF(E577="","",IFERROR(VLOOKUP(E577,'Master Inventory'!$A$4:$J$69,10,FALSE),0))</f>
        <v/>
      </c>
      <c r="J577">
        <f>IF(A577="","",MAX(0,H577-I577))</f>
        <v/>
      </c>
      <c r="K577">
        <f>IF(A577="","",IF(J577&gt;0,"SHORTAGE","READY TO RESERVE"))</f>
        <v/>
      </c>
    </row>
    <row r="578">
      <c r="A578">
        <f>'Job Cards'!A45</f>
        <v/>
      </c>
      <c r="B578">
        <f>IF(A578="","",'Job Cards'!B45)</f>
        <v/>
      </c>
      <c r="C578">
        <f>IF(A578="","",'Job Cards'!D45)</f>
        <v/>
      </c>
      <c r="D578">
        <f>IF(A578="","",'BOM Mapping'!A4)</f>
        <v/>
      </c>
      <c r="E578">
        <f>IF(A578="","",IF(C578="Longitude",'BOM Mapping'!C4,IF(C578="Latitude",'BOM Mapping'!D4,IF(C578="Altitude",'BOM Mapping'!E4,""))))</f>
        <v/>
      </c>
      <c r="F578">
        <f>IF(A578="","",'BOM Mapping'!F4)</f>
        <v/>
      </c>
      <c r="G578">
        <f>IF(A578="","",'Job Cards'!E45)</f>
        <v/>
      </c>
      <c r="H578">
        <f>IF(A578="","",F578*G578)</f>
        <v/>
      </c>
      <c r="I578">
        <f>IF(E578="","",IFERROR(VLOOKUP(E578,'Master Inventory'!$A$4:$J$69,10,FALSE),0))</f>
        <v/>
      </c>
      <c r="J578">
        <f>IF(A578="","",MAX(0,H578-I578))</f>
        <v/>
      </c>
      <c r="K578">
        <f>IF(A578="","",IF(J578&gt;0,"SHORTAGE","READY TO RESERVE"))</f>
        <v/>
      </c>
    </row>
    <row r="579">
      <c r="A579">
        <f>'Job Cards'!A45</f>
        <v/>
      </c>
      <c r="B579">
        <f>IF(A579="","",'Job Cards'!B45)</f>
        <v/>
      </c>
      <c r="C579">
        <f>IF(A579="","",'Job Cards'!D45)</f>
        <v/>
      </c>
      <c r="D579">
        <f>IF(A579="","",'BOM Mapping'!A5)</f>
        <v/>
      </c>
      <c r="E579">
        <f>IF(A579="","",IF(C579="Longitude",'BOM Mapping'!C5,IF(C579="Latitude",'BOM Mapping'!D5,IF(C579="Altitude",'BOM Mapping'!E5,""))))</f>
        <v/>
      </c>
      <c r="F579">
        <f>IF(A579="","",'BOM Mapping'!F5)</f>
        <v/>
      </c>
      <c r="G579">
        <f>IF(A579="","",'Job Cards'!E45)</f>
        <v/>
      </c>
      <c r="H579">
        <f>IF(A579="","",F579*G579)</f>
        <v/>
      </c>
      <c r="I579">
        <f>IF(E579="","",IFERROR(VLOOKUP(E579,'Master Inventory'!$A$4:$J$69,10,FALSE),0))</f>
        <v/>
      </c>
      <c r="J579">
        <f>IF(A579="","",MAX(0,H579-I579))</f>
        <v/>
      </c>
      <c r="K579">
        <f>IF(A579="","",IF(J579&gt;0,"SHORTAGE","READY TO RESERVE"))</f>
        <v/>
      </c>
    </row>
    <row r="580">
      <c r="A580">
        <f>'Job Cards'!A45</f>
        <v/>
      </c>
      <c r="B580">
        <f>IF(A580="","",'Job Cards'!B45)</f>
        <v/>
      </c>
      <c r="C580">
        <f>IF(A580="","",'Job Cards'!D45)</f>
        <v/>
      </c>
      <c r="D580">
        <f>IF(A580="","",'BOM Mapping'!A6)</f>
        <v/>
      </c>
      <c r="E580">
        <f>IF(A580="","",IF(C580="Longitude",'BOM Mapping'!C6,IF(C580="Latitude",'BOM Mapping'!D6,IF(C580="Altitude",'BOM Mapping'!E6,""))))</f>
        <v/>
      </c>
      <c r="F580">
        <f>IF(A580="","",'BOM Mapping'!F6)</f>
        <v/>
      </c>
      <c r="G580">
        <f>IF(A580="","",'Job Cards'!E45)</f>
        <v/>
      </c>
      <c r="H580">
        <f>IF(A580="","",F580*G580)</f>
        <v/>
      </c>
      <c r="I580">
        <f>IF(E580="","",IFERROR(VLOOKUP(E580,'Master Inventory'!$A$4:$J$69,10,FALSE),0))</f>
        <v/>
      </c>
      <c r="J580">
        <f>IF(A580="","",MAX(0,H580-I580))</f>
        <v/>
      </c>
      <c r="K580">
        <f>IF(A580="","",IF(J580&gt;0,"SHORTAGE","READY TO RESERVE"))</f>
        <v/>
      </c>
    </row>
    <row r="581">
      <c r="A581">
        <f>'Job Cards'!A45</f>
        <v/>
      </c>
      <c r="B581">
        <f>IF(A581="","",'Job Cards'!B45)</f>
        <v/>
      </c>
      <c r="C581">
        <f>IF(A581="","",'Job Cards'!D45)</f>
        <v/>
      </c>
      <c r="D581">
        <f>IF(A581="","",'BOM Mapping'!A7)</f>
        <v/>
      </c>
      <c r="E581">
        <f>IF(A581="","",IF(C581="Longitude",'BOM Mapping'!C7,IF(C581="Latitude",'BOM Mapping'!D7,IF(C581="Altitude",'BOM Mapping'!E7,""))))</f>
        <v/>
      </c>
      <c r="F581">
        <f>IF(A581="","",'BOM Mapping'!F7)</f>
        <v/>
      </c>
      <c r="G581">
        <f>IF(A581="","",'Job Cards'!E45)</f>
        <v/>
      </c>
      <c r="H581">
        <f>IF(A581="","",F581*G581)</f>
        <v/>
      </c>
      <c r="I581">
        <f>IF(E581="","",IFERROR(VLOOKUP(E581,'Master Inventory'!$A$4:$J$69,10,FALSE),0))</f>
        <v/>
      </c>
      <c r="J581">
        <f>IF(A581="","",MAX(0,H581-I581))</f>
        <v/>
      </c>
      <c r="K581">
        <f>IF(A581="","",IF(J581&gt;0,"SHORTAGE","READY TO RESERVE"))</f>
        <v/>
      </c>
    </row>
    <row r="582">
      <c r="A582">
        <f>'Job Cards'!A45</f>
        <v/>
      </c>
      <c r="B582">
        <f>IF(A582="","",'Job Cards'!B45)</f>
        <v/>
      </c>
      <c r="C582">
        <f>IF(A582="","",'Job Cards'!D45)</f>
        <v/>
      </c>
      <c r="D582">
        <f>IF(A582="","",'BOM Mapping'!A8)</f>
        <v/>
      </c>
      <c r="E582">
        <f>IF(A582="","",IF(C582="Longitude",'BOM Mapping'!C8,IF(C582="Latitude",'BOM Mapping'!D8,IF(C582="Altitude",'BOM Mapping'!E8,""))))</f>
        <v/>
      </c>
      <c r="F582">
        <f>IF(A582="","",'BOM Mapping'!F8)</f>
        <v/>
      </c>
      <c r="G582">
        <f>IF(A582="","",'Job Cards'!E45)</f>
        <v/>
      </c>
      <c r="H582">
        <f>IF(A582="","",F582*G582)</f>
        <v/>
      </c>
      <c r="I582">
        <f>IF(E582="","",IFERROR(VLOOKUP(E582,'Master Inventory'!$A$4:$J$69,10,FALSE),0))</f>
        <v/>
      </c>
      <c r="J582">
        <f>IF(A582="","",MAX(0,H582-I582))</f>
        <v/>
      </c>
      <c r="K582">
        <f>IF(A582="","",IF(J582&gt;0,"SHORTAGE","READY TO RESERVE"))</f>
        <v/>
      </c>
    </row>
    <row r="583">
      <c r="A583">
        <f>'Job Cards'!A45</f>
        <v/>
      </c>
      <c r="B583">
        <f>IF(A583="","",'Job Cards'!B45)</f>
        <v/>
      </c>
      <c r="C583">
        <f>IF(A583="","",'Job Cards'!D45)</f>
        <v/>
      </c>
      <c r="D583">
        <f>IF(A583="","",'BOM Mapping'!A9)</f>
        <v/>
      </c>
      <c r="E583">
        <f>IF(A583="","",IF(C583="Longitude",'BOM Mapping'!C9,IF(C583="Latitude",'BOM Mapping'!D9,IF(C583="Altitude",'BOM Mapping'!E9,""))))</f>
        <v/>
      </c>
      <c r="F583">
        <f>IF(A583="","",'BOM Mapping'!F9)</f>
        <v/>
      </c>
      <c r="G583">
        <f>IF(A583="","",'Job Cards'!E45)</f>
        <v/>
      </c>
      <c r="H583">
        <f>IF(A583="","",F583*G583)</f>
        <v/>
      </c>
      <c r="I583">
        <f>IF(E583="","",IFERROR(VLOOKUP(E583,'Master Inventory'!$A$4:$J$69,10,FALSE),0))</f>
        <v/>
      </c>
      <c r="J583">
        <f>IF(A583="","",MAX(0,H583-I583))</f>
        <v/>
      </c>
      <c r="K583">
        <f>IF(A583="","",IF(J583&gt;0,"SHORTAGE","READY TO RESERVE"))</f>
        <v/>
      </c>
    </row>
    <row r="584">
      <c r="A584">
        <f>'Job Cards'!A45</f>
        <v/>
      </c>
      <c r="B584">
        <f>IF(A584="","",'Job Cards'!B45)</f>
        <v/>
      </c>
      <c r="C584">
        <f>IF(A584="","",'Job Cards'!D45)</f>
        <v/>
      </c>
      <c r="D584">
        <f>IF(A584="","",'BOM Mapping'!A10)</f>
        <v/>
      </c>
      <c r="E584">
        <f>IF(A584="","",IF(C584="Longitude",'BOM Mapping'!C10,IF(C584="Latitude",'BOM Mapping'!D10,IF(C584="Altitude",'BOM Mapping'!E10,""))))</f>
        <v/>
      </c>
      <c r="F584">
        <f>IF(A584="","",'BOM Mapping'!F10)</f>
        <v/>
      </c>
      <c r="G584">
        <f>IF(A584="","",'Job Cards'!E45)</f>
        <v/>
      </c>
      <c r="H584">
        <f>IF(A584="","",F584*G584)</f>
        <v/>
      </c>
      <c r="I584">
        <f>IF(E584="","",IFERROR(VLOOKUP(E584,'Master Inventory'!$A$4:$J$69,10,FALSE),0))</f>
        <v/>
      </c>
      <c r="J584">
        <f>IF(A584="","",MAX(0,H584-I584))</f>
        <v/>
      </c>
      <c r="K584">
        <f>IF(A584="","",IF(J584&gt;0,"SHORTAGE","READY TO RESERVE"))</f>
        <v/>
      </c>
    </row>
    <row r="585">
      <c r="A585">
        <f>'Job Cards'!A45</f>
        <v/>
      </c>
      <c r="B585">
        <f>IF(A585="","",'Job Cards'!B45)</f>
        <v/>
      </c>
      <c r="C585">
        <f>IF(A585="","",'Job Cards'!D45)</f>
        <v/>
      </c>
      <c r="D585">
        <f>IF(A585="","",'BOM Mapping'!A11)</f>
        <v/>
      </c>
      <c r="E585">
        <f>IF(A585="","",IF(C585="Longitude",'BOM Mapping'!C11,IF(C585="Latitude",'BOM Mapping'!D11,IF(C585="Altitude",'BOM Mapping'!E11,""))))</f>
        <v/>
      </c>
      <c r="F585">
        <f>IF(A585="","",'BOM Mapping'!F11)</f>
        <v/>
      </c>
      <c r="G585">
        <f>IF(A585="","",'Job Cards'!E45)</f>
        <v/>
      </c>
      <c r="H585">
        <f>IF(A585="","",F585*G585)</f>
        <v/>
      </c>
      <c r="I585">
        <f>IF(E585="","",IFERROR(VLOOKUP(E585,'Master Inventory'!$A$4:$J$69,10,FALSE),0))</f>
        <v/>
      </c>
      <c r="J585">
        <f>IF(A585="","",MAX(0,H585-I585))</f>
        <v/>
      </c>
      <c r="K585">
        <f>IF(A585="","",IF(J585&gt;0,"SHORTAGE","READY TO RESERVE"))</f>
        <v/>
      </c>
    </row>
    <row r="586">
      <c r="A586">
        <f>'Job Cards'!A45</f>
        <v/>
      </c>
      <c r="B586">
        <f>IF(A586="","",'Job Cards'!B45)</f>
        <v/>
      </c>
      <c r="C586">
        <f>IF(A586="","",'Job Cards'!D45)</f>
        <v/>
      </c>
      <c r="D586">
        <f>IF(A586="","",'BOM Mapping'!A12)</f>
        <v/>
      </c>
      <c r="E586">
        <f>IF(A586="","",IF(C586="Longitude",'BOM Mapping'!C12,IF(C586="Latitude",'BOM Mapping'!D12,IF(C586="Altitude",'BOM Mapping'!E12,""))))</f>
        <v/>
      </c>
      <c r="F586">
        <f>IF(A586="","",'BOM Mapping'!F12)</f>
        <v/>
      </c>
      <c r="G586">
        <f>IF(A586="","",'Job Cards'!E45)</f>
        <v/>
      </c>
      <c r="H586">
        <f>IF(A586="","",F586*G586)</f>
        <v/>
      </c>
      <c r="I586">
        <f>IF(E586="","",IFERROR(VLOOKUP(E586,'Master Inventory'!$A$4:$J$69,10,FALSE),0))</f>
        <v/>
      </c>
      <c r="J586">
        <f>IF(A586="","",MAX(0,H586-I586))</f>
        <v/>
      </c>
      <c r="K586">
        <f>IF(A586="","",IF(J586&gt;0,"SHORTAGE","READY TO RESERVE"))</f>
        <v/>
      </c>
    </row>
    <row r="587">
      <c r="A587">
        <f>'Job Cards'!A45</f>
        <v/>
      </c>
      <c r="B587">
        <f>IF(A587="","",'Job Cards'!B45)</f>
        <v/>
      </c>
      <c r="C587">
        <f>IF(A587="","",'Job Cards'!D45)</f>
        <v/>
      </c>
      <c r="D587">
        <f>IF(A587="","",'BOM Mapping'!A13)</f>
        <v/>
      </c>
      <c r="E587">
        <f>IF(A587="","",IF(C587="Longitude",'BOM Mapping'!C13,IF(C587="Latitude",'BOM Mapping'!D13,IF(C587="Altitude",'BOM Mapping'!E13,""))))</f>
        <v/>
      </c>
      <c r="F587">
        <f>IF(A587="","",'BOM Mapping'!F13)</f>
        <v/>
      </c>
      <c r="G587">
        <f>IF(A587="","",'Job Cards'!E45)</f>
        <v/>
      </c>
      <c r="H587">
        <f>IF(A587="","",F587*G587)</f>
        <v/>
      </c>
      <c r="I587">
        <f>IF(E587="","",IFERROR(VLOOKUP(E587,'Master Inventory'!$A$4:$J$69,10,FALSE),0))</f>
        <v/>
      </c>
      <c r="J587">
        <f>IF(A587="","",MAX(0,H587-I587))</f>
        <v/>
      </c>
      <c r="K587">
        <f>IF(A587="","",IF(J587&gt;0,"SHORTAGE","READY TO RESERVE"))</f>
        <v/>
      </c>
    </row>
    <row r="588">
      <c r="A588">
        <f>'Job Cards'!A45</f>
        <v/>
      </c>
      <c r="B588">
        <f>IF(A588="","",'Job Cards'!B45)</f>
        <v/>
      </c>
      <c r="C588">
        <f>IF(A588="","",'Job Cards'!D45)</f>
        <v/>
      </c>
      <c r="D588">
        <f>IF(A588="","",'BOM Mapping'!A14)</f>
        <v/>
      </c>
      <c r="E588">
        <f>IF(A588="","",IF(C588="Longitude",'BOM Mapping'!C14,IF(C588="Latitude",'BOM Mapping'!D14,IF(C588="Altitude",'BOM Mapping'!E14,""))))</f>
        <v/>
      </c>
      <c r="F588">
        <f>IF(A588="","",'BOM Mapping'!F14)</f>
        <v/>
      </c>
      <c r="G588">
        <f>IF(A588="","",'Job Cards'!E45)</f>
        <v/>
      </c>
      <c r="H588">
        <f>IF(A588="","",F588*G588)</f>
        <v/>
      </c>
      <c r="I588">
        <f>IF(E588="","",IFERROR(VLOOKUP(E588,'Master Inventory'!$A$4:$J$69,10,FALSE),0))</f>
        <v/>
      </c>
      <c r="J588">
        <f>IF(A588="","",MAX(0,H588-I588))</f>
        <v/>
      </c>
      <c r="K588">
        <f>IF(A588="","",IF(J588&gt;0,"SHORTAGE","READY TO RESERVE"))</f>
        <v/>
      </c>
    </row>
    <row r="589">
      <c r="A589">
        <f>'Job Cards'!A45</f>
        <v/>
      </c>
      <c r="B589">
        <f>IF(A589="","",'Job Cards'!B45)</f>
        <v/>
      </c>
      <c r="C589">
        <f>IF(A589="","",'Job Cards'!D45)</f>
        <v/>
      </c>
      <c r="D589">
        <f>IF(A589="","",'BOM Mapping'!A15)</f>
        <v/>
      </c>
      <c r="E589">
        <f>IF(A589="","",IF(C589="Longitude",'BOM Mapping'!C15,IF(C589="Latitude",'BOM Mapping'!D15,IF(C589="Altitude",'BOM Mapping'!E15,""))))</f>
        <v/>
      </c>
      <c r="F589">
        <f>IF(A589="","",'BOM Mapping'!F15)</f>
        <v/>
      </c>
      <c r="G589">
        <f>IF(A589="","",'Job Cards'!E45)</f>
        <v/>
      </c>
      <c r="H589">
        <f>IF(A589="","",F589*G589)</f>
        <v/>
      </c>
      <c r="I589">
        <f>IF(E589="","",IFERROR(VLOOKUP(E589,'Master Inventory'!$A$4:$J$69,10,FALSE),0))</f>
        <v/>
      </c>
      <c r="J589">
        <f>IF(A589="","",MAX(0,H589-I589))</f>
        <v/>
      </c>
      <c r="K589">
        <f>IF(A589="","",IF(J589&gt;0,"SHORTAGE","READY TO RESERVE"))</f>
        <v/>
      </c>
    </row>
    <row r="590">
      <c r="A590">
        <f>'Job Cards'!A45</f>
        <v/>
      </c>
      <c r="B590">
        <f>IF(A590="","",'Job Cards'!B45)</f>
        <v/>
      </c>
      <c r="C590">
        <f>IF(A590="","",'Job Cards'!D45)</f>
        <v/>
      </c>
      <c r="D590">
        <f>IF(A590="","",'BOM Mapping'!A16)</f>
        <v/>
      </c>
      <c r="E590">
        <f>IF(A590="","",IF(C590="Longitude",'BOM Mapping'!C16,IF(C590="Latitude",'BOM Mapping'!D16,IF(C590="Altitude",'BOM Mapping'!E16,""))))</f>
        <v/>
      </c>
      <c r="F590">
        <f>IF(A590="","",'BOM Mapping'!F16)</f>
        <v/>
      </c>
      <c r="G590">
        <f>IF(A590="","",'Job Cards'!E45)</f>
        <v/>
      </c>
      <c r="H590">
        <f>IF(A590="","",F590*G590)</f>
        <v/>
      </c>
      <c r="I590">
        <f>IF(E590="","",IFERROR(VLOOKUP(E590,'Master Inventory'!$A$4:$J$69,10,FALSE),0))</f>
        <v/>
      </c>
      <c r="J590">
        <f>IF(A590="","",MAX(0,H590-I590))</f>
        <v/>
      </c>
      <c r="K590">
        <f>IF(A590="","",IF(J590&gt;0,"SHORTAGE","READY TO RESERVE"))</f>
        <v/>
      </c>
    </row>
    <row r="591">
      <c r="A591">
        <f>'Job Cards'!A45</f>
        <v/>
      </c>
      <c r="B591">
        <f>IF(A591="","",'Job Cards'!B45)</f>
        <v/>
      </c>
      <c r="C591">
        <f>IF(A591="","",'Job Cards'!D45)</f>
        <v/>
      </c>
      <c r="D591">
        <f>IF(A591="","",'BOM Mapping'!A17)</f>
        <v/>
      </c>
      <c r="E591">
        <f>IF(A591="","",IF(C591="Longitude",'BOM Mapping'!C17,IF(C591="Latitude",'BOM Mapping'!D17,IF(C591="Altitude",'BOM Mapping'!E17,""))))</f>
        <v/>
      </c>
      <c r="F591">
        <f>IF(A591="","",'BOM Mapping'!F17)</f>
        <v/>
      </c>
      <c r="G591">
        <f>IF(A591="","",'Job Cards'!E45)</f>
        <v/>
      </c>
      <c r="H591">
        <f>IF(A591="","",F591*G591)</f>
        <v/>
      </c>
      <c r="I591">
        <f>IF(E591="","",IFERROR(VLOOKUP(E591,'Master Inventory'!$A$4:$J$69,10,FALSE),0))</f>
        <v/>
      </c>
      <c r="J591">
        <f>IF(A591="","",MAX(0,H591-I591))</f>
        <v/>
      </c>
      <c r="K591">
        <f>IF(A591="","",IF(J591&gt;0,"SHORTAGE","READY TO RESERVE"))</f>
        <v/>
      </c>
    </row>
    <row r="592">
      <c r="A592">
        <f>'Job Cards'!A46</f>
        <v/>
      </c>
      <c r="B592">
        <f>IF(A592="","",'Job Cards'!B46)</f>
        <v/>
      </c>
      <c r="C592">
        <f>IF(A592="","",'Job Cards'!D46)</f>
        <v/>
      </c>
      <c r="D592">
        <f>IF(A592="","",'BOM Mapping'!A4)</f>
        <v/>
      </c>
      <c r="E592">
        <f>IF(A592="","",IF(C592="Longitude",'BOM Mapping'!C4,IF(C592="Latitude",'BOM Mapping'!D4,IF(C592="Altitude",'BOM Mapping'!E4,""))))</f>
        <v/>
      </c>
      <c r="F592">
        <f>IF(A592="","",'BOM Mapping'!F4)</f>
        <v/>
      </c>
      <c r="G592">
        <f>IF(A592="","",'Job Cards'!E46)</f>
        <v/>
      </c>
      <c r="H592">
        <f>IF(A592="","",F592*G592)</f>
        <v/>
      </c>
      <c r="I592">
        <f>IF(E592="","",IFERROR(VLOOKUP(E592,'Master Inventory'!$A$4:$J$69,10,FALSE),0))</f>
        <v/>
      </c>
      <c r="J592">
        <f>IF(A592="","",MAX(0,H592-I592))</f>
        <v/>
      </c>
      <c r="K592">
        <f>IF(A592="","",IF(J592&gt;0,"SHORTAGE","READY TO RESERVE"))</f>
        <v/>
      </c>
    </row>
    <row r="593">
      <c r="A593">
        <f>'Job Cards'!A46</f>
        <v/>
      </c>
      <c r="B593">
        <f>IF(A593="","",'Job Cards'!B46)</f>
        <v/>
      </c>
      <c r="C593">
        <f>IF(A593="","",'Job Cards'!D46)</f>
        <v/>
      </c>
      <c r="D593">
        <f>IF(A593="","",'BOM Mapping'!A5)</f>
        <v/>
      </c>
      <c r="E593">
        <f>IF(A593="","",IF(C593="Longitude",'BOM Mapping'!C5,IF(C593="Latitude",'BOM Mapping'!D5,IF(C593="Altitude",'BOM Mapping'!E5,""))))</f>
        <v/>
      </c>
      <c r="F593">
        <f>IF(A593="","",'BOM Mapping'!F5)</f>
        <v/>
      </c>
      <c r="G593">
        <f>IF(A593="","",'Job Cards'!E46)</f>
        <v/>
      </c>
      <c r="H593">
        <f>IF(A593="","",F593*G593)</f>
        <v/>
      </c>
      <c r="I593">
        <f>IF(E593="","",IFERROR(VLOOKUP(E593,'Master Inventory'!$A$4:$J$69,10,FALSE),0))</f>
        <v/>
      </c>
      <c r="J593">
        <f>IF(A593="","",MAX(0,H593-I593))</f>
        <v/>
      </c>
      <c r="K593">
        <f>IF(A593="","",IF(J593&gt;0,"SHORTAGE","READY TO RESERVE"))</f>
        <v/>
      </c>
    </row>
    <row r="594">
      <c r="A594">
        <f>'Job Cards'!A46</f>
        <v/>
      </c>
      <c r="B594">
        <f>IF(A594="","",'Job Cards'!B46)</f>
        <v/>
      </c>
      <c r="C594">
        <f>IF(A594="","",'Job Cards'!D46)</f>
        <v/>
      </c>
      <c r="D594">
        <f>IF(A594="","",'BOM Mapping'!A6)</f>
        <v/>
      </c>
      <c r="E594">
        <f>IF(A594="","",IF(C594="Longitude",'BOM Mapping'!C6,IF(C594="Latitude",'BOM Mapping'!D6,IF(C594="Altitude",'BOM Mapping'!E6,""))))</f>
        <v/>
      </c>
      <c r="F594">
        <f>IF(A594="","",'BOM Mapping'!F6)</f>
        <v/>
      </c>
      <c r="G594">
        <f>IF(A594="","",'Job Cards'!E46)</f>
        <v/>
      </c>
      <c r="H594">
        <f>IF(A594="","",F594*G594)</f>
        <v/>
      </c>
      <c r="I594">
        <f>IF(E594="","",IFERROR(VLOOKUP(E594,'Master Inventory'!$A$4:$J$69,10,FALSE),0))</f>
        <v/>
      </c>
      <c r="J594">
        <f>IF(A594="","",MAX(0,H594-I594))</f>
        <v/>
      </c>
      <c r="K594">
        <f>IF(A594="","",IF(J594&gt;0,"SHORTAGE","READY TO RESERVE"))</f>
        <v/>
      </c>
    </row>
    <row r="595">
      <c r="A595">
        <f>'Job Cards'!A46</f>
        <v/>
      </c>
      <c r="B595">
        <f>IF(A595="","",'Job Cards'!B46)</f>
        <v/>
      </c>
      <c r="C595">
        <f>IF(A595="","",'Job Cards'!D46)</f>
        <v/>
      </c>
      <c r="D595">
        <f>IF(A595="","",'BOM Mapping'!A7)</f>
        <v/>
      </c>
      <c r="E595">
        <f>IF(A595="","",IF(C595="Longitude",'BOM Mapping'!C7,IF(C595="Latitude",'BOM Mapping'!D7,IF(C595="Altitude",'BOM Mapping'!E7,""))))</f>
        <v/>
      </c>
      <c r="F595">
        <f>IF(A595="","",'BOM Mapping'!F7)</f>
        <v/>
      </c>
      <c r="G595">
        <f>IF(A595="","",'Job Cards'!E46)</f>
        <v/>
      </c>
      <c r="H595">
        <f>IF(A595="","",F595*G595)</f>
        <v/>
      </c>
      <c r="I595">
        <f>IF(E595="","",IFERROR(VLOOKUP(E595,'Master Inventory'!$A$4:$J$69,10,FALSE),0))</f>
        <v/>
      </c>
      <c r="J595">
        <f>IF(A595="","",MAX(0,H595-I595))</f>
        <v/>
      </c>
      <c r="K595">
        <f>IF(A595="","",IF(J595&gt;0,"SHORTAGE","READY TO RESERVE"))</f>
        <v/>
      </c>
    </row>
    <row r="596">
      <c r="A596">
        <f>'Job Cards'!A46</f>
        <v/>
      </c>
      <c r="B596">
        <f>IF(A596="","",'Job Cards'!B46)</f>
        <v/>
      </c>
      <c r="C596">
        <f>IF(A596="","",'Job Cards'!D46)</f>
        <v/>
      </c>
      <c r="D596">
        <f>IF(A596="","",'BOM Mapping'!A8)</f>
        <v/>
      </c>
      <c r="E596">
        <f>IF(A596="","",IF(C596="Longitude",'BOM Mapping'!C8,IF(C596="Latitude",'BOM Mapping'!D8,IF(C596="Altitude",'BOM Mapping'!E8,""))))</f>
        <v/>
      </c>
      <c r="F596">
        <f>IF(A596="","",'BOM Mapping'!F8)</f>
        <v/>
      </c>
      <c r="G596">
        <f>IF(A596="","",'Job Cards'!E46)</f>
        <v/>
      </c>
      <c r="H596">
        <f>IF(A596="","",F596*G596)</f>
        <v/>
      </c>
      <c r="I596">
        <f>IF(E596="","",IFERROR(VLOOKUP(E596,'Master Inventory'!$A$4:$J$69,10,FALSE),0))</f>
        <v/>
      </c>
      <c r="J596">
        <f>IF(A596="","",MAX(0,H596-I596))</f>
        <v/>
      </c>
      <c r="K596">
        <f>IF(A596="","",IF(J596&gt;0,"SHORTAGE","READY TO RESERVE"))</f>
        <v/>
      </c>
    </row>
    <row r="597">
      <c r="A597">
        <f>'Job Cards'!A46</f>
        <v/>
      </c>
      <c r="B597">
        <f>IF(A597="","",'Job Cards'!B46)</f>
        <v/>
      </c>
      <c r="C597">
        <f>IF(A597="","",'Job Cards'!D46)</f>
        <v/>
      </c>
      <c r="D597">
        <f>IF(A597="","",'BOM Mapping'!A9)</f>
        <v/>
      </c>
      <c r="E597">
        <f>IF(A597="","",IF(C597="Longitude",'BOM Mapping'!C9,IF(C597="Latitude",'BOM Mapping'!D9,IF(C597="Altitude",'BOM Mapping'!E9,""))))</f>
        <v/>
      </c>
      <c r="F597">
        <f>IF(A597="","",'BOM Mapping'!F9)</f>
        <v/>
      </c>
      <c r="G597">
        <f>IF(A597="","",'Job Cards'!E46)</f>
        <v/>
      </c>
      <c r="H597">
        <f>IF(A597="","",F597*G597)</f>
        <v/>
      </c>
      <c r="I597">
        <f>IF(E597="","",IFERROR(VLOOKUP(E597,'Master Inventory'!$A$4:$J$69,10,FALSE),0))</f>
        <v/>
      </c>
      <c r="J597">
        <f>IF(A597="","",MAX(0,H597-I597))</f>
        <v/>
      </c>
      <c r="K597">
        <f>IF(A597="","",IF(J597&gt;0,"SHORTAGE","READY TO RESERVE"))</f>
        <v/>
      </c>
    </row>
    <row r="598">
      <c r="A598">
        <f>'Job Cards'!A46</f>
        <v/>
      </c>
      <c r="B598">
        <f>IF(A598="","",'Job Cards'!B46)</f>
        <v/>
      </c>
      <c r="C598">
        <f>IF(A598="","",'Job Cards'!D46)</f>
        <v/>
      </c>
      <c r="D598">
        <f>IF(A598="","",'BOM Mapping'!A10)</f>
        <v/>
      </c>
      <c r="E598">
        <f>IF(A598="","",IF(C598="Longitude",'BOM Mapping'!C10,IF(C598="Latitude",'BOM Mapping'!D10,IF(C598="Altitude",'BOM Mapping'!E10,""))))</f>
        <v/>
      </c>
      <c r="F598">
        <f>IF(A598="","",'BOM Mapping'!F10)</f>
        <v/>
      </c>
      <c r="G598">
        <f>IF(A598="","",'Job Cards'!E46)</f>
        <v/>
      </c>
      <c r="H598">
        <f>IF(A598="","",F598*G598)</f>
        <v/>
      </c>
      <c r="I598">
        <f>IF(E598="","",IFERROR(VLOOKUP(E598,'Master Inventory'!$A$4:$J$69,10,FALSE),0))</f>
        <v/>
      </c>
      <c r="J598">
        <f>IF(A598="","",MAX(0,H598-I598))</f>
        <v/>
      </c>
      <c r="K598">
        <f>IF(A598="","",IF(J598&gt;0,"SHORTAGE","READY TO RESERVE"))</f>
        <v/>
      </c>
    </row>
    <row r="599">
      <c r="A599">
        <f>'Job Cards'!A46</f>
        <v/>
      </c>
      <c r="B599">
        <f>IF(A599="","",'Job Cards'!B46)</f>
        <v/>
      </c>
      <c r="C599">
        <f>IF(A599="","",'Job Cards'!D46)</f>
        <v/>
      </c>
      <c r="D599">
        <f>IF(A599="","",'BOM Mapping'!A11)</f>
        <v/>
      </c>
      <c r="E599">
        <f>IF(A599="","",IF(C599="Longitude",'BOM Mapping'!C11,IF(C599="Latitude",'BOM Mapping'!D11,IF(C599="Altitude",'BOM Mapping'!E11,""))))</f>
        <v/>
      </c>
      <c r="F599">
        <f>IF(A599="","",'BOM Mapping'!F11)</f>
        <v/>
      </c>
      <c r="G599">
        <f>IF(A599="","",'Job Cards'!E46)</f>
        <v/>
      </c>
      <c r="H599">
        <f>IF(A599="","",F599*G599)</f>
        <v/>
      </c>
      <c r="I599">
        <f>IF(E599="","",IFERROR(VLOOKUP(E599,'Master Inventory'!$A$4:$J$69,10,FALSE),0))</f>
        <v/>
      </c>
      <c r="J599">
        <f>IF(A599="","",MAX(0,H599-I599))</f>
        <v/>
      </c>
      <c r="K599">
        <f>IF(A599="","",IF(J599&gt;0,"SHORTAGE","READY TO RESERVE"))</f>
        <v/>
      </c>
    </row>
    <row r="600">
      <c r="A600">
        <f>'Job Cards'!A46</f>
        <v/>
      </c>
      <c r="B600">
        <f>IF(A600="","",'Job Cards'!B46)</f>
        <v/>
      </c>
      <c r="C600">
        <f>IF(A600="","",'Job Cards'!D46)</f>
        <v/>
      </c>
      <c r="D600">
        <f>IF(A600="","",'BOM Mapping'!A12)</f>
        <v/>
      </c>
      <c r="E600">
        <f>IF(A600="","",IF(C600="Longitude",'BOM Mapping'!C12,IF(C600="Latitude",'BOM Mapping'!D12,IF(C600="Altitude",'BOM Mapping'!E12,""))))</f>
        <v/>
      </c>
      <c r="F600">
        <f>IF(A600="","",'BOM Mapping'!F12)</f>
        <v/>
      </c>
      <c r="G600">
        <f>IF(A600="","",'Job Cards'!E46)</f>
        <v/>
      </c>
      <c r="H600">
        <f>IF(A600="","",F600*G600)</f>
        <v/>
      </c>
      <c r="I600">
        <f>IF(E600="","",IFERROR(VLOOKUP(E600,'Master Inventory'!$A$4:$J$69,10,FALSE),0))</f>
        <v/>
      </c>
      <c r="J600">
        <f>IF(A600="","",MAX(0,H600-I600))</f>
        <v/>
      </c>
      <c r="K600">
        <f>IF(A600="","",IF(J600&gt;0,"SHORTAGE","READY TO RESERVE"))</f>
        <v/>
      </c>
    </row>
    <row r="601">
      <c r="A601">
        <f>'Job Cards'!A46</f>
        <v/>
      </c>
      <c r="B601">
        <f>IF(A601="","",'Job Cards'!B46)</f>
        <v/>
      </c>
      <c r="C601">
        <f>IF(A601="","",'Job Cards'!D46)</f>
        <v/>
      </c>
      <c r="D601">
        <f>IF(A601="","",'BOM Mapping'!A13)</f>
        <v/>
      </c>
      <c r="E601">
        <f>IF(A601="","",IF(C601="Longitude",'BOM Mapping'!C13,IF(C601="Latitude",'BOM Mapping'!D13,IF(C601="Altitude",'BOM Mapping'!E13,""))))</f>
        <v/>
      </c>
      <c r="F601">
        <f>IF(A601="","",'BOM Mapping'!F13)</f>
        <v/>
      </c>
      <c r="G601">
        <f>IF(A601="","",'Job Cards'!E46)</f>
        <v/>
      </c>
      <c r="H601">
        <f>IF(A601="","",F601*G601)</f>
        <v/>
      </c>
      <c r="I601">
        <f>IF(E601="","",IFERROR(VLOOKUP(E601,'Master Inventory'!$A$4:$J$69,10,FALSE),0))</f>
        <v/>
      </c>
      <c r="J601">
        <f>IF(A601="","",MAX(0,H601-I601))</f>
        <v/>
      </c>
      <c r="K601">
        <f>IF(A601="","",IF(J601&gt;0,"SHORTAGE","READY TO RESERVE"))</f>
        <v/>
      </c>
    </row>
    <row r="602">
      <c r="A602">
        <f>'Job Cards'!A46</f>
        <v/>
      </c>
      <c r="B602">
        <f>IF(A602="","",'Job Cards'!B46)</f>
        <v/>
      </c>
      <c r="C602">
        <f>IF(A602="","",'Job Cards'!D46)</f>
        <v/>
      </c>
      <c r="D602">
        <f>IF(A602="","",'BOM Mapping'!A14)</f>
        <v/>
      </c>
      <c r="E602">
        <f>IF(A602="","",IF(C602="Longitude",'BOM Mapping'!C14,IF(C602="Latitude",'BOM Mapping'!D14,IF(C602="Altitude",'BOM Mapping'!E14,""))))</f>
        <v/>
      </c>
      <c r="F602">
        <f>IF(A602="","",'BOM Mapping'!F14)</f>
        <v/>
      </c>
      <c r="G602">
        <f>IF(A602="","",'Job Cards'!E46)</f>
        <v/>
      </c>
      <c r="H602">
        <f>IF(A602="","",F602*G602)</f>
        <v/>
      </c>
      <c r="I602">
        <f>IF(E602="","",IFERROR(VLOOKUP(E602,'Master Inventory'!$A$4:$J$69,10,FALSE),0))</f>
        <v/>
      </c>
      <c r="J602">
        <f>IF(A602="","",MAX(0,H602-I602))</f>
        <v/>
      </c>
      <c r="K602">
        <f>IF(A602="","",IF(J602&gt;0,"SHORTAGE","READY TO RESERVE"))</f>
        <v/>
      </c>
    </row>
    <row r="603">
      <c r="A603">
        <f>'Job Cards'!A46</f>
        <v/>
      </c>
      <c r="B603">
        <f>IF(A603="","",'Job Cards'!B46)</f>
        <v/>
      </c>
      <c r="C603">
        <f>IF(A603="","",'Job Cards'!D46)</f>
        <v/>
      </c>
      <c r="D603">
        <f>IF(A603="","",'BOM Mapping'!A15)</f>
        <v/>
      </c>
      <c r="E603">
        <f>IF(A603="","",IF(C603="Longitude",'BOM Mapping'!C15,IF(C603="Latitude",'BOM Mapping'!D15,IF(C603="Altitude",'BOM Mapping'!E15,""))))</f>
        <v/>
      </c>
      <c r="F603">
        <f>IF(A603="","",'BOM Mapping'!F15)</f>
        <v/>
      </c>
      <c r="G603">
        <f>IF(A603="","",'Job Cards'!E46)</f>
        <v/>
      </c>
      <c r="H603">
        <f>IF(A603="","",F603*G603)</f>
        <v/>
      </c>
      <c r="I603">
        <f>IF(E603="","",IFERROR(VLOOKUP(E603,'Master Inventory'!$A$4:$J$69,10,FALSE),0))</f>
        <v/>
      </c>
      <c r="J603">
        <f>IF(A603="","",MAX(0,H603-I603))</f>
        <v/>
      </c>
      <c r="K603">
        <f>IF(A603="","",IF(J603&gt;0,"SHORTAGE","READY TO RESERVE"))</f>
        <v/>
      </c>
    </row>
    <row r="604">
      <c r="A604">
        <f>'Job Cards'!A46</f>
        <v/>
      </c>
      <c r="B604">
        <f>IF(A604="","",'Job Cards'!B46)</f>
        <v/>
      </c>
      <c r="C604">
        <f>IF(A604="","",'Job Cards'!D46)</f>
        <v/>
      </c>
      <c r="D604">
        <f>IF(A604="","",'BOM Mapping'!A16)</f>
        <v/>
      </c>
      <c r="E604">
        <f>IF(A604="","",IF(C604="Longitude",'BOM Mapping'!C16,IF(C604="Latitude",'BOM Mapping'!D16,IF(C604="Altitude",'BOM Mapping'!E16,""))))</f>
        <v/>
      </c>
      <c r="F604">
        <f>IF(A604="","",'BOM Mapping'!F16)</f>
        <v/>
      </c>
      <c r="G604">
        <f>IF(A604="","",'Job Cards'!E46)</f>
        <v/>
      </c>
      <c r="H604">
        <f>IF(A604="","",F604*G604)</f>
        <v/>
      </c>
      <c r="I604">
        <f>IF(E604="","",IFERROR(VLOOKUP(E604,'Master Inventory'!$A$4:$J$69,10,FALSE),0))</f>
        <v/>
      </c>
      <c r="J604">
        <f>IF(A604="","",MAX(0,H604-I604))</f>
        <v/>
      </c>
      <c r="K604">
        <f>IF(A604="","",IF(J604&gt;0,"SHORTAGE","READY TO RESERVE"))</f>
        <v/>
      </c>
    </row>
    <row r="605">
      <c r="A605">
        <f>'Job Cards'!A46</f>
        <v/>
      </c>
      <c r="B605">
        <f>IF(A605="","",'Job Cards'!B46)</f>
        <v/>
      </c>
      <c r="C605">
        <f>IF(A605="","",'Job Cards'!D46)</f>
        <v/>
      </c>
      <c r="D605">
        <f>IF(A605="","",'BOM Mapping'!A17)</f>
        <v/>
      </c>
      <c r="E605">
        <f>IF(A605="","",IF(C605="Longitude",'BOM Mapping'!C17,IF(C605="Latitude",'BOM Mapping'!D17,IF(C605="Altitude",'BOM Mapping'!E17,""))))</f>
        <v/>
      </c>
      <c r="F605">
        <f>IF(A605="","",'BOM Mapping'!F17)</f>
        <v/>
      </c>
      <c r="G605">
        <f>IF(A605="","",'Job Cards'!E46)</f>
        <v/>
      </c>
      <c r="H605">
        <f>IF(A605="","",F605*G605)</f>
        <v/>
      </c>
      <c r="I605">
        <f>IF(E605="","",IFERROR(VLOOKUP(E605,'Master Inventory'!$A$4:$J$69,10,FALSE),0))</f>
        <v/>
      </c>
      <c r="J605">
        <f>IF(A605="","",MAX(0,H605-I605))</f>
        <v/>
      </c>
      <c r="K605">
        <f>IF(A605="","",IF(J605&gt;0,"SHORTAGE","READY TO RESERVE"))</f>
        <v/>
      </c>
    </row>
    <row r="606">
      <c r="A606">
        <f>'Job Cards'!A47</f>
        <v/>
      </c>
      <c r="B606">
        <f>IF(A606="","",'Job Cards'!B47)</f>
        <v/>
      </c>
      <c r="C606">
        <f>IF(A606="","",'Job Cards'!D47)</f>
        <v/>
      </c>
      <c r="D606">
        <f>IF(A606="","",'BOM Mapping'!A4)</f>
        <v/>
      </c>
      <c r="E606">
        <f>IF(A606="","",IF(C606="Longitude",'BOM Mapping'!C4,IF(C606="Latitude",'BOM Mapping'!D4,IF(C606="Altitude",'BOM Mapping'!E4,""))))</f>
        <v/>
      </c>
      <c r="F606">
        <f>IF(A606="","",'BOM Mapping'!F4)</f>
        <v/>
      </c>
      <c r="G606">
        <f>IF(A606="","",'Job Cards'!E47)</f>
        <v/>
      </c>
      <c r="H606">
        <f>IF(A606="","",F606*G606)</f>
        <v/>
      </c>
      <c r="I606">
        <f>IF(E606="","",IFERROR(VLOOKUP(E606,'Master Inventory'!$A$4:$J$69,10,FALSE),0))</f>
        <v/>
      </c>
      <c r="J606">
        <f>IF(A606="","",MAX(0,H606-I606))</f>
        <v/>
      </c>
      <c r="K606">
        <f>IF(A606="","",IF(J606&gt;0,"SHORTAGE","READY TO RESERVE"))</f>
        <v/>
      </c>
    </row>
    <row r="607">
      <c r="A607">
        <f>'Job Cards'!A47</f>
        <v/>
      </c>
      <c r="B607">
        <f>IF(A607="","",'Job Cards'!B47)</f>
        <v/>
      </c>
      <c r="C607">
        <f>IF(A607="","",'Job Cards'!D47)</f>
        <v/>
      </c>
      <c r="D607">
        <f>IF(A607="","",'BOM Mapping'!A5)</f>
        <v/>
      </c>
      <c r="E607">
        <f>IF(A607="","",IF(C607="Longitude",'BOM Mapping'!C5,IF(C607="Latitude",'BOM Mapping'!D5,IF(C607="Altitude",'BOM Mapping'!E5,""))))</f>
        <v/>
      </c>
      <c r="F607">
        <f>IF(A607="","",'BOM Mapping'!F5)</f>
        <v/>
      </c>
      <c r="G607">
        <f>IF(A607="","",'Job Cards'!E47)</f>
        <v/>
      </c>
      <c r="H607">
        <f>IF(A607="","",F607*G607)</f>
        <v/>
      </c>
      <c r="I607">
        <f>IF(E607="","",IFERROR(VLOOKUP(E607,'Master Inventory'!$A$4:$J$69,10,FALSE),0))</f>
        <v/>
      </c>
      <c r="J607">
        <f>IF(A607="","",MAX(0,H607-I607))</f>
        <v/>
      </c>
      <c r="K607">
        <f>IF(A607="","",IF(J607&gt;0,"SHORTAGE","READY TO RESERVE"))</f>
        <v/>
      </c>
    </row>
    <row r="608">
      <c r="A608">
        <f>'Job Cards'!A47</f>
        <v/>
      </c>
      <c r="B608">
        <f>IF(A608="","",'Job Cards'!B47)</f>
        <v/>
      </c>
      <c r="C608">
        <f>IF(A608="","",'Job Cards'!D47)</f>
        <v/>
      </c>
      <c r="D608">
        <f>IF(A608="","",'BOM Mapping'!A6)</f>
        <v/>
      </c>
      <c r="E608">
        <f>IF(A608="","",IF(C608="Longitude",'BOM Mapping'!C6,IF(C608="Latitude",'BOM Mapping'!D6,IF(C608="Altitude",'BOM Mapping'!E6,""))))</f>
        <v/>
      </c>
      <c r="F608">
        <f>IF(A608="","",'BOM Mapping'!F6)</f>
        <v/>
      </c>
      <c r="G608">
        <f>IF(A608="","",'Job Cards'!E47)</f>
        <v/>
      </c>
      <c r="H608">
        <f>IF(A608="","",F608*G608)</f>
        <v/>
      </c>
      <c r="I608">
        <f>IF(E608="","",IFERROR(VLOOKUP(E608,'Master Inventory'!$A$4:$J$69,10,FALSE),0))</f>
        <v/>
      </c>
      <c r="J608">
        <f>IF(A608="","",MAX(0,H608-I608))</f>
        <v/>
      </c>
      <c r="K608">
        <f>IF(A608="","",IF(J608&gt;0,"SHORTAGE","READY TO RESERVE"))</f>
        <v/>
      </c>
    </row>
    <row r="609">
      <c r="A609">
        <f>'Job Cards'!A47</f>
        <v/>
      </c>
      <c r="B609">
        <f>IF(A609="","",'Job Cards'!B47)</f>
        <v/>
      </c>
      <c r="C609">
        <f>IF(A609="","",'Job Cards'!D47)</f>
        <v/>
      </c>
      <c r="D609">
        <f>IF(A609="","",'BOM Mapping'!A7)</f>
        <v/>
      </c>
      <c r="E609">
        <f>IF(A609="","",IF(C609="Longitude",'BOM Mapping'!C7,IF(C609="Latitude",'BOM Mapping'!D7,IF(C609="Altitude",'BOM Mapping'!E7,""))))</f>
        <v/>
      </c>
      <c r="F609">
        <f>IF(A609="","",'BOM Mapping'!F7)</f>
        <v/>
      </c>
      <c r="G609">
        <f>IF(A609="","",'Job Cards'!E47)</f>
        <v/>
      </c>
      <c r="H609">
        <f>IF(A609="","",F609*G609)</f>
        <v/>
      </c>
      <c r="I609">
        <f>IF(E609="","",IFERROR(VLOOKUP(E609,'Master Inventory'!$A$4:$J$69,10,FALSE),0))</f>
        <v/>
      </c>
      <c r="J609">
        <f>IF(A609="","",MAX(0,H609-I609))</f>
        <v/>
      </c>
      <c r="K609">
        <f>IF(A609="","",IF(J609&gt;0,"SHORTAGE","READY TO RESERVE"))</f>
        <v/>
      </c>
    </row>
    <row r="610">
      <c r="A610">
        <f>'Job Cards'!A47</f>
        <v/>
      </c>
      <c r="B610">
        <f>IF(A610="","",'Job Cards'!B47)</f>
        <v/>
      </c>
      <c r="C610">
        <f>IF(A610="","",'Job Cards'!D47)</f>
        <v/>
      </c>
      <c r="D610">
        <f>IF(A610="","",'BOM Mapping'!A8)</f>
        <v/>
      </c>
      <c r="E610">
        <f>IF(A610="","",IF(C610="Longitude",'BOM Mapping'!C8,IF(C610="Latitude",'BOM Mapping'!D8,IF(C610="Altitude",'BOM Mapping'!E8,""))))</f>
        <v/>
      </c>
      <c r="F610">
        <f>IF(A610="","",'BOM Mapping'!F8)</f>
        <v/>
      </c>
      <c r="G610">
        <f>IF(A610="","",'Job Cards'!E47)</f>
        <v/>
      </c>
      <c r="H610">
        <f>IF(A610="","",F610*G610)</f>
        <v/>
      </c>
      <c r="I610">
        <f>IF(E610="","",IFERROR(VLOOKUP(E610,'Master Inventory'!$A$4:$J$69,10,FALSE),0))</f>
        <v/>
      </c>
      <c r="J610">
        <f>IF(A610="","",MAX(0,H610-I610))</f>
        <v/>
      </c>
      <c r="K610">
        <f>IF(A610="","",IF(J610&gt;0,"SHORTAGE","READY TO RESERVE"))</f>
        <v/>
      </c>
    </row>
    <row r="611">
      <c r="A611">
        <f>'Job Cards'!A47</f>
        <v/>
      </c>
      <c r="B611">
        <f>IF(A611="","",'Job Cards'!B47)</f>
        <v/>
      </c>
      <c r="C611">
        <f>IF(A611="","",'Job Cards'!D47)</f>
        <v/>
      </c>
      <c r="D611">
        <f>IF(A611="","",'BOM Mapping'!A9)</f>
        <v/>
      </c>
      <c r="E611">
        <f>IF(A611="","",IF(C611="Longitude",'BOM Mapping'!C9,IF(C611="Latitude",'BOM Mapping'!D9,IF(C611="Altitude",'BOM Mapping'!E9,""))))</f>
        <v/>
      </c>
      <c r="F611">
        <f>IF(A611="","",'BOM Mapping'!F9)</f>
        <v/>
      </c>
      <c r="G611">
        <f>IF(A611="","",'Job Cards'!E47)</f>
        <v/>
      </c>
      <c r="H611">
        <f>IF(A611="","",F611*G611)</f>
        <v/>
      </c>
      <c r="I611">
        <f>IF(E611="","",IFERROR(VLOOKUP(E611,'Master Inventory'!$A$4:$J$69,10,FALSE),0))</f>
        <v/>
      </c>
      <c r="J611">
        <f>IF(A611="","",MAX(0,H611-I611))</f>
        <v/>
      </c>
      <c r="K611">
        <f>IF(A611="","",IF(J611&gt;0,"SHORTAGE","READY TO RESERVE"))</f>
        <v/>
      </c>
    </row>
    <row r="612">
      <c r="A612">
        <f>'Job Cards'!A47</f>
        <v/>
      </c>
      <c r="B612">
        <f>IF(A612="","",'Job Cards'!B47)</f>
        <v/>
      </c>
      <c r="C612">
        <f>IF(A612="","",'Job Cards'!D47)</f>
        <v/>
      </c>
      <c r="D612">
        <f>IF(A612="","",'BOM Mapping'!A10)</f>
        <v/>
      </c>
      <c r="E612">
        <f>IF(A612="","",IF(C612="Longitude",'BOM Mapping'!C10,IF(C612="Latitude",'BOM Mapping'!D10,IF(C612="Altitude",'BOM Mapping'!E10,""))))</f>
        <v/>
      </c>
      <c r="F612">
        <f>IF(A612="","",'BOM Mapping'!F10)</f>
        <v/>
      </c>
      <c r="G612">
        <f>IF(A612="","",'Job Cards'!E47)</f>
        <v/>
      </c>
      <c r="H612">
        <f>IF(A612="","",F612*G612)</f>
        <v/>
      </c>
      <c r="I612">
        <f>IF(E612="","",IFERROR(VLOOKUP(E612,'Master Inventory'!$A$4:$J$69,10,FALSE),0))</f>
        <v/>
      </c>
      <c r="J612">
        <f>IF(A612="","",MAX(0,H612-I612))</f>
        <v/>
      </c>
      <c r="K612">
        <f>IF(A612="","",IF(J612&gt;0,"SHORTAGE","READY TO RESERVE"))</f>
        <v/>
      </c>
    </row>
    <row r="613">
      <c r="A613">
        <f>'Job Cards'!A47</f>
        <v/>
      </c>
      <c r="B613">
        <f>IF(A613="","",'Job Cards'!B47)</f>
        <v/>
      </c>
      <c r="C613">
        <f>IF(A613="","",'Job Cards'!D47)</f>
        <v/>
      </c>
      <c r="D613">
        <f>IF(A613="","",'BOM Mapping'!A11)</f>
        <v/>
      </c>
      <c r="E613">
        <f>IF(A613="","",IF(C613="Longitude",'BOM Mapping'!C11,IF(C613="Latitude",'BOM Mapping'!D11,IF(C613="Altitude",'BOM Mapping'!E11,""))))</f>
        <v/>
      </c>
      <c r="F613">
        <f>IF(A613="","",'BOM Mapping'!F11)</f>
        <v/>
      </c>
      <c r="G613">
        <f>IF(A613="","",'Job Cards'!E47)</f>
        <v/>
      </c>
      <c r="H613">
        <f>IF(A613="","",F613*G613)</f>
        <v/>
      </c>
      <c r="I613">
        <f>IF(E613="","",IFERROR(VLOOKUP(E613,'Master Inventory'!$A$4:$J$69,10,FALSE),0))</f>
        <v/>
      </c>
      <c r="J613">
        <f>IF(A613="","",MAX(0,H613-I613))</f>
        <v/>
      </c>
      <c r="K613">
        <f>IF(A613="","",IF(J613&gt;0,"SHORTAGE","READY TO RESERVE"))</f>
        <v/>
      </c>
    </row>
    <row r="614">
      <c r="A614">
        <f>'Job Cards'!A47</f>
        <v/>
      </c>
      <c r="B614">
        <f>IF(A614="","",'Job Cards'!B47)</f>
        <v/>
      </c>
      <c r="C614">
        <f>IF(A614="","",'Job Cards'!D47)</f>
        <v/>
      </c>
      <c r="D614">
        <f>IF(A614="","",'BOM Mapping'!A12)</f>
        <v/>
      </c>
      <c r="E614">
        <f>IF(A614="","",IF(C614="Longitude",'BOM Mapping'!C12,IF(C614="Latitude",'BOM Mapping'!D12,IF(C614="Altitude",'BOM Mapping'!E12,""))))</f>
        <v/>
      </c>
      <c r="F614">
        <f>IF(A614="","",'BOM Mapping'!F12)</f>
        <v/>
      </c>
      <c r="G614">
        <f>IF(A614="","",'Job Cards'!E47)</f>
        <v/>
      </c>
      <c r="H614">
        <f>IF(A614="","",F614*G614)</f>
        <v/>
      </c>
      <c r="I614">
        <f>IF(E614="","",IFERROR(VLOOKUP(E614,'Master Inventory'!$A$4:$J$69,10,FALSE),0))</f>
        <v/>
      </c>
      <c r="J614">
        <f>IF(A614="","",MAX(0,H614-I614))</f>
        <v/>
      </c>
      <c r="K614">
        <f>IF(A614="","",IF(J614&gt;0,"SHORTAGE","READY TO RESERVE"))</f>
        <v/>
      </c>
    </row>
    <row r="615">
      <c r="A615">
        <f>'Job Cards'!A47</f>
        <v/>
      </c>
      <c r="B615">
        <f>IF(A615="","",'Job Cards'!B47)</f>
        <v/>
      </c>
      <c r="C615">
        <f>IF(A615="","",'Job Cards'!D47)</f>
        <v/>
      </c>
      <c r="D615">
        <f>IF(A615="","",'BOM Mapping'!A13)</f>
        <v/>
      </c>
      <c r="E615">
        <f>IF(A615="","",IF(C615="Longitude",'BOM Mapping'!C13,IF(C615="Latitude",'BOM Mapping'!D13,IF(C615="Altitude",'BOM Mapping'!E13,""))))</f>
        <v/>
      </c>
      <c r="F615">
        <f>IF(A615="","",'BOM Mapping'!F13)</f>
        <v/>
      </c>
      <c r="G615">
        <f>IF(A615="","",'Job Cards'!E47)</f>
        <v/>
      </c>
      <c r="H615">
        <f>IF(A615="","",F615*G615)</f>
        <v/>
      </c>
      <c r="I615">
        <f>IF(E615="","",IFERROR(VLOOKUP(E615,'Master Inventory'!$A$4:$J$69,10,FALSE),0))</f>
        <v/>
      </c>
      <c r="J615">
        <f>IF(A615="","",MAX(0,H615-I615))</f>
        <v/>
      </c>
      <c r="K615">
        <f>IF(A615="","",IF(J615&gt;0,"SHORTAGE","READY TO RESERVE"))</f>
        <v/>
      </c>
    </row>
    <row r="616">
      <c r="A616">
        <f>'Job Cards'!A47</f>
        <v/>
      </c>
      <c r="B616">
        <f>IF(A616="","",'Job Cards'!B47)</f>
        <v/>
      </c>
      <c r="C616">
        <f>IF(A616="","",'Job Cards'!D47)</f>
        <v/>
      </c>
      <c r="D616">
        <f>IF(A616="","",'BOM Mapping'!A14)</f>
        <v/>
      </c>
      <c r="E616">
        <f>IF(A616="","",IF(C616="Longitude",'BOM Mapping'!C14,IF(C616="Latitude",'BOM Mapping'!D14,IF(C616="Altitude",'BOM Mapping'!E14,""))))</f>
        <v/>
      </c>
      <c r="F616">
        <f>IF(A616="","",'BOM Mapping'!F14)</f>
        <v/>
      </c>
      <c r="G616">
        <f>IF(A616="","",'Job Cards'!E47)</f>
        <v/>
      </c>
      <c r="H616">
        <f>IF(A616="","",F616*G616)</f>
        <v/>
      </c>
      <c r="I616">
        <f>IF(E616="","",IFERROR(VLOOKUP(E616,'Master Inventory'!$A$4:$J$69,10,FALSE),0))</f>
        <v/>
      </c>
      <c r="J616">
        <f>IF(A616="","",MAX(0,H616-I616))</f>
        <v/>
      </c>
      <c r="K616">
        <f>IF(A616="","",IF(J616&gt;0,"SHORTAGE","READY TO RESERVE"))</f>
        <v/>
      </c>
    </row>
    <row r="617">
      <c r="A617">
        <f>'Job Cards'!A47</f>
        <v/>
      </c>
      <c r="B617">
        <f>IF(A617="","",'Job Cards'!B47)</f>
        <v/>
      </c>
      <c r="C617">
        <f>IF(A617="","",'Job Cards'!D47)</f>
        <v/>
      </c>
      <c r="D617">
        <f>IF(A617="","",'BOM Mapping'!A15)</f>
        <v/>
      </c>
      <c r="E617">
        <f>IF(A617="","",IF(C617="Longitude",'BOM Mapping'!C15,IF(C617="Latitude",'BOM Mapping'!D15,IF(C617="Altitude",'BOM Mapping'!E15,""))))</f>
        <v/>
      </c>
      <c r="F617">
        <f>IF(A617="","",'BOM Mapping'!F15)</f>
        <v/>
      </c>
      <c r="G617">
        <f>IF(A617="","",'Job Cards'!E47)</f>
        <v/>
      </c>
      <c r="H617">
        <f>IF(A617="","",F617*G617)</f>
        <v/>
      </c>
      <c r="I617">
        <f>IF(E617="","",IFERROR(VLOOKUP(E617,'Master Inventory'!$A$4:$J$69,10,FALSE),0))</f>
        <v/>
      </c>
      <c r="J617">
        <f>IF(A617="","",MAX(0,H617-I617))</f>
        <v/>
      </c>
      <c r="K617">
        <f>IF(A617="","",IF(J617&gt;0,"SHORTAGE","READY TO RESERVE"))</f>
        <v/>
      </c>
    </row>
    <row r="618">
      <c r="A618">
        <f>'Job Cards'!A47</f>
        <v/>
      </c>
      <c r="B618">
        <f>IF(A618="","",'Job Cards'!B47)</f>
        <v/>
      </c>
      <c r="C618">
        <f>IF(A618="","",'Job Cards'!D47)</f>
        <v/>
      </c>
      <c r="D618">
        <f>IF(A618="","",'BOM Mapping'!A16)</f>
        <v/>
      </c>
      <c r="E618">
        <f>IF(A618="","",IF(C618="Longitude",'BOM Mapping'!C16,IF(C618="Latitude",'BOM Mapping'!D16,IF(C618="Altitude",'BOM Mapping'!E16,""))))</f>
        <v/>
      </c>
      <c r="F618">
        <f>IF(A618="","",'BOM Mapping'!F16)</f>
        <v/>
      </c>
      <c r="G618">
        <f>IF(A618="","",'Job Cards'!E47)</f>
        <v/>
      </c>
      <c r="H618">
        <f>IF(A618="","",F618*G618)</f>
        <v/>
      </c>
      <c r="I618">
        <f>IF(E618="","",IFERROR(VLOOKUP(E618,'Master Inventory'!$A$4:$J$69,10,FALSE),0))</f>
        <v/>
      </c>
      <c r="J618">
        <f>IF(A618="","",MAX(0,H618-I618))</f>
        <v/>
      </c>
      <c r="K618">
        <f>IF(A618="","",IF(J618&gt;0,"SHORTAGE","READY TO RESERVE"))</f>
        <v/>
      </c>
    </row>
    <row r="619">
      <c r="A619">
        <f>'Job Cards'!A47</f>
        <v/>
      </c>
      <c r="B619">
        <f>IF(A619="","",'Job Cards'!B47)</f>
        <v/>
      </c>
      <c r="C619">
        <f>IF(A619="","",'Job Cards'!D47)</f>
        <v/>
      </c>
      <c r="D619">
        <f>IF(A619="","",'BOM Mapping'!A17)</f>
        <v/>
      </c>
      <c r="E619">
        <f>IF(A619="","",IF(C619="Longitude",'BOM Mapping'!C17,IF(C619="Latitude",'BOM Mapping'!D17,IF(C619="Altitude",'BOM Mapping'!E17,""))))</f>
        <v/>
      </c>
      <c r="F619">
        <f>IF(A619="","",'BOM Mapping'!F17)</f>
        <v/>
      </c>
      <c r="G619">
        <f>IF(A619="","",'Job Cards'!E47)</f>
        <v/>
      </c>
      <c r="H619">
        <f>IF(A619="","",F619*G619)</f>
        <v/>
      </c>
      <c r="I619">
        <f>IF(E619="","",IFERROR(VLOOKUP(E619,'Master Inventory'!$A$4:$J$69,10,FALSE),0))</f>
        <v/>
      </c>
      <c r="J619">
        <f>IF(A619="","",MAX(0,H619-I619))</f>
        <v/>
      </c>
      <c r="K619">
        <f>IF(A619="","",IF(J619&gt;0,"SHORTAGE","READY TO RESERVE"))</f>
        <v/>
      </c>
    </row>
    <row r="620">
      <c r="A620">
        <f>'Job Cards'!A48</f>
        <v/>
      </c>
      <c r="B620">
        <f>IF(A620="","",'Job Cards'!B48)</f>
        <v/>
      </c>
      <c r="C620">
        <f>IF(A620="","",'Job Cards'!D48)</f>
        <v/>
      </c>
      <c r="D620">
        <f>IF(A620="","",'BOM Mapping'!A4)</f>
        <v/>
      </c>
      <c r="E620">
        <f>IF(A620="","",IF(C620="Longitude",'BOM Mapping'!C4,IF(C620="Latitude",'BOM Mapping'!D4,IF(C620="Altitude",'BOM Mapping'!E4,""))))</f>
        <v/>
      </c>
      <c r="F620">
        <f>IF(A620="","",'BOM Mapping'!F4)</f>
        <v/>
      </c>
      <c r="G620">
        <f>IF(A620="","",'Job Cards'!E48)</f>
        <v/>
      </c>
      <c r="H620">
        <f>IF(A620="","",F620*G620)</f>
        <v/>
      </c>
      <c r="I620">
        <f>IF(E620="","",IFERROR(VLOOKUP(E620,'Master Inventory'!$A$4:$J$69,10,FALSE),0))</f>
        <v/>
      </c>
      <c r="J620">
        <f>IF(A620="","",MAX(0,H620-I620))</f>
        <v/>
      </c>
      <c r="K620">
        <f>IF(A620="","",IF(J620&gt;0,"SHORTAGE","READY TO RESERVE"))</f>
        <v/>
      </c>
    </row>
    <row r="621">
      <c r="A621">
        <f>'Job Cards'!A48</f>
        <v/>
      </c>
      <c r="B621">
        <f>IF(A621="","",'Job Cards'!B48)</f>
        <v/>
      </c>
      <c r="C621">
        <f>IF(A621="","",'Job Cards'!D48)</f>
        <v/>
      </c>
      <c r="D621">
        <f>IF(A621="","",'BOM Mapping'!A5)</f>
        <v/>
      </c>
      <c r="E621">
        <f>IF(A621="","",IF(C621="Longitude",'BOM Mapping'!C5,IF(C621="Latitude",'BOM Mapping'!D5,IF(C621="Altitude",'BOM Mapping'!E5,""))))</f>
        <v/>
      </c>
      <c r="F621">
        <f>IF(A621="","",'BOM Mapping'!F5)</f>
        <v/>
      </c>
      <c r="G621">
        <f>IF(A621="","",'Job Cards'!E48)</f>
        <v/>
      </c>
      <c r="H621">
        <f>IF(A621="","",F621*G621)</f>
        <v/>
      </c>
      <c r="I621">
        <f>IF(E621="","",IFERROR(VLOOKUP(E621,'Master Inventory'!$A$4:$J$69,10,FALSE),0))</f>
        <v/>
      </c>
      <c r="J621">
        <f>IF(A621="","",MAX(0,H621-I621))</f>
        <v/>
      </c>
      <c r="K621">
        <f>IF(A621="","",IF(J621&gt;0,"SHORTAGE","READY TO RESERVE"))</f>
        <v/>
      </c>
    </row>
    <row r="622">
      <c r="A622">
        <f>'Job Cards'!A48</f>
        <v/>
      </c>
      <c r="B622">
        <f>IF(A622="","",'Job Cards'!B48)</f>
        <v/>
      </c>
      <c r="C622">
        <f>IF(A622="","",'Job Cards'!D48)</f>
        <v/>
      </c>
      <c r="D622">
        <f>IF(A622="","",'BOM Mapping'!A6)</f>
        <v/>
      </c>
      <c r="E622">
        <f>IF(A622="","",IF(C622="Longitude",'BOM Mapping'!C6,IF(C622="Latitude",'BOM Mapping'!D6,IF(C622="Altitude",'BOM Mapping'!E6,""))))</f>
        <v/>
      </c>
      <c r="F622">
        <f>IF(A622="","",'BOM Mapping'!F6)</f>
        <v/>
      </c>
      <c r="G622">
        <f>IF(A622="","",'Job Cards'!E48)</f>
        <v/>
      </c>
      <c r="H622">
        <f>IF(A622="","",F622*G622)</f>
        <v/>
      </c>
      <c r="I622">
        <f>IF(E622="","",IFERROR(VLOOKUP(E622,'Master Inventory'!$A$4:$J$69,10,FALSE),0))</f>
        <v/>
      </c>
      <c r="J622">
        <f>IF(A622="","",MAX(0,H622-I622))</f>
        <v/>
      </c>
      <c r="K622">
        <f>IF(A622="","",IF(J622&gt;0,"SHORTAGE","READY TO RESERVE"))</f>
        <v/>
      </c>
    </row>
    <row r="623">
      <c r="A623">
        <f>'Job Cards'!A48</f>
        <v/>
      </c>
      <c r="B623">
        <f>IF(A623="","",'Job Cards'!B48)</f>
        <v/>
      </c>
      <c r="C623">
        <f>IF(A623="","",'Job Cards'!D48)</f>
        <v/>
      </c>
      <c r="D623">
        <f>IF(A623="","",'BOM Mapping'!A7)</f>
        <v/>
      </c>
      <c r="E623">
        <f>IF(A623="","",IF(C623="Longitude",'BOM Mapping'!C7,IF(C623="Latitude",'BOM Mapping'!D7,IF(C623="Altitude",'BOM Mapping'!E7,""))))</f>
        <v/>
      </c>
      <c r="F623">
        <f>IF(A623="","",'BOM Mapping'!F7)</f>
        <v/>
      </c>
      <c r="G623">
        <f>IF(A623="","",'Job Cards'!E48)</f>
        <v/>
      </c>
      <c r="H623">
        <f>IF(A623="","",F623*G623)</f>
        <v/>
      </c>
      <c r="I623">
        <f>IF(E623="","",IFERROR(VLOOKUP(E623,'Master Inventory'!$A$4:$J$69,10,FALSE),0))</f>
        <v/>
      </c>
      <c r="J623">
        <f>IF(A623="","",MAX(0,H623-I623))</f>
        <v/>
      </c>
      <c r="K623">
        <f>IF(A623="","",IF(J623&gt;0,"SHORTAGE","READY TO RESERVE"))</f>
        <v/>
      </c>
    </row>
    <row r="624">
      <c r="A624">
        <f>'Job Cards'!A48</f>
        <v/>
      </c>
      <c r="B624">
        <f>IF(A624="","",'Job Cards'!B48)</f>
        <v/>
      </c>
      <c r="C624">
        <f>IF(A624="","",'Job Cards'!D48)</f>
        <v/>
      </c>
      <c r="D624">
        <f>IF(A624="","",'BOM Mapping'!A8)</f>
        <v/>
      </c>
      <c r="E624">
        <f>IF(A624="","",IF(C624="Longitude",'BOM Mapping'!C8,IF(C624="Latitude",'BOM Mapping'!D8,IF(C624="Altitude",'BOM Mapping'!E8,""))))</f>
        <v/>
      </c>
      <c r="F624">
        <f>IF(A624="","",'BOM Mapping'!F8)</f>
        <v/>
      </c>
      <c r="G624">
        <f>IF(A624="","",'Job Cards'!E48)</f>
        <v/>
      </c>
      <c r="H624">
        <f>IF(A624="","",F624*G624)</f>
        <v/>
      </c>
      <c r="I624">
        <f>IF(E624="","",IFERROR(VLOOKUP(E624,'Master Inventory'!$A$4:$J$69,10,FALSE),0))</f>
        <v/>
      </c>
      <c r="J624">
        <f>IF(A624="","",MAX(0,H624-I624))</f>
        <v/>
      </c>
      <c r="K624">
        <f>IF(A624="","",IF(J624&gt;0,"SHORTAGE","READY TO RESERVE"))</f>
        <v/>
      </c>
    </row>
    <row r="625">
      <c r="A625">
        <f>'Job Cards'!A48</f>
        <v/>
      </c>
      <c r="B625">
        <f>IF(A625="","",'Job Cards'!B48)</f>
        <v/>
      </c>
      <c r="C625">
        <f>IF(A625="","",'Job Cards'!D48)</f>
        <v/>
      </c>
      <c r="D625">
        <f>IF(A625="","",'BOM Mapping'!A9)</f>
        <v/>
      </c>
      <c r="E625">
        <f>IF(A625="","",IF(C625="Longitude",'BOM Mapping'!C9,IF(C625="Latitude",'BOM Mapping'!D9,IF(C625="Altitude",'BOM Mapping'!E9,""))))</f>
        <v/>
      </c>
      <c r="F625">
        <f>IF(A625="","",'BOM Mapping'!F9)</f>
        <v/>
      </c>
      <c r="G625">
        <f>IF(A625="","",'Job Cards'!E48)</f>
        <v/>
      </c>
      <c r="H625">
        <f>IF(A625="","",F625*G625)</f>
        <v/>
      </c>
      <c r="I625">
        <f>IF(E625="","",IFERROR(VLOOKUP(E625,'Master Inventory'!$A$4:$J$69,10,FALSE),0))</f>
        <v/>
      </c>
      <c r="J625">
        <f>IF(A625="","",MAX(0,H625-I625))</f>
        <v/>
      </c>
      <c r="K625">
        <f>IF(A625="","",IF(J625&gt;0,"SHORTAGE","READY TO RESERVE"))</f>
        <v/>
      </c>
    </row>
    <row r="626">
      <c r="A626">
        <f>'Job Cards'!A48</f>
        <v/>
      </c>
      <c r="B626">
        <f>IF(A626="","",'Job Cards'!B48)</f>
        <v/>
      </c>
      <c r="C626">
        <f>IF(A626="","",'Job Cards'!D48)</f>
        <v/>
      </c>
      <c r="D626">
        <f>IF(A626="","",'BOM Mapping'!A10)</f>
        <v/>
      </c>
      <c r="E626">
        <f>IF(A626="","",IF(C626="Longitude",'BOM Mapping'!C10,IF(C626="Latitude",'BOM Mapping'!D10,IF(C626="Altitude",'BOM Mapping'!E10,""))))</f>
        <v/>
      </c>
      <c r="F626">
        <f>IF(A626="","",'BOM Mapping'!F10)</f>
        <v/>
      </c>
      <c r="G626">
        <f>IF(A626="","",'Job Cards'!E48)</f>
        <v/>
      </c>
      <c r="H626">
        <f>IF(A626="","",F626*G626)</f>
        <v/>
      </c>
      <c r="I626">
        <f>IF(E626="","",IFERROR(VLOOKUP(E626,'Master Inventory'!$A$4:$J$69,10,FALSE),0))</f>
        <v/>
      </c>
      <c r="J626">
        <f>IF(A626="","",MAX(0,H626-I626))</f>
        <v/>
      </c>
      <c r="K626">
        <f>IF(A626="","",IF(J626&gt;0,"SHORTAGE","READY TO RESERVE"))</f>
        <v/>
      </c>
    </row>
    <row r="627">
      <c r="A627">
        <f>'Job Cards'!A48</f>
        <v/>
      </c>
      <c r="B627">
        <f>IF(A627="","",'Job Cards'!B48)</f>
        <v/>
      </c>
      <c r="C627">
        <f>IF(A627="","",'Job Cards'!D48)</f>
        <v/>
      </c>
      <c r="D627">
        <f>IF(A627="","",'BOM Mapping'!A11)</f>
        <v/>
      </c>
      <c r="E627">
        <f>IF(A627="","",IF(C627="Longitude",'BOM Mapping'!C11,IF(C627="Latitude",'BOM Mapping'!D11,IF(C627="Altitude",'BOM Mapping'!E11,""))))</f>
        <v/>
      </c>
      <c r="F627">
        <f>IF(A627="","",'BOM Mapping'!F11)</f>
        <v/>
      </c>
      <c r="G627">
        <f>IF(A627="","",'Job Cards'!E48)</f>
        <v/>
      </c>
      <c r="H627">
        <f>IF(A627="","",F627*G627)</f>
        <v/>
      </c>
      <c r="I627">
        <f>IF(E627="","",IFERROR(VLOOKUP(E627,'Master Inventory'!$A$4:$J$69,10,FALSE),0))</f>
        <v/>
      </c>
      <c r="J627">
        <f>IF(A627="","",MAX(0,H627-I627))</f>
        <v/>
      </c>
      <c r="K627">
        <f>IF(A627="","",IF(J627&gt;0,"SHORTAGE","READY TO RESERVE"))</f>
        <v/>
      </c>
    </row>
    <row r="628">
      <c r="A628">
        <f>'Job Cards'!A48</f>
        <v/>
      </c>
      <c r="B628">
        <f>IF(A628="","",'Job Cards'!B48)</f>
        <v/>
      </c>
      <c r="C628">
        <f>IF(A628="","",'Job Cards'!D48)</f>
        <v/>
      </c>
      <c r="D628">
        <f>IF(A628="","",'BOM Mapping'!A12)</f>
        <v/>
      </c>
      <c r="E628">
        <f>IF(A628="","",IF(C628="Longitude",'BOM Mapping'!C12,IF(C628="Latitude",'BOM Mapping'!D12,IF(C628="Altitude",'BOM Mapping'!E12,""))))</f>
        <v/>
      </c>
      <c r="F628">
        <f>IF(A628="","",'BOM Mapping'!F12)</f>
        <v/>
      </c>
      <c r="G628">
        <f>IF(A628="","",'Job Cards'!E48)</f>
        <v/>
      </c>
      <c r="H628">
        <f>IF(A628="","",F628*G628)</f>
        <v/>
      </c>
      <c r="I628">
        <f>IF(E628="","",IFERROR(VLOOKUP(E628,'Master Inventory'!$A$4:$J$69,10,FALSE),0))</f>
        <v/>
      </c>
      <c r="J628">
        <f>IF(A628="","",MAX(0,H628-I628))</f>
        <v/>
      </c>
      <c r="K628">
        <f>IF(A628="","",IF(J628&gt;0,"SHORTAGE","READY TO RESERVE"))</f>
        <v/>
      </c>
    </row>
    <row r="629">
      <c r="A629">
        <f>'Job Cards'!A48</f>
        <v/>
      </c>
      <c r="B629">
        <f>IF(A629="","",'Job Cards'!B48)</f>
        <v/>
      </c>
      <c r="C629">
        <f>IF(A629="","",'Job Cards'!D48)</f>
        <v/>
      </c>
      <c r="D629">
        <f>IF(A629="","",'BOM Mapping'!A13)</f>
        <v/>
      </c>
      <c r="E629">
        <f>IF(A629="","",IF(C629="Longitude",'BOM Mapping'!C13,IF(C629="Latitude",'BOM Mapping'!D13,IF(C629="Altitude",'BOM Mapping'!E13,""))))</f>
        <v/>
      </c>
      <c r="F629">
        <f>IF(A629="","",'BOM Mapping'!F13)</f>
        <v/>
      </c>
      <c r="G629">
        <f>IF(A629="","",'Job Cards'!E48)</f>
        <v/>
      </c>
      <c r="H629">
        <f>IF(A629="","",F629*G629)</f>
        <v/>
      </c>
      <c r="I629">
        <f>IF(E629="","",IFERROR(VLOOKUP(E629,'Master Inventory'!$A$4:$J$69,10,FALSE),0))</f>
        <v/>
      </c>
      <c r="J629">
        <f>IF(A629="","",MAX(0,H629-I629))</f>
        <v/>
      </c>
      <c r="K629">
        <f>IF(A629="","",IF(J629&gt;0,"SHORTAGE","READY TO RESERVE"))</f>
        <v/>
      </c>
    </row>
    <row r="630">
      <c r="A630">
        <f>'Job Cards'!A48</f>
        <v/>
      </c>
      <c r="B630">
        <f>IF(A630="","",'Job Cards'!B48)</f>
        <v/>
      </c>
      <c r="C630">
        <f>IF(A630="","",'Job Cards'!D48)</f>
        <v/>
      </c>
      <c r="D630">
        <f>IF(A630="","",'BOM Mapping'!A14)</f>
        <v/>
      </c>
      <c r="E630">
        <f>IF(A630="","",IF(C630="Longitude",'BOM Mapping'!C14,IF(C630="Latitude",'BOM Mapping'!D14,IF(C630="Altitude",'BOM Mapping'!E14,""))))</f>
        <v/>
      </c>
      <c r="F630">
        <f>IF(A630="","",'BOM Mapping'!F14)</f>
        <v/>
      </c>
      <c r="G630">
        <f>IF(A630="","",'Job Cards'!E48)</f>
        <v/>
      </c>
      <c r="H630">
        <f>IF(A630="","",F630*G630)</f>
        <v/>
      </c>
      <c r="I630">
        <f>IF(E630="","",IFERROR(VLOOKUP(E630,'Master Inventory'!$A$4:$J$69,10,FALSE),0))</f>
        <v/>
      </c>
      <c r="J630">
        <f>IF(A630="","",MAX(0,H630-I630))</f>
        <v/>
      </c>
      <c r="K630">
        <f>IF(A630="","",IF(J630&gt;0,"SHORTAGE","READY TO RESERVE"))</f>
        <v/>
      </c>
    </row>
    <row r="631">
      <c r="A631">
        <f>'Job Cards'!A48</f>
        <v/>
      </c>
      <c r="B631">
        <f>IF(A631="","",'Job Cards'!B48)</f>
        <v/>
      </c>
      <c r="C631">
        <f>IF(A631="","",'Job Cards'!D48)</f>
        <v/>
      </c>
      <c r="D631">
        <f>IF(A631="","",'BOM Mapping'!A15)</f>
        <v/>
      </c>
      <c r="E631">
        <f>IF(A631="","",IF(C631="Longitude",'BOM Mapping'!C15,IF(C631="Latitude",'BOM Mapping'!D15,IF(C631="Altitude",'BOM Mapping'!E15,""))))</f>
        <v/>
      </c>
      <c r="F631">
        <f>IF(A631="","",'BOM Mapping'!F15)</f>
        <v/>
      </c>
      <c r="G631">
        <f>IF(A631="","",'Job Cards'!E48)</f>
        <v/>
      </c>
      <c r="H631">
        <f>IF(A631="","",F631*G631)</f>
        <v/>
      </c>
      <c r="I631">
        <f>IF(E631="","",IFERROR(VLOOKUP(E631,'Master Inventory'!$A$4:$J$69,10,FALSE),0))</f>
        <v/>
      </c>
      <c r="J631">
        <f>IF(A631="","",MAX(0,H631-I631))</f>
        <v/>
      </c>
      <c r="K631">
        <f>IF(A631="","",IF(J631&gt;0,"SHORTAGE","READY TO RESERVE"))</f>
        <v/>
      </c>
    </row>
    <row r="632">
      <c r="A632">
        <f>'Job Cards'!A48</f>
        <v/>
      </c>
      <c r="B632">
        <f>IF(A632="","",'Job Cards'!B48)</f>
        <v/>
      </c>
      <c r="C632">
        <f>IF(A632="","",'Job Cards'!D48)</f>
        <v/>
      </c>
      <c r="D632">
        <f>IF(A632="","",'BOM Mapping'!A16)</f>
        <v/>
      </c>
      <c r="E632">
        <f>IF(A632="","",IF(C632="Longitude",'BOM Mapping'!C16,IF(C632="Latitude",'BOM Mapping'!D16,IF(C632="Altitude",'BOM Mapping'!E16,""))))</f>
        <v/>
      </c>
      <c r="F632">
        <f>IF(A632="","",'BOM Mapping'!F16)</f>
        <v/>
      </c>
      <c r="G632">
        <f>IF(A632="","",'Job Cards'!E48)</f>
        <v/>
      </c>
      <c r="H632">
        <f>IF(A632="","",F632*G632)</f>
        <v/>
      </c>
      <c r="I632">
        <f>IF(E632="","",IFERROR(VLOOKUP(E632,'Master Inventory'!$A$4:$J$69,10,FALSE),0))</f>
        <v/>
      </c>
      <c r="J632">
        <f>IF(A632="","",MAX(0,H632-I632))</f>
        <v/>
      </c>
      <c r="K632">
        <f>IF(A632="","",IF(J632&gt;0,"SHORTAGE","READY TO RESERVE"))</f>
        <v/>
      </c>
    </row>
    <row r="633">
      <c r="A633">
        <f>'Job Cards'!A48</f>
        <v/>
      </c>
      <c r="B633">
        <f>IF(A633="","",'Job Cards'!B48)</f>
        <v/>
      </c>
      <c r="C633">
        <f>IF(A633="","",'Job Cards'!D48)</f>
        <v/>
      </c>
      <c r="D633">
        <f>IF(A633="","",'BOM Mapping'!A17)</f>
        <v/>
      </c>
      <c r="E633">
        <f>IF(A633="","",IF(C633="Longitude",'BOM Mapping'!C17,IF(C633="Latitude",'BOM Mapping'!D17,IF(C633="Altitude",'BOM Mapping'!E17,""))))</f>
        <v/>
      </c>
      <c r="F633">
        <f>IF(A633="","",'BOM Mapping'!F17)</f>
        <v/>
      </c>
      <c r="G633">
        <f>IF(A633="","",'Job Cards'!E48)</f>
        <v/>
      </c>
      <c r="H633">
        <f>IF(A633="","",F633*G633)</f>
        <v/>
      </c>
      <c r="I633">
        <f>IF(E633="","",IFERROR(VLOOKUP(E633,'Master Inventory'!$A$4:$J$69,10,FALSE),0))</f>
        <v/>
      </c>
      <c r="J633">
        <f>IF(A633="","",MAX(0,H633-I633))</f>
        <v/>
      </c>
      <c r="K633">
        <f>IF(A633="","",IF(J633&gt;0,"SHORTAGE","READY TO RESERVE"))</f>
        <v/>
      </c>
    </row>
    <row r="634">
      <c r="A634">
        <f>'Job Cards'!A49</f>
        <v/>
      </c>
      <c r="B634">
        <f>IF(A634="","",'Job Cards'!B49)</f>
        <v/>
      </c>
      <c r="C634">
        <f>IF(A634="","",'Job Cards'!D49)</f>
        <v/>
      </c>
      <c r="D634">
        <f>IF(A634="","",'BOM Mapping'!A4)</f>
        <v/>
      </c>
      <c r="E634">
        <f>IF(A634="","",IF(C634="Longitude",'BOM Mapping'!C4,IF(C634="Latitude",'BOM Mapping'!D4,IF(C634="Altitude",'BOM Mapping'!E4,""))))</f>
        <v/>
      </c>
      <c r="F634">
        <f>IF(A634="","",'BOM Mapping'!F4)</f>
        <v/>
      </c>
      <c r="G634">
        <f>IF(A634="","",'Job Cards'!E49)</f>
        <v/>
      </c>
      <c r="H634">
        <f>IF(A634="","",F634*G634)</f>
        <v/>
      </c>
      <c r="I634">
        <f>IF(E634="","",IFERROR(VLOOKUP(E634,'Master Inventory'!$A$4:$J$69,10,FALSE),0))</f>
        <v/>
      </c>
      <c r="J634">
        <f>IF(A634="","",MAX(0,H634-I634))</f>
        <v/>
      </c>
      <c r="K634">
        <f>IF(A634="","",IF(J634&gt;0,"SHORTAGE","READY TO RESERVE"))</f>
        <v/>
      </c>
    </row>
    <row r="635">
      <c r="A635">
        <f>'Job Cards'!A49</f>
        <v/>
      </c>
      <c r="B635">
        <f>IF(A635="","",'Job Cards'!B49)</f>
        <v/>
      </c>
      <c r="C635">
        <f>IF(A635="","",'Job Cards'!D49)</f>
        <v/>
      </c>
      <c r="D635">
        <f>IF(A635="","",'BOM Mapping'!A5)</f>
        <v/>
      </c>
      <c r="E635">
        <f>IF(A635="","",IF(C635="Longitude",'BOM Mapping'!C5,IF(C635="Latitude",'BOM Mapping'!D5,IF(C635="Altitude",'BOM Mapping'!E5,""))))</f>
        <v/>
      </c>
      <c r="F635">
        <f>IF(A635="","",'BOM Mapping'!F5)</f>
        <v/>
      </c>
      <c r="G635">
        <f>IF(A635="","",'Job Cards'!E49)</f>
        <v/>
      </c>
      <c r="H635">
        <f>IF(A635="","",F635*G635)</f>
        <v/>
      </c>
      <c r="I635">
        <f>IF(E635="","",IFERROR(VLOOKUP(E635,'Master Inventory'!$A$4:$J$69,10,FALSE),0))</f>
        <v/>
      </c>
      <c r="J635">
        <f>IF(A635="","",MAX(0,H635-I635))</f>
        <v/>
      </c>
      <c r="K635">
        <f>IF(A635="","",IF(J635&gt;0,"SHORTAGE","READY TO RESERVE"))</f>
        <v/>
      </c>
    </row>
    <row r="636">
      <c r="A636">
        <f>'Job Cards'!A49</f>
        <v/>
      </c>
      <c r="B636">
        <f>IF(A636="","",'Job Cards'!B49)</f>
        <v/>
      </c>
      <c r="C636">
        <f>IF(A636="","",'Job Cards'!D49)</f>
        <v/>
      </c>
      <c r="D636">
        <f>IF(A636="","",'BOM Mapping'!A6)</f>
        <v/>
      </c>
      <c r="E636">
        <f>IF(A636="","",IF(C636="Longitude",'BOM Mapping'!C6,IF(C636="Latitude",'BOM Mapping'!D6,IF(C636="Altitude",'BOM Mapping'!E6,""))))</f>
        <v/>
      </c>
      <c r="F636">
        <f>IF(A636="","",'BOM Mapping'!F6)</f>
        <v/>
      </c>
      <c r="G636">
        <f>IF(A636="","",'Job Cards'!E49)</f>
        <v/>
      </c>
      <c r="H636">
        <f>IF(A636="","",F636*G636)</f>
        <v/>
      </c>
      <c r="I636">
        <f>IF(E636="","",IFERROR(VLOOKUP(E636,'Master Inventory'!$A$4:$J$69,10,FALSE),0))</f>
        <v/>
      </c>
      <c r="J636">
        <f>IF(A636="","",MAX(0,H636-I636))</f>
        <v/>
      </c>
      <c r="K636">
        <f>IF(A636="","",IF(J636&gt;0,"SHORTAGE","READY TO RESERVE"))</f>
        <v/>
      </c>
    </row>
    <row r="637">
      <c r="A637">
        <f>'Job Cards'!A49</f>
        <v/>
      </c>
      <c r="B637">
        <f>IF(A637="","",'Job Cards'!B49)</f>
        <v/>
      </c>
      <c r="C637">
        <f>IF(A637="","",'Job Cards'!D49)</f>
        <v/>
      </c>
      <c r="D637">
        <f>IF(A637="","",'BOM Mapping'!A7)</f>
        <v/>
      </c>
      <c r="E637">
        <f>IF(A637="","",IF(C637="Longitude",'BOM Mapping'!C7,IF(C637="Latitude",'BOM Mapping'!D7,IF(C637="Altitude",'BOM Mapping'!E7,""))))</f>
        <v/>
      </c>
      <c r="F637">
        <f>IF(A637="","",'BOM Mapping'!F7)</f>
        <v/>
      </c>
      <c r="G637">
        <f>IF(A637="","",'Job Cards'!E49)</f>
        <v/>
      </c>
      <c r="H637">
        <f>IF(A637="","",F637*G637)</f>
        <v/>
      </c>
      <c r="I637">
        <f>IF(E637="","",IFERROR(VLOOKUP(E637,'Master Inventory'!$A$4:$J$69,10,FALSE),0))</f>
        <v/>
      </c>
      <c r="J637">
        <f>IF(A637="","",MAX(0,H637-I637))</f>
        <v/>
      </c>
      <c r="K637">
        <f>IF(A637="","",IF(J637&gt;0,"SHORTAGE","READY TO RESERVE"))</f>
        <v/>
      </c>
    </row>
    <row r="638">
      <c r="A638">
        <f>'Job Cards'!A49</f>
        <v/>
      </c>
      <c r="B638">
        <f>IF(A638="","",'Job Cards'!B49)</f>
        <v/>
      </c>
      <c r="C638">
        <f>IF(A638="","",'Job Cards'!D49)</f>
        <v/>
      </c>
      <c r="D638">
        <f>IF(A638="","",'BOM Mapping'!A8)</f>
        <v/>
      </c>
      <c r="E638">
        <f>IF(A638="","",IF(C638="Longitude",'BOM Mapping'!C8,IF(C638="Latitude",'BOM Mapping'!D8,IF(C638="Altitude",'BOM Mapping'!E8,""))))</f>
        <v/>
      </c>
      <c r="F638">
        <f>IF(A638="","",'BOM Mapping'!F8)</f>
        <v/>
      </c>
      <c r="G638">
        <f>IF(A638="","",'Job Cards'!E49)</f>
        <v/>
      </c>
      <c r="H638">
        <f>IF(A638="","",F638*G638)</f>
        <v/>
      </c>
      <c r="I638">
        <f>IF(E638="","",IFERROR(VLOOKUP(E638,'Master Inventory'!$A$4:$J$69,10,FALSE),0))</f>
        <v/>
      </c>
      <c r="J638">
        <f>IF(A638="","",MAX(0,H638-I638))</f>
        <v/>
      </c>
      <c r="K638">
        <f>IF(A638="","",IF(J638&gt;0,"SHORTAGE","READY TO RESERVE"))</f>
        <v/>
      </c>
    </row>
    <row r="639">
      <c r="A639">
        <f>'Job Cards'!A49</f>
        <v/>
      </c>
      <c r="B639">
        <f>IF(A639="","",'Job Cards'!B49)</f>
        <v/>
      </c>
      <c r="C639">
        <f>IF(A639="","",'Job Cards'!D49)</f>
        <v/>
      </c>
      <c r="D639">
        <f>IF(A639="","",'BOM Mapping'!A9)</f>
        <v/>
      </c>
      <c r="E639">
        <f>IF(A639="","",IF(C639="Longitude",'BOM Mapping'!C9,IF(C639="Latitude",'BOM Mapping'!D9,IF(C639="Altitude",'BOM Mapping'!E9,""))))</f>
        <v/>
      </c>
      <c r="F639">
        <f>IF(A639="","",'BOM Mapping'!F9)</f>
        <v/>
      </c>
      <c r="G639">
        <f>IF(A639="","",'Job Cards'!E49)</f>
        <v/>
      </c>
      <c r="H639">
        <f>IF(A639="","",F639*G639)</f>
        <v/>
      </c>
      <c r="I639">
        <f>IF(E639="","",IFERROR(VLOOKUP(E639,'Master Inventory'!$A$4:$J$69,10,FALSE),0))</f>
        <v/>
      </c>
      <c r="J639">
        <f>IF(A639="","",MAX(0,H639-I639))</f>
        <v/>
      </c>
      <c r="K639">
        <f>IF(A639="","",IF(J639&gt;0,"SHORTAGE","READY TO RESERVE"))</f>
        <v/>
      </c>
    </row>
    <row r="640">
      <c r="A640">
        <f>'Job Cards'!A49</f>
        <v/>
      </c>
      <c r="B640">
        <f>IF(A640="","",'Job Cards'!B49)</f>
        <v/>
      </c>
      <c r="C640">
        <f>IF(A640="","",'Job Cards'!D49)</f>
        <v/>
      </c>
      <c r="D640">
        <f>IF(A640="","",'BOM Mapping'!A10)</f>
        <v/>
      </c>
      <c r="E640">
        <f>IF(A640="","",IF(C640="Longitude",'BOM Mapping'!C10,IF(C640="Latitude",'BOM Mapping'!D10,IF(C640="Altitude",'BOM Mapping'!E10,""))))</f>
        <v/>
      </c>
      <c r="F640">
        <f>IF(A640="","",'BOM Mapping'!F10)</f>
        <v/>
      </c>
      <c r="G640">
        <f>IF(A640="","",'Job Cards'!E49)</f>
        <v/>
      </c>
      <c r="H640">
        <f>IF(A640="","",F640*G640)</f>
        <v/>
      </c>
      <c r="I640">
        <f>IF(E640="","",IFERROR(VLOOKUP(E640,'Master Inventory'!$A$4:$J$69,10,FALSE),0))</f>
        <v/>
      </c>
      <c r="J640">
        <f>IF(A640="","",MAX(0,H640-I640))</f>
        <v/>
      </c>
      <c r="K640">
        <f>IF(A640="","",IF(J640&gt;0,"SHORTAGE","READY TO RESERVE"))</f>
        <v/>
      </c>
    </row>
    <row r="641">
      <c r="A641">
        <f>'Job Cards'!A49</f>
        <v/>
      </c>
      <c r="B641">
        <f>IF(A641="","",'Job Cards'!B49)</f>
        <v/>
      </c>
      <c r="C641">
        <f>IF(A641="","",'Job Cards'!D49)</f>
        <v/>
      </c>
      <c r="D641">
        <f>IF(A641="","",'BOM Mapping'!A11)</f>
        <v/>
      </c>
      <c r="E641">
        <f>IF(A641="","",IF(C641="Longitude",'BOM Mapping'!C11,IF(C641="Latitude",'BOM Mapping'!D11,IF(C641="Altitude",'BOM Mapping'!E11,""))))</f>
        <v/>
      </c>
      <c r="F641">
        <f>IF(A641="","",'BOM Mapping'!F11)</f>
        <v/>
      </c>
      <c r="G641">
        <f>IF(A641="","",'Job Cards'!E49)</f>
        <v/>
      </c>
      <c r="H641">
        <f>IF(A641="","",F641*G641)</f>
        <v/>
      </c>
      <c r="I641">
        <f>IF(E641="","",IFERROR(VLOOKUP(E641,'Master Inventory'!$A$4:$J$69,10,FALSE),0))</f>
        <v/>
      </c>
      <c r="J641">
        <f>IF(A641="","",MAX(0,H641-I641))</f>
        <v/>
      </c>
      <c r="K641">
        <f>IF(A641="","",IF(J641&gt;0,"SHORTAGE","READY TO RESERVE"))</f>
        <v/>
      </c>
    </row>
    <row r="642">
      <c r="A642">
        <f>'Job Cards'!A49</f>
        <v/>
      </c>
      <c r="B642">
        <f>IF(A642="","",'Job Cards'!B49)</f>
        <v/>
      </c>
      <c r="C642">
        <f>IF(A642="","",'Job Cards'!D49)</f>
        <v/>
      </c>
      <c r="D642">
        <f>IF(A642="","",'BOM Mapping'!A12)</f>
        <v/>
      </c>
      <c r="E642">
        <f>IF(A642="","",IF(C642="Longitude",'BOM Mapping'!C12,IF(C642="Latitude",'BOM Mapping'!D12,IF(C642="Altitude",'BOM Mapping'!E12,""))))</f>
        <v/>
      </c>
      <c r="F642">
        <f>IF(A642="","",'BOM Mapping'!F12)</f>
        <v/>
      </c>
      <c r="G642">
        <f>IF(A642="","",'Job Cards'!E49)</f>
        <v/>
      </c>
      <c r="H642">
        <f>IF(A642="","",F642*G642)</f>
        <v/>
      </c>
      <c r="I642">
        <f>IF(E642="","",IFERROR(VLOOKUP(E642,'Master Inventory'!$A$4:$J$69,10,FALSE),0))</f>
        <v/>
      </c>
      <c r="J642">
        <f>IF(A642="","",MAX(0,H642-I642))</f>
        <v/>
      </c>
      <c r="K642">
        <f>IF(A642="","",IF(J642&gt;0,"SHORTAGE","READY TO RESERVE"))</f>
        <v/>
      </c>
    </row>
    <row r="643">
      <c r="A643">
        <f>'Job Cards'!A49</f>
        <v/>
      </c>
      <c r="B643">
        <f>IF(A643="","",'Job Cards'!B49)</f>
        <v/>
      </c>
      <c r="C643">
        <f>IF(A643="","",'Job Cards'!D49)</f>
        <v/>
      </c>
      <c r="D643">
        <f>IF(A643="","",'BOM Mapping'!A13)</f>
        <v/>
      </c>
      <c r="E643">
        <f>IF(A643="","",IF(C643="Longitude",'BOM Mapping'!C13,IF(C643="Latitude",'BOM Mapping'!D13,IF(C643="Altitude",'BOM Mapping'!E13,""))))</f>
        <v/>
      </c>
      <c r="F643">
        <f>IF(A643="","",'BOM Mapping'!F13)</f>
        <v/>
      </c>
      <c r="G643">
        <f>IF(A643="","",'Job Cards'!E49)</f>
        <v/>
      </c>
      <c r="H643">
        <f>IF(A643="","",F643*G643)</f>
        <v/>
      </c>
      <c r="I643">
        <f>IF(E643="","",IFERROR(VLOOKUP(E643,'Master Inventory'!$A$4:$J$69,10,FALSE),0))</f>
        <v/>
      </c>
      <c r="J643">
        <f>IF(A643="","",MAX(0,H643-I643))</f>
        <v/>
      </c>
      <c r="K643">
        <f>IF(A643="","",IF(J643&gt;0,"SHORTAGE","READY TO RESERVE"))</f>
        <v/>
      </c>
    </row>
    <row r="644">
      <c r="A644">
        <f>'Job Cards'!A49</f>
        <v/>
      </c>
      <c r="B644">
        <f>IF(A644="","",'Job Cards'!B49)</f>
        <v/>
      </c>
      <c r="C644">
        <f>IF(A644="","",'Job Cards'!D49)</f>
        <v/>
      </c>
      <c r="D644">
        <f>IF(A644="","",'BOM Mapping'!A14)</f>
        <v/>
      </c>
      <c r="E644">
        <f>IF(A644="","",IF(C644="Longitude",'BOM Mapping'!C14,IF(C644="Latitude",'BOM Mapping'!D14,IF(C644="Altitude",'BOM Mapping'!E14,""))))</f>
        <v/>
      </c>
      <c r="F644">
        <f>IF(A644="","",'BOM Mapping'!F14)</f>
        <v/>
      </c>
      <c r="G644">
        <f>IF(A644="","",'Job Cards'!E49)</f>
        <v/>
      </c>
      <c r="H644">
        <f>IF(A644="","",F644*G644)</f>
        <v/>
      </c>
      <c r="I644">
        <f>IF(E644="","",IFERROR(VLOOKUP(E644,'Master Inventory'!$A$4:$J$69,10,FALSE),0))</f>
        <v/>
      </c>
      <c r="J644">
        <f>IF(A644="","",MAX(0,H644-I644))</f>
        <v/>
      </c>
      <c r="K644">
        <f>IF(A644="","",IF(J644&gt;0,"SHORTAGE","READY TO RESERVE"))</f>
        <v/>
      </c>
    </row>
    <row r="645">
      <c r="A645">
        <f>'Job Cards'!A49</f>
        <v/>
      </c>
      <c r="B645">
        <f>IF(A645="","",'Job Cards'!B49)</f>
        <v/>
      </c>
      <c r="C645">
        <f>IF(A645="","",'Job Cards'!D49)</f>
        <v/>
      </c>
      <c r="D645">
        <f>IF(A645="","",'BOM Mapping'!A15)</f>
        <v/>
      </c>
      <c r="E645">
        <f>IF(A645="","",IF(C645="Longitude",'BOM Mapping'!C15,IF(C645="Latitude",'BOM Mapping'!D15,IF(C645="Altitude",'BOM Mapping'!E15,""))))</f>
        <v/>
      </c>
      <c r="F645">
        <f>IF(A645="","",'BOM Mapping'!F15)</f>
        <v/>
      </c>
      <c r="G645">
        <f>IF(A645="","",'Job Cards'!E49)</f>
        <v/>
      </c>
      <c r="H645">
        <f>IF(A645="","",F645*G645)</f>
        <v/>
      </c>
      <c r="I645">
        <f>IF(E645="","",IFERROR(VLOOKUP(E645,'Master Inventory'!$A$4:$J$69,10,FALSE),0))</f>
        <v/>
      </c>
      <c r="J645">
        <f>IF(A645="","",MAX(0,H645-I645))</f>
        <v/>
      </c>
      <c r="K645">
        <f>IF(A645="","",IF(J645&gt;0,"SHORTAGE","READY TO RESERVE"))</f>
        <v/>
      </c>
    </row>
    <row r="646">
      <c r="A646">
        <f>'Job Cards'!A49</f>
        <v/>
      </c>
      <c r="B646">
        <f>IF(A646="","",'Job Cards'!B49)</f>
        <v/>
      </c>
      <c r="C646">
        <f>IF(A646="","",'Job Cards'!D49)</f>
        <v/>
      </c>
      <c r="D646">
        <f>IF(A646="","",'BOM Mapping'!A16)</f>
        <v/>
      </c>
      <c r="E646">
        <f>IF(A646="","",IF(C646="Longitude",'BOM Mapping'!C16,IF(C646="Latitude",'BOM Mapping'!D16,IF(C646="Altitude",'BOM Mapping'!E16,""))))</f>
        <v/>
      </c>
      <c r="F646">
        <f>IF(A646="","",'BOM Mapping'!F16)</f>
        <v/>
      </c>
      <c r="G646">
        <f>IF(A646="","",'Job Cards'!E49)</f>
        <v/>
      </c>
      <c r="H646">
        <f>IF(A646="","",F646*G646)</f>
        <v/>
      </c>
      <c r="I646">
        <f>IF(E646="","",IFERROR(VLOOKUP(E646,'Master Inventory'!$A$4:$J$69,10,FALSE),0))</f>
        <v/>
      </c>
      <c r="J646">
        <f>IF(A646="","",MAX(0,H646-I646))</f>
        <v/>
      </c>
      <c r="K646">
        <f>IF(A646="","",IF(J646&gt;0,"SHORTAGE","READY TO RESERVE"))</f>
        <v/>
      </c>
    </row>
    <row r="647">
      <c r="A647">
        <f>'Job Cards'!A49</f>
        <v/>
      </c>
      <c r="B647">
        <f>IF(A647="","",'Job Cards'!B49)</f>
        <v/>
      </c>
      <c r="C647">
        <f>IF(A647="","",'Job Cards'!D49)</f>
        <v/>
      </c>
      <c r="D647">
        <f>IF(A647="","",'BOM Mapping'!A17)</f>
        <v/>
      </c>
      <c r="E647">
        <f>IF(A647="","",IF(C647="Longitude",'BOM Mapping'!C17,IF(C647="Latitude",'BOM Mapping'!D17,IF(C647="Altitude",'BOM Mapping'!E17,""))))</f>
        <v/>
      </c>
      <c r="F647">
        <f>IF(A647="","",'BOM Mapping'!F17)</f>
        <v/>
      </c>
      <c r="G647">
        <f>IF(A647="","",'Job Cards'!E49)</f>
        <v/>
      </c>
      <c r="H647">
        <f>IF(A647="","",F647*G647)</f>
        <v/>
      </c>
      <c r="I647">
        <f>IF(E647="","",IFERROR(VLOOKUP(E647,'Master Inventory'!$A$4:$J$69,10,FALSE),0))</f>
        <v/>
      </c>
      <c r="J647">
        <f>IF(A647="","",MAX(0,H647-I647))</f>
        <v/>
      </c>
      <c r="K647">
        <f>IF(A647="","",IF(J647&gt;0,"SHORTAGE","READY TO RESERVE"))</f>
        <v/>
      </c>
    </row>
    <row r="648">
      <c r="A648">
        <f>'Job Cards'!A50</f>
        <v/>
      </c>
      <c r="B648">
        <f>IF(A648="","",'Job Cards'!B50)</f>
        <v/>
      </c>
      <c r="C648">
        <f>IF(A648="","",'Job Cards'!D50)</f>
        <v/>
      </c>
      <c r="D648">
        <f>IF(A648="","",'BOM Mapping'!A4)</f>
        <v/>
      </c>
      <c r="E648">
        <f>IF(A648="","",IF(C648="Longitude",'BOM Mapping'!C4,IF(C648="Latitude",'BOM Mapping'!D4,IF(C648="Altitude",'BOM Mapping'!E4,""))))</f>
        <v/>
      </c>
      <c r="F648">
        <f>IF(A648="","",'BOM Mapping'!F4)</f>
        <v/>
      </c>
      <c r="G648">
        <f>IF(A648="","",'Job Cards'!E50)</f>
        <v/>
      </c>
      <c r="H648">
        <f>IF(A648="","",F648*G648)</f>
        <v/>
      </c>
      <c r="I648">
        <f>IF(E648="","",IFERROR(VLOOKUP(E648,'Master Inventory'!$A$4:$J$69,10,FALSE),0))</f>
        <v/>
      </c>
      <c r="J648">
        <f>IF(A648="","",MAX(0,H648-I648))</f>
        <v/>
      </c>
      <c r="K648">
        <f>IF(A648="","",IF(J648&gt;0,"SHORTAGE","READY TO RESERVE"))</f>
        <v/>
      </c>
    </row>
    <row r="649">
      <c r="A649">
        <f>'Job Cards'!A50</f>
        <v/>
      </c>
      <c r="B649">
        <f>IF(A649="","",'Job Cards'!B50)</f>
        <v/>
      </c>
      <c r="C649">
        <f>IF(A649="","",'Job Cards'!D50)</f>
        <v/>
      </c>
      <c r="D649">
        <f>IF(A649="","",'BOM Mapping'!A5)</f>
        <v/>
      </c>
      <c r="E649">
        <f>IF(A649="","",IF(C649="Longitude",'BOM Mapping'!C5,IF(C649="Latitude",'BOM Mapping'!D5,IF(C649="Altitude",'BOM Mapping'!E5,""))))</f>
        <v/>
      </c>
      <c r="F649">
        <f>IF(A649="","",'BOM Mapping'!F5)</f>
        <v/>
      </c>
      <c r="G649">
        <f>IF(A649="","",'Job Cards'!E50)</f>
        <v/>
      </c>
      <c r="H649">
        <f>IF(A649="","",F649*G649)</f>
        <v/>
      </c>
      <c r="I649">
        <f>IF(E649="","",IFERROR(VLOOKUP(E649,'Master Inventory'!$A$4:$J$69,10,FALSE),0))</f>
        <v/>
      </c>
      <c r="J649">
        <f>IF(A649="","",MAX(0,H649-I649))</f>
        <v/>
      </c>
      <c r="K649">
        <f>IF(A649="","",IF(J649&gt;0,"SHORTAGE","READY TO RESERVE"))</f>
        <v/>
      </c>
    </row>
    <row r="650">
      <c r="A650">
        <f>'Job Cards'!A50</f>
        <v/>
      </c>
      <c r="B650">
        <f>IF(A650="","",'Job Cards'!B50)</f>
        <v/>
      </c>
      <c r="C650">
        <f>IF(A650="","",'Job Cards'!D50)</f>
        <v/>
      </c>
      <c r="D650">
        <f>IF(A650="","",'BOM Mapping'!A6)</f>
        <v/>
      </c>
      <c r="E650">
        <f>IF(A650="","",IF(C650="Longitude",'BOM Mapping'!C6,IF(C650="Latitude",'BOM Mapping'!D6,IF(C650="Altitude",'BOM Mapping'!E6,""))))</f>
        <v/>
      </c>
      <c r="F650">
        <f>IF(A650="","",'BOM Mapping'!F6)</f>
        <v/>
      </c>
      <c r="G650">
        <f>IF(A650="","",'Job Cards'!E50)</f>
        <v/>
      </c>
      <c r="H650">
        <f>IF(A650="","",F650*G650)</f>
        <v/>
      </c>
      <c r="I650">
        <f>IF(E650="","",IFERROR(VLOOKUP(E650,'Master Inventory'!$A$4:$J$69,10,FALSE),0))</f>
        <v/>
      </c>
      <c r="J650">
        <f>IF(A650="","",MAX(0,H650-I650))</f>
        <v/>
      </c>
      <c r="K650">
        <f>IF(A650="","",IF(J650&gt;0,"SHORTAGE","READY TO RESERVE"))</f>
        <v/>
      </c>
    </row>
    <row r="651">
      <c r="A651">
        <f>'Job Cards'!A50</f>
        <v/>
      </c>
      <c r="B651">
        <f>IF(A651="","",'Job Cards'!B50)</f>
        <v/>
      </c>
      <c r="C651">
        <f>IF(A651="","",'Job Cards'!D50)</f>
        <v/>
      </c>
      <c r="D651">
        <f>IF(A651="","",'BOM Mapping'!A7)</f>
        <v/>
      </c>
      <c r="E651">
        <f>IF(A651="","",IF(C651="Longitude",'BOM Mapping'!C7,IF(C651="Latitude",'BOM Mapping'!D7,IF(C651="Altitude",'BOM Mapping'!E7,""))))</f>
        <v/>
      </c>
      <c r="F651">
        <f>IF(A651="","",'BOM Mapping'!F7)</f>
        <v/>
      </c>
      <c r="G651">
        <f>IF(A651="","",'Job Cards'!E50)</f>
        <v/>
      </c>
      <c r="H651">
        <f>IF(A651="","",F651*G651)</f>
        <v/>
      </c>
      <c r="I651">
        <f>IF(E651="","",IFERROR(VLOOKUP(E651,'Master Inventory'!$A$4:$J$69,10,FALSE),0))</f>
        <v/>
      </c>
      <c r="J651">
        <f>IF(A651="","",MAX(0,H651-I651))</f>
        <v/>
      </c>
      <c r="K651">
        <f>IF(A651="","",IF(J651&gt;0,"SHORTAGE","READY TO RESERVE"))</f>
        <v/>
      </c>
    </row>
    <row r="652">
      <c r="A652">
        <f>'Job Cards'!A50</f>
        <v/>
      </c>
      <c r="B652">
        <f>IF(A652="","",'Job Cards'!B50)</f>
        <v/>
      </c>
      <c r="C652">
        <f>IF(A652="","",'Job Cards'!D50)</f>
        <v/>
      </c>
      <c r="D652">
        <f>IF(A652="","",'BOM Mapping'!A8)</f>
        <v/>
      </c>
      <c r="E652">
        <f>IF(A652="","",IF(C652="Longitude",'BOM Mapping'!C8,IF(C652="Latitude",'BOM Mapping'!D8,IF(C652="Altitude",'BOM Mapping'!E8,""))))</f>
        <v/>
      </c>
      <c r="F652">
        <f>IF(A652="","",'BOM Mapping'!F8)</f>
        <v/>
      </c>
      <c r="G652">
        <f>IF(A652="","",'Job Cards'!E50)</f>
        <v/>
      </c>
      <c r="H652">
        <f>IF(A652="","",F652*G652)</f>
        <v/>
      </c>
      <c r="I652">
        <f>IF(E652="","",IFERROR(VLOOKUP(E652,'Master Inventory'!$A$4:$J$69,10,FALSE),0))</f>
        <v/>
      </c>
      <c r="J652">
        <f>IF(A652="","",MAX(0,H652-I652))</f>
        <v/>
      </c>
      <c r="K652">
        <f>IF(A652="","",IF(J652&gt;0,"SHORTAGE","READY TO RESERVE"))</f>
        <v/>
      </c>
    </row>
    <row r="653">
      <c r="A653">
        <f>'Job Cards'!A50</f>
        <v/>
      </c>
      <c r="B653">
        <f>IF(A653="","",'Job Cards'!B50)</f>
        <v/>
      </c>
      <c r="C653">
        <f>IF(A653="","",'Job Cards'!D50)</f>
        <v/>
      </c>
      <c r="D653">
        <f>IF(A653="","",'BOM Mapping'!A9)</f>
        <v/>
      </c>
      <c r="E653">
        <f>IF(A653="","",IF(C653="Longitude",'BOM Mapping'!C9,IF(C653="Latitude",'BOM Mapping'!D9,IF(C653="Altitude",'BOM Mapping'!E9,""))))</f>
        <v/>
      </c>
      <c r="F653">
        <f>IF(A653="","",'BOM Mapping'!F9)</f>
        <v/>
      </c>
      <c r="G653">
        <f>IF(A653="","",'Job Cards'!E50)</f>
        <v/>
      </c>
      <c r="H653">
        <f>IF(A653="","",F653*G653)</f>
        <v/>
      </c>
      <c r="I653">
        <f>IF(E653="","",IFERROR(VLOOKUP(E653,'Master Inventory'!$A$4:$J$69,10,FALSE),0))</f>
        <v/>
      </c>
      <c r="J653">
        <f>IF(A653="","",MAX(0,H653-I653))</f>
        <v/>
      </c>
      <c r="K653">
        <f>IF(A653="","",IF(J653&gt;0,"SHORTAGE","READY TO RESERVE"))</f>
        <v/>
      </c>
    </row>
    <row r="654">
      <c r="A654">
        <f>'Job Cards'!A50</f>
        <v/>
      </c>
      <c r="B654">
        <f>IF(A654="","",'Job Cards'!B50)</f>
        <v/>
      </c>
      <c r="C654">
        <f>IF(A654="","",'Job Cards'!D50)</f>
        <v/>
      </c>
      <c r="D654">
        <f>IF(A654="","",'BOM Mapping'!A10)</f>
        <v/>
      </c>
      <c r="E654">
        <f>IF(A654="","",IF(C654="Longitude",'BOM Mapping'!C10,IF(C654="Latitude",'BOM Mapping'!D10,IF(C654="Altitude",'BOM Mapping'!E10,""))))</f>
        <v/>
      </c>
      <c r="F654">
        <f>IF(A654="","",'BOM Mapping'!F10)</f>
        <v/>
      </c>
      <c r="G654">
        <f>IF(A654="","",'Job Cards'!E50)</f>
        <v/>
      </c>
      <c r="H654">
        <f>IF(A654="","",F654*G654)</f>
        <v/>
      </c>
      <c r="I654">
        <f>IF(E654="","",IFERROR(VLOOKUP(E654,'Master Inventory'!$A$4:$J$69,10,FALSE),0))</f>
        <v/>
      </c>
      <c r="J654">
        <f>IF(A654="","",MAX(0,H654-I654))</f>
        <v/>
      </c>
      <c r="K654">
        <f>IF(A654="","",IF(J654&gt;0,"SHORTAGE","READY TO RESERVE"))</f>
        <v/>
      </c>
    </row>
    <row r="655">
      <c r="A655">
        <f>'Job Cards'!A50</f>
        <v/>
      </c>
      <c r="B655">
        <f>IF(A655="","",'Job Cards'!B50)</f>
        <v/>
      </c>
      <c r="C655">
        <f>IF(A655="","",'Job Cards'!D50)</f>
        <v/>
      </c>
      <c r="D655">
        <f>IF(A655="","",'BOM Mapping'!A11)</f>
        <v/>
      </c>
      <c r="E655">
        <f>IF(A655="","",IF(C655="Longitude",'BOM Mapping'!C11,IF(C655="Latitude",'BOM Mapping'!D11,IF(C655="Altitude",'BOM Mapping'!E11,""))))</f>
        <v/>
      </c>
      <c r="F655">
        <f>IF(A655="","",'BOM Mapping'!F11)</f>
        <v/>
      </c>
      <c r="G655">
        <f>IF(A655="","",'Job Cards'!E50)</f>
        <v/>
      </c>
      <c r="H655">
        <f>IF(A655="","",F655*G655)</f>
        <v/>
      </c>
      <c r="I655">
        <f>IF(E655="","",IFERROR(VLOOKUP(E655,'Master Inventory'!$A$4:$J$69,10,FALSE),0))</f>
        <v/>
      </c>
      <c r="J655">
        <f>IF(A655="","",MAX(0,H655-I655))</f>
        <v/>
      </c>
      <c r="K655">
        <f>IF(A655="","",IF(J655&gt;0,"SHORTAGE","READY TO RESERVE"))</f>
        <v/>
      </c>
    </row>
    <row r="656">
      <c r="A656">
        <f>'Job Cards'!A50</f>
        <v/>
      </c>
      <c r="B656">
        <f>IF(A656="","",'Job Cards'!B50)</f>
        <v/>
      </c>
      <c r="C656">
        <f>IF(A656="","",'Job Cards'!D50)</f>
        <v/>
      </c>
      <c r="D656">
        <f>IF(A656="","",'BOM Mapping'!A12)</f>
        <v/>
      </c>
      <c r="E656">
        <f>IF(A656="","",IF(C656="Longitude",'BOM Mapping'!C12,IF(C656="Latitude",'BOM Mapping'!D12,IF(C656="Altitude",'BOM Mapping'!E12,""))))</f>
        <v/>
      </c>
      <c r="F656">
        <f>IF(A656="","",'BOM Mapping'!F12)</f>
        <v/>
      </c>
      <c r="G656">
        <f>IF(A656="","",'Job Cards'!E50)</f>
        <v/>
      </c>
      <c r="H656">
        <f>IF(A656="","",F656*G656)</f>
        <v/>
      </c>
      <c r="I656">
        <f>IF(E656="","",IFERROR(VLOOKUP(E656,'Master Inventory'!$A$4:$J$69,10,FALSE),0))</f>
        <v/>
      </c>
      <c r="J656">
        <f>IF(A656="","",MAX(0,H656-I656))</f>
        <v/>
      </c>
      <c r="K656">
        <f>IF(A656="","",IF(J656&gt;0,"SHORTAGE","READY TO RESERVE"))</f>
        <v/>
      </c>
    </row>
    <row r="657">
      <c r="A657">
        <f>'Job Cards'!A50</f>
        <v/>
      </c>
      <c r="B657">
        <f>IF(A657="","",'Job Cards'!B50)</f>
        <v/>
      </c>
      <c r="C657">
        <f>IF(A657="","",'Job Cards'!D50)</f>
        <v/>
      </c>
      <c r="D657">
        <f>IF(A657="","",'BOM Mapping'!A13)</f>
        <v/>
      </c>
      <c r="E657">
        <f>IF(A657="","",IF(C657="Longitude",'BOM Mapping'!C13,IF(C657="Latitude",'BOM Mapping'!D13,IF(C657="Altitude",'BOM Mapping'!E13,""))))</f>
        <v/>
      </c>
      <c r="F657">
        <f>IF(A657="","",'BOM Mapping'!F13)</f>
        <v/>
      </c>
      <c r="G657">
        <f>IF(A657="","",'Job Cards'!E50)</f>
        <v/>
      </c>
      <c r="H657">
        <f>IF(A657="","",F657*G657)</f>
        <v/>
      </c>
      <c r="I657">
        <f>IF(E657="","",IFERROR(VLOOKUP(E657,'Master Inventory'!$A$4:$J$69,10,FALSE),0))</f>
        <v/>
      </c>
      <c r="J657">
        <f>IF(A657="","",MAX(0,H657-I657))</f>
        <v/>
      </c>
      <c r="K657">
        <f>IF(A657="","",IF(J657&gt;0,"SHORTAGE","READY TO RESERVE"))</f>
        <v/>
      </c>
    </row>
    <row r="658">
      <c r="A658">
        <f>'Job Cards'!A50</f>
        <v/>
      </c>
      <c r="B658">
        <f>IF(A658="","",'Job Cards'!B50)</f>
        <v/>
      </c>
      <c r="C658">
        <f>IF(A658="","",'Job Cards'!D50)</f>
        <v/>
      </c>
      <c r="D658">
        <f>IF(A658="","",'BOM Mapping'!A14)</f>
        <v/>
      </c>
      <c r="E658">
        <f>IF(A658="","",IF(C658="Longitude",'BOM Mapping'!C14,IF(C658="Latitude",'BOM Mapping'!D14,IF(C658="Altitude",'BOM Mapping'!E14,""))))</f>
        <v/>
      </c>
      <c r="F658">
        <f>IF(A658="","",'BOM Mapping'!F14)</f>
        <v/>
      </c>
      <c r="G658">
        <f>IF(A658="","",'Job Cards'!E50)</f>
        <v/>
      </c>
      <c r="H658">
        <f>IF(A658="","",F658*G658)</f>
        <v/>
      </c>
      <c r="I658">
        <f>IF(E658="","",IFERROR(VLOOKUP(E658,'Master Inventory'!$A$4:$J$69,10,FALSE),0))</f>
        <v/>
      </c>
      <c r="J658">
        <f>IF(A658="","",MAX(0,H658-I658))</f>
        <v/>
      </c>
      <c r="K658">
        <f>IF(A658="","",IF(J658&gt;0,"SHORTAGE","READY TO RESERVE"))</f>
        <v/>
      </c>
    </row>
    <row r="659">
      <c r="A659">
        <f>'Job Cards'!A50</f>
        <v/>
      </c>
      <c r="B659">
        <f>IF(A659="","",'Job Cards'!B50)</f>
        <v/>
      </c>
      <c r="C659">
        <f>IF(A659="","",'Job Cards'!D50)</f>
        <v/>
      </c>
      <c r="D659">
        <f>IF(A659="","",'BOM Mapping'!A15)</f>
        <v/>
      </c>
      <c r="E659">
        <f>IF(A659="","",IF(C659="Longitude",'BOM Mapping'!C15,IF(C659="Latitude",'BOM Mapping'!D15,IF(C659="Altitude",'BOM Mapping'!E15,""))))</f>
        <v/>
      </c>
      <c r="F659">
        <f>IF(A659="","",'BOM Mapping'!F15)</f>
        <v/>
      </c>
      <c r="G659">
        <f>IF(A659="","",'Job Cards'!E50)</f>
        <v/>
      </c>
      <c r="H659">
        <f>IF(A659="","",F659*G659)</f>
        <v/>
      </c>
      <c r="I659">
        <f>IF(E659="","",IFERROR(VLOOKUP(E659,'Master Inventory'!$A$4:$J$69,10,FALSE),0))</f>
        <v/>
      </c>
      <c r="J659">
        <f>IF(A659="","",MAX(0,H659-I659))</f>
        <v/>
      </c>
      <c r="K659">
        <f>IF(A659="","",IF(J659&gt;0,"SHORTAGE","READY TO RESERVE"))</f>
        <v/>
      </c>
    </row>
    <row r="660">
      <c r="A660">
        <f>'Job Cards'!A50</f>
        <v/>
      </c>
      <c r="B660">
        <f>IF(A660="","",'Job Cards'!B50)</f>
        <v/>
      </c>
      <c r="C660">
        <f>IF(A660="","",'Job Cards'!D50)</f>
        <v/>
      </c>
      <c r="D660">
        <f>IF(A660="","",'BOM Mapping'!A16)</f>
        <v/>
      </c>
      <c r="E660">
        <f>IF(A660="","",IF(C660="Longitude",'BOM Mapping'!C16,IF(C660="Latitude",'BOM Mapping'!D16,IF(C660="Altitude",'BOM Mapping'!E16,""))))</f>
        <v/>
      </c>
      <c r="F660">
        <f>IF(A660="","",'BOM Mapping'!F16)</f>
        <v/>
      </c>
      <c r="G660">
        <f>IF(A660="","",'Job Cards'!E50)</f>
        <v/>
      </c>
      <c r="H660">
        <f>IF(A660="","",F660*G660)</f>
        <v/>
      </c>
      <c r="I660">
        <f>IF(E660="","",IFERROR(VLOOKUP(E660,'Master Inventory'!$A$4:$J$69,10,FALSE),0))</f>
        <v/>
      </c>
      <c r="J660">
        <f>IF(A660="","",MAX(0,H660-I660))</f>
        <v/>
      </c>
      <c r="K660">
        <f>IF(A660="","",IF(J660&gt;0,"SHORTAGE","READY TO RESERVE"))</f>
        <v/>
      </c>
    </row>
    <row r="661">
      <c r="A661">
        <f>'Job Cards'!A50</f>
        <v/>
      </c>
      <c r="B661">
        <f>IF(A661="","",'Job Cards'!B50)</f>
        <v/>
      </c>
      <c r="C661">
        <f>IF(A661="","",'Job Cards'!D50)</f>
        <v/>
      </c>
      <c r="D661">
        <f>IF(A661="","",'BOM Mapping'!A17)</f>
        <v/>
      </c>
      <c r="E661">
        <f>IF(A661="","",IF(C661="Longitude",'BOM Mapping'!C17,IF(C661="Latitude",'BOM Mapping'!D17,IF(C661="Altitude",'BOM Mapping'!E17,""))))</f>
        <v/>
      </c>
      <c r="F661">
        <f>IF(A661="","",'BOM Mapping'!F17)</f>
        <v/>
      </c>
      <c r="G661">
        <f>IF(A661="","",'Job Cards'!E50)</f>
        <v/>
      </c>
      <c r="H661">
        <f>IF(A661="","",F661*G661)</f>
        <v/>
      </c>
      <c r="I661">
        <f>IF(E661="","",IFERROR(VLOOKUP(E661,'Master Inventory'!$A$4:$J$69,10,FALSE),0))</f>
        <v/>
      </c>
      <c r="J661">
        <f>IF(A661="","",MAX(0,H661-I661))</f>
        <v/>
      </c>
      <c r="K661">
        <f>IF(A661="","",IF(J661&gt;0,"SHORTAGE","READY TO RESERVE"))</f>
        <v/>
      </c>
    </row>
    <row r="662">
      <c r="A662">
        <f>'Job Cards'!A51</f>
        <v/>
      </c>
      <c r="B662">
        <f>IF(A662="","",'Job Cards'!B51)</f>
        <v/>
      </c>
      <c r="C662">
        <f>IF(A662="","",'Job Cards'!D51)</f>
        <v/>
      </c>
      <c r="D662">
        <f>IF(A662="","",'BOM Mapping'!A4)</f>
        <v/>
      </c>
      <c r="E662">
        <f>IF(A662="","",IF(C662="Longitude",'BOM Mapping'!C4,IF(C662="Latitude",'BOM Mapping'!D4,IF(C662="Altitude",'BOM Mapping'!E4,""))))</f>
        <v/>
      </c>
      <c r="F662">
        <f>IF(A662="","",'BOM Mapping'!F4)</f>
        <v/>
      </c>
      <c r="G662">
        <f>IF(A662="","",'Job Cards'!E51)</f>
        <v/>
      </c>
      <c r="H662">
        <f>IF(A662="","",F662*G662)</f>
        <v/>
      </c>
      <c r="I662">
        <f>IF(E662="","",IFERROR(VLOOKUP(E662,'Master Inventory'!$A$4:$J$69,10,FALSE),0))</f>
        <v/>
      </c>
      <c r="J662">
        <f>IF(A662="","",MAX(0,H662-I662))</f>
        <v/>
      </c>
      <c r="K662">
        <f>IF(A662="","",IF(J662&gt;0,"SHORTAGE","READY TO RESERVE"))</f>
        <v/>
      </c>
    </row>
    <row r="663">
      <c r="A663">
        <f>'Job Cards'!A51</f>
        <v/>
      </c>
      <c r="B663">
        <f>IF(A663="","",'Job Cards'!B51)</f>
        <v/>
      </c>
      <c r="C663">
        <f>IF(A663="","",'Job Cards'!D51)</f>
        <v/>
      </c>
      <c r="D663">
        <f>IF(A663="","",'BOM Mapping'!A5)</f>
        <v/>
      </c>
      <c r="E663">
        <f>IF(A663="","",IF(C663="Longitude",'BOM Mapping'!C5,IF(C663="Latitude",'BOM Mapping'!D5,IF(C663="Altitude",'BOM Mapping'!E5,""))))</f>
        <v/>
      </c>
      <c r="F663">
        <f>IF(A663="","",'BOM Mapping'!F5)</f>
        <v/>
      </c>
      <c r="G663">
        <f>IF(A663="","",'Job Cards'!E51)</f>
        <v/>
      </c>
      <c r="H663">
        <f>IF(A663="","",F663*G663)</f>
        <v/>
      </c>
      <c r="I663">
        <f>IF(E663="","",IFERROR(VLOOKUP(E663,'Master Inventory'!$A$4:$J$69,10,FALSE),0))</f>
        <v/>
      </c>
      <c r="J663">
        <f>IF(A663="","",MAX(0,H663-I663))</f>
        <v/>
      </c>
      <c r="K663">
        <f>IF(A663="","",IF(J663&gt;0,"SHORTAGE","READY TO RESERVE"))</f>
        <v/>
      </c>
    </row>
    <row r="664">
      <c r="A664">
        <f>'Job Cards'!A51</f>
        <v/>
      </c>
      <c r="B664">
        <f>IF(A664="","",'Job Cards'!B51)</f>
        <v/>
      </c>
      <c r="C664">
        <f>IF(A664="","",'Job Cards'!D51)</f>
        <v/>
      </c>
      <c r="D664">
        <f>IF(A664="","",'BOM Mapping'!A6)</f>
        <v/>
      </c>
      <c r="E664">
        <f>IF(A664="","",IF(C664="Longitude",'BOM Mapping'!C6,IF(C664="Latitude",'BOM Mapping'!D6,IF(C664="Altitude",'BOM Mapping'!E6,""))))</f>
        <v/>
      </c>
      <c r="F664">
        <f>IF(A664="","",'BOM Mapping'!F6)</f>
        <v/>
      </c>
      <c r="G664">
        <f>IF(A664="","",'Job Cards'!E51)</f>
        <v/>
      </c>
      <c r="H664">
        <f>IF(A664="","",F664*G664)</f>
        <v/>
      </c>
      <c r="I664">
        <f>IF(E664="","",IFERROR(VLOOKUP(E664,'Master Inventory'!$A$4:$J$69,10,FALSE),0))</f>
        <v/>
      </c>
      <c r="J664">
        <f>IF(A664="","",MAX(0,H664-I664))</f>
        <v/>
      </c>
      <c r="K664">
        <f>IF(A664="","",IF(J664&gt;0,"SHORTAGE","READY TO RESERVE"))</f>
        <v/>
      </c>
    </row>
    <row r="665">
      <c r="A665">
        <f>'Job Cards'!A51</f>
        <v/>
      </c>
      <c r="B665">
        <f>IF(A665="","",'Job Cards'!B51)</f>
        <v/>
      </c>
      <c r="C665">
        <f>IF(A665="","",'Job Cards'!D51)</f>
        <v/>
      </c>
      <c r="D665">
        <f>IF(A665="","",'BOM Mapping'!A7)</f>
        <v/>
      </c>
      <c r="E665">
        <f>IF(A665="","",IF(C665="Longitude",'BOM Mapping'!C7,IF(C665="Latitude",'BOM Mapping'!D7,IF(C665="Altitude",'BOM Mapping'!E7,""))))</f>
        <v/>
      </c>
      <c r="F665">
        <f>IF(A665="","",'BOM Mapping'!F7)</f>
        <v/>
      </c>
      <c r="G665">
        <f>IF(A665="","",'Job Cards'!E51)</f>
        <v/>
      </c>
      <c r="H665">
        <f>IF(A665="","",F665*G665)</f>
        <v/>
      </c>
      <c r="I665">
        <f>IF(E665="","",IFERROR(VLOOKUP(E665,'Master Inventory'!$A$4:$J$69,10,FALSE),0))</f>
        <v/>
      </c>
      <c r="J665">
        <f>IF(A665="","",MAX(0,H665-I665))</f>
        <v/>
      </c>
      <c r="K665">
        <f>IF(A665="","",IF(J665&gt;0,"SHORTAGE","READY TO RESERVE"))</f>
        <v/>
      </c>
    </row>
    <row r="666">
      <c r="A666">
        <f>'Job Cards'!A51</f>
        <v/>
      </c>
      <c r="B666">
        <f>IF(A666="","",'Job Cards'!B51)</f>
        <v/>
      </c>
      <c r="C666">
        <f>IF(A666="","",'Job Cards'!D51)</f>
        <v/>
      </c>
      <c r="D666">
        <f>IF(A666="","",'BOM Mapping'!A8)</f>
        <v/>
      </c>
      <c r="E666">
        <f>IF(A666="","",IF(C666="Longitude",'BOM Mapping'!C8,IF(C666="Latitude",'BOM Mapping'!D8,IF(C666="Altitude",'BOM Mapping'!E8,""))))</f>
        <v/>
      </c>
      <c r="F666">
        <f>IF(A666="","",'BOM Mapping'!F8)</f>
        <v/>
      </c>
      <c r="G666">
        <f>IF(A666="","",'Job Cards'!E51)</f>
        <v/>
      </c>
      <c r="H666">
        <f>IF(A666="","",F666*G666)</f>
        <v/>
      </c>
      <c r="I666">
        <f>IF(E666="","",IFERROR(VLOOKUP(E666,'Master Inventory'!$A$4:$J$69,10,FALSE),0))</f>
        <v/>
      </c>
      <c r="J666">
        <f>IF(A666="","",MAX(0,H666-I666))</f>
        <v/>
      </c>
      <c r="K666">
        <f>IF(A666="","",IF(J666&gt;0,"SHORTAGE","READY TO RESERVE"))</f>
        <v/>
      </c>
    </row>
    <row r="667">
      <c r="A667">
        <f>'Job Cards'!A51</f>
        <v/>
      </c>
      <c r="B667">
        <f>IF(A667="","",'Job Cards'!B51)</f>
        <v/>
      </c>
      <c r="C667">
        <f>IF(A667="","",'Job Cards'!D51)</f>
        <v/>
      </c>
      <c r="D667">
        <f>IF(A667="","",'BOM Mapping'!A9)</f>
        <v/>
      </c>
      <c r="E667">
        <f>IF(A667="","",IF(C667="Longitude",'BOM Mapping'!C9,IF(C667="Latitude",'BOM Mapping'!D9,IF(C667="Altitude",'BOM Mapping'!E9,""))))</f>
        <v/>
      </c>
      <c r="F667">
        <f>IF(A667="","",'BOM Mapping'!F9)</f>
        <v/>
      </c>
      <c r="G667">
        <f>IF(A667="","",'Job Cards'!E51)</f>
        <v/>
      </c>
      <c r="H667">
        <f>IF(A667="","",F667*G667)</f>
        <v/>
      </c>
      <c r="I667">
        <f>IF(E667="","",IFERROR(VLOOKUP(E667,'Master Inventory'!$A$4:$J$69,10,FALSE),0))</f>
        <v/>
      </c>
      <c r="J667">
        <f>IF(A667="","",MAX(0,H667-I667))</f>
        <v/>
      </c>
      <c r="K667">
        <f>IF(A667="","",IF(J667&gt;0,"SHORTAGE","READY TO RESERVE"))</f>
        <v/>
      </c>
    </row>
    <row r="668">
      <c r="A668">
        <f>'Job Cards'!A51</f>
        <v/>
      </c>
      <c r="B668">
        <f>IF(A668="","",'Job Cards'!B51)</f>
        <v/>
      </c>
      <c r="C668">
        <f>IF(A668="","",'Job Cards'!D51)</f>
        <v/>
      </c>
      <c r="D668">
        <f>IF(A668="","",'BOM Mapping'!A10)</f>
        <v/>
      </c>
      <c r="E668">
        <f>IF(A668="","",IF(C668="Longitude",'BOM Mapping'!C10,IF(C668="Latitude",'BOM Mapping'!D10,IF(C668="Altitude",'BOM Mapping'!E10,""))))</f>
        <v/>
      </c>
      <c r="F668">
        <f>IF(A668="","",'BOM Mapping'!F10)</f>
        <v/>
      </c>
      <c r="G668">
        <f>IF(A668="","",'Job Cards'!E51)</f>
        <v/>
      </c>
      <c r="H668">
        <f>IF(A668="","",F668*G668)</f>
        <v/>
      </c>
      <c r="I668">
        <f>IF(E668="","",IFERROR(VLOOKUP(E668,'Master Inventory'!$A$4:$J$69,10,FALSE),0))</f>
        <v/>
      </c>
      <c r="J668">
        <f>IF(A668="","",MAX(0,H668-I668))</f>
        <v/>
      </c>
      <c r="K668">
        <f>IF(A668="","",IF(J668&gt;0,"SHORTAGE","READY TO RESERVE"))</f>
        <v/>
      </c>
    </row>
    <row r="669">
      <c r="A669">
        <f>'Job Cards'!A51</f>
        <v/>
      </c>
      <c r="B669">
        <f>IF(A669="","",'Job Cards'!B51)</f>
        <v/>
      </c>
      <c r="C669">
        <f>IF(A669="","",'Job Cards'!D51)</f>
        <v/>
      </c>
      <c r="D669">
        <f>IF(A669="","",'BOM Mapping'!A11)</f>
        <v/>
      </c>
      <c r="E669">
        <f>IF(A669="","",IF(C669="Longitude",'BOM Mapping'!C11,IF(C669="Latitude",'BOM Mapping'!D11,IF(C669="Altitude",'BOM Mapping'!E11,""))))</f>
        <v/>
      </c>
      <c r="F669">
        <f>IF(A669="","",'BOM Mapping'!F11)</f>
        <v/>
      </c>
      <c r="G669">
        <f>IF(A669="","",'Job Cards'!E51)</f>
        <v/>
      </c>
      <c r="H669">
        <f>IF(A669="","",F669*G669)</f>
        <v/>
      </c>
      <c r="I669">
        <f>IF(E669="","",IFERROR(VLOOKUP(E669,'Master Inventory'!$A$4:$J$69,10,FALSE),0))</f>
        <v/>
      </c>
      <c r="J669">
        <f>IF(A669="","",MAX(0,H669-I669))</f>
        <v/>
      </c>
      <c r="K669">
        <f>IF(A669="","",IF(J669&gt;0,"SHORTAGE","READY TO RESERVE"))</f>
        <v/>
      </c>
    </row>
    <row r="670">
      <c r="A670">
        <f>'Job Cards'!A51</f>
        <v/>
      </c>
      <c r="B670">
        <f>IF(A670="","",'Job Cards'!B51)</f>
        <v/>
      </c>
      <c r="C670">
        <f>IF(A670="","",'Job Cards'!D51)</f>
        <v/>
      </c>
      <c r="D670">
        <f>IF(A670="","",'BOM Mapping'!A12)</f>
        <v/>
      </c>
      <c r="E670">
        <f>IF(A670="","",IF(C670="Longitude",'BOM Mapping'!C12,IF(C670="Latitude",'BOM Mapping'!D12,IF(C670="Altitude",'BOM Mapping'!E12,""))))</f>
        <v/>
      </c>
      <c r="F670">
        <f>IF(A670="","",'BOM Mapping'!F12)</f>
        <v/>
      </c>
      <c r="G670">
        <f>IF(A670="","",'Job Cards'!E51)</f>
        <v/>
      </c>
      <c r="H670">
        <f>IF(A670="","",F670*G670)</f>
        <v/>
      </c>
      <c r="I670">
        <f>IF(E670="","",IFERROR(VLOOKUP(E670,'Master Inventory'!$A$4:$J$69,10,FALSE),0))</f>
        <v/>
      </c>
      <c r="J670">
        <f>IF(A670="","",MAX(0,H670-I670))</f>
        <v/>
      </c>
      <c r="K670">
        <f>IF(A670="","",IF(J670&gt;0,"SHORTAGE","READY TO RESERVE"))</f>
        <v/>
      </c>
    </row>
    <row r="671">
      <c r="A671">
        <f>'Job Cards'!A51</f>
        <v/>
      </c>
      <c r="B671">
        <f>IF(A671="","",'Job Cards'!B51)</f>
        <v/>
      </c>
      <c r="C671">
        <f>IF(A671="","",'Job Cards'!D51)</f>
        <v/>
      </c>
      <c r="D671">
        <f>IF(A671="","",'BOM Mapping'!A13)</f>
        <v/>
      </c>
      <c r="E671">
        <f>IF(A671="","",IF(C671="Longitude",'BOM Mapping'!C13,IF(C671="Latitude",'BOM Mapping'!D13,IF(C671="Altitude",'BOM Mapping'!E13,""))))</f>
        <v/>
      </c>
      <c r="F671">
        <f>IF(A671="","",'BOM Mapping'!F13)</f>
        <v/>
      </c>
      <c r="G671">
        <f>IF(A671="","",'Job Cards'!E51)</f>
        <v/>
      </c>
      <c r="H671">
        <f>IF(A671="","",F671*G671)</f>
        <v/>
      </c>
      <c r="I671">
        <f>IF(E671="","",IFERROR(VLOOKUP(E671,'Master Inventory'!$A$4:$J$69,10,FALSE),0))</f>
        <v/>
      </c>
      <c r="J671">
        <f>IF(A671="","",MAX(0,H671-I671))</f>
        <v/>
      </c>
      <c r="K671">
        <f>IF(A671="","",IF(J671&gt;0,"SHORTAGE","READY TO RESERVE"))</f>
        <v/>
      </c>
    </row>
    <row r="672">
      <c r="A672">
        <f>'Job Cards'!A51</f>
        <v/>
      </c>
      <c r="B672">
        <f>IF(A672="","",'Job Cards'!B51)</f>
        <v/>
      </c>
      <c r="C672">
        <f>IF(A672="","",'Job Cards'!D51)</f>
        <v/>
      </c>
      <c r="D672">
        <f>IF(A672="","",'BOM Mapping'!A14)</f>
        <v/>
      </c>
      <c r="E672">
        <f>IF(A672="","",IF(C672="Longitude",'BOM Mapping'!C14,IF(C672="Latitude",'BOM Mapping'!D14,IF(C672="Altitude",'BOM Mapping'!E14,""))))</f>
        <v/>
      </c>
      <c r="F672">
        <f>IF(A672="","",'BOM Mapping'!F14)</f>
        <v/>
      </c>
      <c r="G672">
        <f>IF(A672="","",'Job Cards'!E51)</f>
        <v/>
      </c>
      <c r="H672">
        <f>IF(A672="","",F672*G672)</f>
        <v/>
      </c>
      <c r="I672">
        <f>IF(E672="","",IFERROR(VLOOKUP(E672,'Master Inventory'!$A$4:$J$69,10,FALSE),0))</f>
        <v/>
      </c>
      <c r="J672">
        <f>IF(A672="","",MAX(0,H672-I672))</f>
        <v/>
      </c>
      <c r="K672">
        <f>IF(A672="","",IF(J672&gt;0,"SHORTAGE","READY TO RESERVE"))</f>
        <v/>
      </c>
    </row>
    <row r="673">
      <c r="A673">
        <f>'Job Cards'!A51</f>
        <v/>
      </c>
      <c r="B673">
        <f>IF(A673="","",'Job Cards'!B51)</f>
        <v/>
      </c>
      <c r="C673">
        <f>IF(A673="","",'Job Cards'!D51)</f>
        <v/>
      </c>
      <c r="D673">
        <f>IF(A673="","",'BOM Mapping'!A15)</f>
        <v/>
      </c>
      <c r="E673">
        <f>IF(A673="","",IF(C673="Longitude",'BOM Mapping'!C15,IF(C673="Latitude",'BOM Mapping'!D15,IF(C673="Altitude",'BOM Mapping'!E15,""))))</f>
        <v/>
      </c>
      <c r="F673">
        <f>IF(A673="","",'BOM Mapping'!F15)</f>
        <v/>
      </c>
      <c r="G673">
        <f>IF(A673="","",'Job Cards'!E51)</f>
        <v/>
      </c>
      <c r="H673">
        <f>IF(A673="","",F673*G673)</f>
        <v/>
      </c>
      <c r="I673">
        <f>IF(E673="","",IFERROR(VLOOKUP(E673,'Master Inventory'!$A$4:$J$69,10,FALSE),0))</f>
        <v/>
      </c>
      <c r="J673">
        <f>IF(A673="","",MAX(0,H673-I673))</f>
        <v/>
      </c>
      <c r="K673">
        <f>IF(A673="","",IF(J673&gt;0,"SHORTAGE","READY TO RESERVE"))</f>
        <v/>
      </c>
    </row>
    <row r="674">
      <c r="A674">
        <f>'Job Cards'!A51</f>
        <v/>
      </c>
      <c r="B674">
        <f>IF(A674="","",'Job Cards'!B51)</f>
        <v/>
      </c>
      <c r="C674">
        <f>IF(A674="","",'Job Cards'!D51)</f>
        <v/>
      </c>
      <c r="D674">
        <f>IF(A674="","",'BOM Mapping'!A16)</f>
        <v/>
      </c>
      <c r="E674">
        <f>IF(A674="","",IF(C674="Longitude",'BOM Mapping'!C16,IF(C674="Latitude",'BOM Mapping'!D16,IF(C674="Altitude",'BOM Mapping'!E16,""))))</f>
        <v/>
      </c>
      <c r="F674">
        <f>IF(A674="","",'BOM Mapping'!F16)</f>
        <v/>
      </c>
      <c r="G674">
        <f>IF(A674="","",'Job Cards'!E51)</f>
        <v/>
      </c>
      <c r="H674">
        <f>IF(A674="","",F674*G674)</f>
        <v/>
      </c>
      <c r="I674">
        <f>IF(E674="","",IFERROR(VLOOKUP(E674,'Master Inventory'!$A$4:$J$69,10,FALSE),0))</f>
        <v/>
      </c>
      <c r="J674">
        <f>IF(A674="","",MAX(0,H674-I674))</f>
        <v/>
      </c>
      <c r="K674">
        <f>IF(A674="","",IF(J674&gt;0,"SHORTAGE","READY TO RESERVE"))</f>
        <v/>
      </c>
    </row>
    <row r="675">
      <c r="A675">
        <f>'Job Cards'!A51</f>
        <v/>
      </c>
      <c r="B675">
        <f>IF(A675="","",'Job Cards'!B51)</f>
        <v/>
      </c>
      <c r="C675">
        <f>IF(A675="","",'Job Cards'!D51)</f>
        <v/>
      </c>
      <c r="D675">
        <f>IF(A675="","",'BOM Mapping'!A17)</f>
        <v/>
      </c>
      <c r="E675">
        <f>IF(A675="","",IF(C675="Longitude",'BOM Mapping'!C17,IF(C675="Latitude",'BOM Mapping'!D17,IF(C675="Altitude",'BOM Mapping'!E17,""))))</f>
        <v/>
      </c>
      <c r="F675">
        <f>IF(A675="","",'BOM Mapping'!F17)</f>
        <v/>
      </c>
      <c r="G675">
        <f>IF(A675="","",'Job Cards'!E51)</f>
        <v/>
      </c>
      <c r="H675">
        <f>IF(A675="","",F675*G675)</f>
        <v/>
      </c>
      <c r="I675">
        <f>IF(E675="","",IFERROR(VLOOKUP(E675,'Master Inventory'!$A$4:$J$69,10,FALSE),0))</f>
        <v/>
      </c>
      <c r="J675">
        <f>IF(A675="","",MAX(0,H675-I675))</f>
        <v/>
      </c>
      <c r="K675">
        <f>IF(A675="","",IF(J675&gt;0,"SHORTAGE","READY TO RESERVE"))</f>
        <v/>
      </c>
    </row>
    <row r="676">
      <c r="A676">
        <f>'Job Cards'!A52</f>
        <v/>
      </c>
      <c r="B676">
        <f>IF(A676="","",'Job Cards'!B52)</f>
        <v/>
      </c>
      <c r="C676">
        <f>IF(A676="","",'Job Cards'!D52)</f>
        <v/>
      </c>
      <c r="D676">
        <f>IF(A676="","",'BOM Mapping'!A4)</f>
        <v/>
      </c>
      <c r="E676">
        <f>IF(A676="","",IF(C676="Longitude",'BOM Mapping'!C4,IF(C676="Latitude",'BOM Mapping'!D4,IF(C676="Altitude",'BOM Mapping'!E4,""))))</f>
        <v/>
      </c>
      <c r="F676">
        <f>IF(A676="","",'BOM Mapping'!F4)</f>
        <v/>
      </c>
      <c r="G676">
        <f>IF(A676="","",'Job Cards'!E52)</f>
        <v/>
      </c>
      <c r="H676">
        <f>IF(A676="","",F676*G676)</f>
        <v/>
      </c>
      <c r="I676">
        <f>IF(E676="","",IFERROR(VLOOKUP(E676,'Master Inventory'!$A$4:$J$69,10,FALSE),0))</f>
        <v/>
      </c>
      <c r="J676">
        <f>IF(A676="","",MAX(0,H676-I676))</f>
        <v/>
      </c>
      <c r="K676">
        <f>IF(A676="","",IF(J676&gt;0,"SHORTAGE","READY TO RESERVE"))</f>
        <v/>
      </c>
    </row>
    <row r="677">
      <c r="A677">
        <f>'Job Cards'!A52</f>
        <v/>
      </c>
      <c r="B677">
        <f>IF(A677="","",'Job Cards'!B52)</f>
        <v/>
      </c>
      <c r="C677">
        <f>IF(A677="","",'Job Cards'!D52)</f>
        <v/>
      </c>
      <c r="D677">
        <f>IF(A677="","",'BOM Mapping'!A5)</f>
        <v/>
      </c>
      <c r="E677">
        <f>IF(A677="","",IF(C677="Longitude",'BOM Mapping'!C5,IF(C677="Latitude",'BOM Mapping'!D5,IF(C677="Altitude",'BOM Mapping'!E5,""))))</f>
        <v/>
      </c>
      <c r="F677">
        <f>IF(A677="","",'BOM Mapping'!F5)</f>
        <v/>
      </c>
      <c r="G677">
        <f>IF(A677="","",'Job Cards'!E52)</f>
        <v/>
      </c>
      <c r="H677">
        <f>IF(A677="","",F677*G677)</f>
        <v/>
      </c>
      <c r="I677">
        <f>IF(E677="","",IFERROR(VLOOKUP(E677,'Master Inventory'!$A$4:$J$69,10,FALSE),0))</f>
        <v/>
      </c>
      <c r="J677">
        <f>IF(A677="","",MAX(0,H677-I677))</f>
        <v/>
      </c>
      <c r="K677">
        <f>IF(A677="","",IF(J677&gt;0,"SHORTAGE","READY TO RESERVE"))</f>
        <v/>
      </c>
    </row>
    <row r="678">
      <c r="A678">
        <f>'Job Cards'!A52</f>
        <v/>
      </c>
      <c r="B678">
        <f>IF(A678="","",'Job Cards'!B52)</f>
        <v/>
      </c>
      <c r="C678">
        <f>IF(A678="","",'Job Cards'!D52)</f>
        <v/>
      </c>
      <c r="D678">
        <f>IF(A678="","",'BOM Mapping'!A6)</f>
        <v/>
      </c>
      <c r="E678">
        <f>IF(A678="","",IF(C678="Longitude",'BOM Mapping'!C6,IF(C678="Latitude",'BOM Mapping'!D6,IF(C678="Altitude",'BOM Mapping'!E6,""))))</f>
        <v/>
      </c>
      <c r="F678">
        <f>IF(A678="","",'BOM Mapping'!F6)</f>
        <v/>
      </c>
      <c r="G678">
        <f>IF(A678="","",'Job Cards'!E52)</f>
        <v/>
      </c>
      <c r="H678">
        <f>IF(A678="","",F678*G678)</f>
        <v/>
      </c>
      <c r="I678">
        <f>IF(E678="","",IFERROR(VLOOKUP(E678,'Master Inventory'!$A$4:$J$69,10,FALSE),0))</f>
        <v/>
      </c>
      <c r="J678">
        <f>IF(A678="","",MAX(0,H678-I678))</f>
        <v/>
      </c>
      <c r="K678">
        <f>IF(A678="","",IF(J678&gt;0,"SHORTAGE","READY TO RESERVE"))</f>
        <v/>
      </c>
    </row>
    <row r="679">
      <c r="A679">
        <f>'Job Cards'!A52</f>
        <v/>
      </c>
      <c r="B679">
        <f>IF(A679="","",'Job Cards'!B52)</f>
        <v/>
      </c>
      <c r="C679">
        <f>IF(A679="","",'Job Cards'!D52)</f>
        <v/>
      </c>
      <c r="D679">
        <f>IF(A679="","",'BOM Mapping'!A7)</f>
        <v/>
      </c>
      <c r="E679">
        <f>IF(A679="","",IF(C679="Longitude",'BOM Mapping'!C7,IF(C679="Latitude",'BOM Mapping'!D7,IF(C679="Altitude",'BOM Mapping'!E7,""))))</f>
        <v/>
      </c>
      <c r="F679">
        <f>IF(A679="","",'BOM Mapping'!F7)</f>
        <v/>
      </c>
      <c r="G679">
        <f>IF(A679="","",'Job Cards'!E52)</f>
        <v/>
      </c>
      <c r="H679">
        <f>IF(A679="","",F679*G679)</f>
        <v/>
      </c>
      <c r="I679">
        <f>IF(E679="","",IFERROR(VLOOKUP(E679,'Master Inventory'!$A$4:$J$69,10,FALSE),0))</f>
        <v/>
      </c>
      <c r="J679">
        <f>IF(A679="","",MAX(0,H679-I679))</f>
        <v/>
      </c>
      <c r="K679">
        <f>IF(A679="","",IF(J679&gt;0,"SHORTAGE","READY TO RESERVE"))</f>
        <v/>
      </c>
    </row>
    <row r="680">
      <c r="A680">
        <f>'Job Cards'!A52</f>
        <v/>
      </c>
      <c r="B680">
        <f>IF(A680="","",'Job Cards'!B52)</f>
        <v/>
      </c>
      <c r="C680">
        <f>IF(A680="","",'Job Cards'!D52)</f>
        <v/>
      </c>
      <c r="D680">
        <f>IF(A680="","",'BOM Mapping'!A8)</f>
        <v/>
      </c>
      <c r="E680">
        <f>IF(A680="","",IF(C680="Longitude",'BOM Mapping'!C8,IF(C680="Latitude",'BOM Mapping'!D8,IF(C680="Altitude",'BOM Mapping'!E8,""))))</f>
        <v/>
      </c>
      <c r="F680">
        <f>IF(A680="","",'BOM Mapping'!F8)</f>
        <v/>
      </c>
      <c r="G680">
        <f>IF(A680="","",'Job Cards'!E52)</f>
        <v/>
      </c>
      <c r="H680">
        <f>IF(A680="","",F680*G680)</f>
        <v/>
      </c>
      <c r="I680">
        <f>IF(E680="","",IFERROR(VLOOKUP(E680,'Master Inventory'!$A$4:$J$69,10,FALSE),0))</f>
        <v/>
      </c>
      <c r="J680">
        <f>IF(A680="","",MAX(0,H680-I680))</f>
        <v/>
      </c>
      <c r="K680">
        <f>IF(A680="","",IF(J680&gt;0,"SHORTAGE","READY TO RESERVE"))</f>
        <v/>
      </c>
    </row>
    <row r="681">
      <c r="A681">
        <f>'Job Cards'!A52</f>
        <v/>
      </c>
      <c r="B681">
        <f>IF(A681="","",'Job Cards'!B52)</f>
        <v/>
      </c>
      <c r="C681">
        <f>IF(A681="","",'Job Cards'!D52)</f>
        <v/>
      </c>
      <c r="D681">
        <f>IF(A681="","",'BOM Mapping'!A9)</f>
        <v/>
      </c>
      <c r="E681">
        <f>IF(A681="","",IF(C681="Longitude",'BOM Mapping'!C9,IF(C681="Latitude",'BOM Mapping'!D9,IF(C681="Altitude",'BOM Mapping'!E9,""))))</f>
        <v/>
      </c>
      <c r="F681">
        <f>IF(A681="","",'BOM Mapping'!F9)</f>
        <v/>
      </c>
      <c r="G681">
        <f>IF(A681="","",'Job Cards'!E52)</f>
        <v/>
      </c>
      <c r="H681">
        <f>IF(A681="","",F681*G681)</f>
        <v/>
      </c>
      <c r="I681">
        <f>IF(E681="","",IFERROR(VLOOKUP(E681,'Master Inventory'!$A$4:$J$69,10,FALSE),0))</f>
        <v/>
      </c>
      <c r="J681">
        <f>IF(A681="","",MAX(0,H681-I681))</f>
        <v/>
      </c>
      <c r="K681">
        <f>IF(A681="","",IF(J681&gt;0,"SHORTAGE","READY TO RESERVE"))</f>
        <v/>
      </c>
    </row>
    <row r="682">
      <c r="A682">
        <f>'Job Cards'!A52</f>
        <v/>
      </c>
      <c r="B682">
        <f>IF(A682="","",'Job Cards'!B52)</f>
        <v/>
      </c>
      <c r="C682">
        <f>IF(A682="","",'Job Cards'!D52)</f>
        <v/>
      </c>
      <c r="D682">
        <f>IF(A682="","",'BOM Mapping'!A10)</f>
        <v/>
      </c>
      <c r="E682">
        <f>IF(A682="","",IF(C682="Longitude",'BOM Mapping'!C10,IF(C682="Latitude",'BOM Mapping'!D10,IF(C682="Altitude",'BOM Mapping'!E10,""))))</f>
        <v/>
      </c>
      <c r="F682">
        <f>IF(A682="","",'BOM Mapping'!F10)</f>
        <v/>
      </c>
      <c r="G682">
        <f>IF(A682="","",'Job Cards'!E52)</f>
        <v/>
      </c>
      <c r="H682">
        <f>IF(A682="","",F682*G682)</f>
        <v/>
      </c>
      <c r="I682">
        <f>IF(E682="","",IFERROR(VLOOKUP(E682,'Master Inventory'!$A$4:$J$69,10,FALSE),0))</f>
        <v/>
      </c>
      <c r="J682">
        <f>IF(A682="","",MAX(0,H682-I682))</f>
        <v/>
      </c>
      <c r="K682">
        <f>IF(A682="","",IF(J682&gt;0,"SHORTAGE","READY TO RESERVE"))</f>
        <v/>
      </c>
    </row>
    <row r="683">
      <c r="A683">
        <f>'Job Cards'!A52</f>
        <v/>
      </c>
      <c r="B683">
        <f>IF(A683="","",'Job Cards'!B52)</f>
        <v/>
      </c>
      <c r="C683">
        <f>IF(A683="","",'Job Cards'!D52)</f>
        <v/>
      </c>
      <c r="D683">
        <f>IF(A683="","",'BOM Mapping'!A11)</f>
        <v/>
      </c>
      <c r="E683">
        <f>IF(A683="","",IF(C683="Longitude",'BOM Mapping'!C11,IF(C683="Latitude",'BOM Mapping'!D11,IF(C683="Altitude",'BOM Mapping'!E11,""))))</f>
        <v/>
      </c>
      <c r="F683">
        <f>IF(A683="","",'BOM Mapping'!F11)</f>
        <v/>
      </c>
      <c r="G683">
        <f>IF(A683="","",'Job Cards'!E52)</f>
        <v/>
      </c>
      <c r="H683">
        <f>IF(A683="","",F683*G683)</f>
        <v/>
      </c>
      <c r="I683">
        <f>IF(E683="","",IFERROR(VLOOKUP(E683,'Master Inventory'!$A$4:$J$69,10,FALSE),0))</f>
        <v/>
      </c>
      <c r="J683">
        <f>IF(A683="","",MAX(0,H683-I683))</f>
        <v/>
      </c>
      <c r="K683">
        <f>IF(A683="","",IF(J683&gt;0,"SHORTAGE","READY TO RESERVE"))</f>
        <v/>
      </c>
    </row>
    <row r="684">
      <c r="A684">
        <f>'Job Cards'!A52</f>
        <v/>
      </c>
      <c r="B684">
        <f>IF(A684="","",'Job Cards'!B52)</f>
        <v/>
      </c>
      <c r="C684">
        <f>IF(A684="","",'Job Cards'!D52)</f>
        <v/>
      </c>
      <c r="D684">
        <f>IF(A684="","",'BOM Mapping'!A12)</f>
        <v/>
      </c>
      <c r="E684">
        <f>IF(A684="","",IF(C684="Longitude",'BOM Mapping'!C12,IF(C684="Latitude",'BOM Mapping'!D12,IF(C684="Altitude",'BOM Mapping'!E12,""))))</f>
        <v/>
      </c>
      <c r="F684">
        <f>IF(A684="","",'BOM Mapping'!F12)</f>
        <v/>
      </c>
      <c r="G684">
        <f>IF(A684="","",'Job Cards'!E52)</f>
        <v/>
      </c>
      <c r="H684">
        <f>IF(A684="","",F684*G684)</f>
        <v/>
      </c>
      <c r="I684">
        <f>IF(E684="","",IFERROR(VLOOKUP(E684,'Master Inventory'!$A$4:$J$69,10,FALSE),0))</f>
        <v/>
      </c>
      <c r="J684">
        <f>IF(A684="","",MAX(0,H684-I684))</f>
        <v/>
      </c>
      <c r="K684">
        <f>IF(A684="","",IF(J684&gt;0,"SHORTAGE","READY TO RESERVE"))</f>
        <v/>
      </c>
    </row>
    <row r="685">
      <c r="A685">
        <f>'Job Cards'!A52</f>
        <v/>
      </c>
      <c r="B685">
        <f>IF(A685="","",'Job Cards'!B52)</f>
        <v/>
      </c>
      <c r="C685">
        <f>IF(A685="","",'Job Cards'!D52)</f>
        <v/>
      </c>
      <c r="D685">
        <f>IF(A685="","",'BOM Mapping'!A13)</f>
        <v/>
      </c>
      <c r="E685">
        <f>IF(A685="","",IF(C685="Longitude",'BOM Mapping'!C13,IF(C685="Latitude",'BOM Mapping'!D13,IF(C685="Altitude",'BOM Mapping'!E13,""))))</f>
        <v/>
      </c>
      <c r="F685">
        <f>IF(A685="","",'BOM Mapping'!F13)</f>
        <v/>
      </c>
      <c r="G685">
        <f>IF(A685="","",'Job Cards'!E52)</f>
        <v/>
      </c>
      <c r="H685">
        <f>IF(A685="","",F685*G685)</f>
        <v/>
      </c>
      <c r="I685">
        <f>IF(E685="","",IFERROR(VLOOKUP(E685,'Master Inventory'!$A$4:$J$69,10,FALSE),0))</f>
        <v/>
      </c>
      <c r="J685">
        <f>IF(A685="","",MAX(0,H685-I685))</f>
        <v/>
      </c>
      <c r="K685">
        <f>IF(A685="","",IF(J685&gt;0,"SHORTAGE","READY TO RESERVE"))</f>
        <v/>
      </c>
    </row>
    <row r="686">
      <c r="A686">
        <f>'Job Cards'!A52</f>
        <v/>
      </c>
      <c r="B686">
        <f>IF(A686="","",'Job Cards'!B52)</f>
        <v/>
      </c>
      <c r="C686">
        <f>IF(A686="","",'Job Cards'!D52)</f>
        <v/>
      </c>
      <c r="D686">
        <f>IF(A686="","",'BOM Mapping'!A14)</f>
        <v/>
      </c>
      <c r="E686">
        <f>IF(A686="","",IF(C686="Longitude",'BOM Mapping'!C14,IF(C686="Latitude",'BOM Mapping'!D14,IF(C686="Altitude",'BOM Mapping'!E14,""))))</f>
        <v/>
      </c>
      <c r="F686">
        <f>IF(A686="","",'BOM Mapping'!F14)</f>
        <v/>
      </c>
      <c r="G686">
        <f>IF(A686="","",'Job Cards'!E52)</f>
        <v/>
      </c>
      <c r="H686">
        <f>IF(A686="","",F686*G686)</f>
        <v/>
      </c>
      <c r="I686">
        <f>IF(E686="","",IFERROR(VLOOKUP(E686,'Master Inventory'!$A$4:$J$69,10,FALSE),0))</f>
        <v/>
      </c>
      <c r="J686">
        <f>IF(A686="","",MAX(0,H686-I686))</f>
        <v/>
      </c>
      <c r="K686">
        <f>IF(A686="","",IF(J686&gt;0,"SHORTAGE","READY TO RESERVE"))</f>
        <v/>
      </c>
    </row>
    <row r="687">
      <c r="A687">
        <f>'Job Cards'!A52</f>
        <v/>
      </c>
      <c r="B687">
        <f>IF(A687="","",'Job Cards'!B52)</f>
        <v/>
      </c>
      <c r="C687">
        <f>IF(A687="","",'Job Cards'!D52)</f>
        <v/>
      </c>
      <c r="D687">
        <f>IF(A687="","",'BOM Mapping'!A15)</f>
        <v/>
      </c>
      <c r="E687">
        <f>IF(A687="","",IF(C687="Longitude",'BOM Mapping'!C15,IF(C687="Latitude",'BOM Mapping'!D15,IF(C687="Altitude",'BOM Mapping'!E15,""))))</f>
        <v/>
      </c>
      <c r="F687">
        <f>IF(A687="","",'BOM Mapping'!F15)</f>
        <v/>
      </c>
      <c r="G687">
        <f>IF(A687="","",'Job Cards'!E52)</f>
        <v/>
      </c>
      <c r="H687">
        <f>IF(A687="","",F687*G687)</f>
        <v/>
      </c>
      <c r="I687">
        <f>IF(E687="","",IFERROR(VLOOKUP(E687,'Master Inventory'!$A$4:$J$69,10,FALSE),0))</f>
        <v/>
      </c>
      <c r="J687">
        <f>IF(A687="","",MAX(0,H687-I687))</f>
        <v/>
      </c>
      <c r="K687">
        <f>IF(A687="","",IF(J687&gt;0,"SHORTAGE","READY TO RESERVE"))</f>
        <v/>
      </c>
    </row>
    <row r="688">
      <c r="A688">
        <f>'Job Cards'!A52</f>
        <v/>
      </c>
      <c r="B688">
        <f>IF(A688="","",'Job Cards'!B52)</f>
        <v/>
      </c>
      <c r="C688">
        <f>IF(A688="","",'Job Cards'!D52)</f>
        <v/>
      </c>
      <c r="D688">
        <f>IF(A688="","",'BOM Mapping'!A16)</f>
        <v/>
      </c>
      <c r="E688">
        <f>IF(A688="","",IF(C688="Longitude",'BOM Mapping'!C16,IF(C688="Latitude",'BOM Mapping'!D16,IF(C688="Altitude",'BOM Mapping'!E16,""))))</f>
        <v/>
      </c>
      <c r="F688">
        <f>IF(A688="","",'BOM Mapping'!F16)</f>
        <v/>
      </c>
      <c r="G688">
        <f>IF(A688="","",'Job Cards'!E52)</f>
        <v/>
      </c>
      <c r="H688">
        <f>IF(A688="","",F688*G688)</f>
        <v/>
      </c>
      <c r="I688">
        <f>IF(E688="","",IFERROR(VLOOKUP(E688,'Master Inventory'!$A$4:$J$69,10,FALSE),0))</f>
        <v/>
      </c>
      <c r="J688">
        <f>IF(A688="","",MAX(0,H688-I688))</f>
        <v/>
      </c>
      <c r="K688">
        <f>IF(A688="","",IF(J688&gt;0,"SHORTAGE","READY TO RESERVE"))</f>
        <v/>
      </c>
    </row>
    <row r="689">
      <c r="A689">
        <f>'Job Cards'!A52</f>
        <v/>
      </c>
      <c r="B689">
        <f>IF(A689="","",'Job Cards'!B52)</f>
        <v/>
      </c>
      <c r="C689">
        <f>IF(A689="","",'Job Cards'!D52)</f>
        <v/>
      </c>
      <c r="D689">
        <f>IF(A689="","",'BOM Mapping'!A17)</f>
        <v/>
      </c>
      <c r="E689">
        <f>IF(A689="","",IF(C689="Longitude",'BOM Mapping'!C17,IF(C689="Latitude",'BOM Mapping'!D17,IF(C689="Altitude",'BOM Mapping'!E17,""))))</f>
        <v/>
      </c>
      <c r="F689">
        <f>IF(A689="","",'BOM Mapping'!F17)</f>
        <v/>
      </c>
      <c r="G689">
        <f>IF(A689="","",'Job Cards'!E52)</f>
        <v/>
      </c>
      <c r="H689">
        <f>IF(A689="","",F689*G689)</f>
        <v/>
      </c>
      <c r="I689">
        <f>IF(E689="","",IFERROR(VLOOKUP(E689,'Master Inventory'!$A$4:$J$69,10,FALSE),0))</f>
        <v/>
      </c>
      <c r="J689">
        <f>IF(A689="","",MAX(0,H689-I689))</f>
        <v/>
      </c>
      <c r="K689">
        <f>IF(A689="","",IF(J689&gt;0,"SHORTAGE","READY TO RESERVE"))</f>
        <v/>
      </c>
    </row>
    <row r="690">
      <c r="A690">
        <f>'Job Cards'!A53</f>
        <v/>
      </c>
      <c r="B690">
        <f>IF(A690="","",'Job Cards'!B53)</f>
        <v/>
      </c>
      <c r="C690">
        <f>IF(A690="","",'Job Cards'!D53)</f>
        <v/>
      </c>
      <c r="D690">
        <f>IF(A690="","",'BOM Mapping'!A4)</f>
        <v/>
      </c>
      <c r="E690">
        <f>IF(A690="","",IF(C690="Longitude",'BOM Mapping'!C4,IF(C690="Latitude",'BOM Mapping'!D4,IF(C690="Altitude",'BOM Mapping'!E4,""))))</f>
        <v/>
      </c>
      <c r="F690">
        <f>IF(A690="","",'BOM Mapping'!F4)</f>
        <v/>
      </c>
      <c r="G690">
        <f>IF(A690="","",'Job Cards'!E53)</f>
        <v/>
      </c>
      <c r="H690">
        <f>IF(A690="","",F690*G690)</f>
        <v/>
      </c>
      <c r="I690">
        <f>IF(E690="","",IFERROR(VLOOKUP(E690,'Master Inventory'!$A$4:$J$69,10,FALSE),0))</f>
        <v/>
      </c>
      <c r="J690">
        <f>IF(A690="","",MAX(0,H690-I690))</f>
        <v/>
      </c>
      <c r="K690">
        <f>IF(A690="","",IF(J690&gt;0,"SHORTAGE","READY TO RESERVE"))</f>
        <v/>
      </c>
    </row>
    <row r="691">
      <c r="A691">
        <f>'Job Cards'!A53</f>
        <v/>
      </c>
      <c r="B691">
        <f>IF(A691="","",'Job Cards'!B53)</f>
        <v/>
      </c>
      <c r="C691">
        <f>IF(A691="","",'Job Cards'!D53)</f>
        <v/>
      </c>
      <c r="D691">
        <f>IF(A691="","",'BOM Mapping'!A5)</f>
        <v/>
      </c>
      <c r="E691">
        <f>IF(A691="","",IF(C691="Longitude",'BOM Mapping'!C5,IF(C691="Latitude",'BOM Mapping'!D5,IF(C691="Altitude",'BOM Mapping'!E5,""))))</f>
        <v/>
      </c>
      <c r="F691">
        <f>IF(A691="","",'BOM Mapping'!F5)</f>
        <v/>
      </c>
      <c r="G691">
        <f>IF(A691="","",'Job Cards'!E53)</f>
        <v/>
      </c>
      <c r="H691">
        <f>IF(A691="","",F691*G691)</f>
        <v/>
      </c>
      <c r="I691">
        <f>IF(E691="","",IFERROR(VLOOKUP(E691,'Master Inventory'!$A$4:$J$69,10,FALSE),0))</f>
        <v/>
      </c>
      <c r="J691">
        <f>IF(A691="","",MAX(0,H691-I691))</f>
        <v/>
      </c>
      <c r="K691">
        <f>IF(A691="","",IF(J691&gt;0,"SHORTAGE","READY TO RESERVE"))</f>
        <v/>
      </c>
    </row>
    <row r="692">
      <c r="A692">
        <f>'Job Cards'!A53</f>
        <v/>
      </c>
      <c r="B692">
        <f>IF(A692="","",'Job Cards'!B53)</f>
        <v/>
      </c>
      <c r="C692">
        <f>IF(A692="","",'Job Cards'!D53)</f>
        <v/>
      </c>
      <c r="D692">
        <f>IF(A692="","",'BOM Mapping'!A6)</f>
        <v/>
      </c>
      <c r="E692">
        <f>IF(A692="","",IF(C692="Longitude",'BOM Mapping'!C6,IF(C692="Latitude",'BOM Mapping'!D6,IF(C692="Altitude",'BOM Mapping'!E6,""))))</f>
        <v/>
      </c>
      <c r="F692">
        <f>IF(A692="","",'BOM Mapping'!F6)</f>
        <v/>
      </c>
      <c r="G692">
        <f>IF(A692="","",'Job Cards'!E53)</f>
        <v/>
      </c>
      <c r="H692">
        <f>IF(A692="","",F692*G692)</f>
        <v/>
      </c>
      <c r="I692">
        <f>IF(E692="","",IFERROR(VLOOKUP(E692,'Master Inventory'!$A$4:$J$69,10,FALSE),0))</f>
        <v/>
      </c>
      <c r="J692">
        <f>IF(A692="","",MAX(0,H692-I692))</f>
        <v/>
      </c>
      <c r="K692">
        <f>IF(A692="","",IF(J692&gt;0,"SHORTAGE","READY TO RESERVE"))</f>
        <v/>
      </c>
    </row>
    <row r="693">
      <c r="A693">
        <f>'Job Cards'!A53</f>
        <v/>
      </c>
      <c r="B693">
        <f>IF(A693="","",'Job Cards'!B53)</f>
        <v/>
      </c>
      <c r="C693">
        <f>IF(A693="","",'Job Cards'!D53)</f>
        <v/>
      </c>
      <c r="D693">
        <f>IF(A693="","",'BOM Mapping'!A7)</f>
        <v/>
      </c>
      <c r="E693">
        <f>IF(A693="","",IF(C693="Longitude",'BOM Mapping'!C7,IF(C693="Latitude",'BOM Mapping'!D7,IF(C693="Altitude",'BOM Mapping'!E7,""))))</f>
        <v/>
      </c>
      <c r="F693">
        <f>IF(A693="","",'BOM Mapping'!F7)</f>
        <v/>
      </c>
      <c r="G693">
        <f>IF(A693="","",'Job Cards'!E53)</f>
        <v/>
      </c>
      <c r="H693">
        <f>IF(A693="","",F693*G693)</f>
        <v/>
      </c>
      <c r="I693">
        <f>IF(E693="","",IFERROR(VLOOKUP(E693,'Master Inventory'!$A$4:$J$69,10,FALSE),0))</f>
        <v/>
      </c>
      <c r="J693">
        <f>IF(A693="","",MAX(0,H693-I693))</f>
        <v/>
      </c>
      <c r="K693">
        <f>IF(A693="","",IF(J693&gt;0,"SHORTAGE","READY TO RESERVE"))</f>
        <v/>
      </c>
    </row>
    <row r="694">
      <c r="A694">
        <f>'Job Cards'!A53</f>
        <v/>
      </c>
      <c r="B694">
        <f>IF(A694="","",'Job Cards'!B53)</f>
        <v/>
      </c>
      <c r="C694">
        <f>IF(A694="","",'Job Cards'!D53)</f>
        <v/>
      </c>
      <c r="D694">
        <f>IF(A694="","",'BOM Mapping'!A8)</f>
        <v/>
      </c>
      <c r="E694">
        <f>IF(A694="","",IF(C694="Longitude",'BOM Mapping'!C8,IF(C694="Latitude",'BOM Mapping'!D8,IF(C694="Altitude",'BOM Mapping'!E8,""))))</f>
        <v/>
      </c>
      <c r="F694">
        <f>IF(A694="","",'BOM Mapping'!F8)</f>
        <v/>
      </c>
      <c r="G694">
        <f>IF(A694="","",'Job Cards'!E53)</f>
        <v/>
      </c>
      <c r="H694">
        <f>IF(A694="","",F694*G694)</f>
        <v/>
      </c>
      <c r="I694">
        <f>IF(E694="","",IFERROR(VLOOKUP(E694,'Master Inventory'!$A$4:$J$69,10,FALSE),0))</f>
        <v/>
      </c>
      <c r="J694">
        <f>IF(A694="","",MAX(0,H694-I694))</f>
        <v/>
      </c>
      <c r="K694">
        <f>IF(A694="","",IF(J694&gt;0,"SHORTAGE","READY TO RESERVE"))</f>
        <v/>
      </c>
    </row>
    <row r="695">
      <c r="A695">
        <f>'Job Cards'!A53</f>
        <v/>
      </c>
      <c r="B695">
        <f>IF(A695="","",'Job Cards'!B53)</f>
        <v/>
      </c>
      <c r="C695">
        <f>IF(A695="","",'Job Cards'!D53)</f>
        <v/>
      </c>
      <c r="D695">
        <f>IF(A695="","",'BOM Mapping'!A9)</f>
        <v/>
      </c>
      <c r="E695">
        <f>IF(A695="","",IF(C695="Longitude",'BOM Mapping'!C9,IF(C695="Latitude",'BOM Mapping'!D9,IF(C695="Altitude",'BOM Mapping'!E9,""))))</f>
        <v/>
      </c>
      <c r="F695">
        <f>IF(A695="","",'BOM Mapping'!F9)</f>
        <v/>
      </c>
      <c r="G695">
        <f>IF(A695="","",'Job Cards'!E53)</f>
        <v/>
      </c>
      <c r="H695">
        <f>IF(A695="","",F695*G695)</f>
        <v/>
      </c>
      <c r="I695">
        <f>IF(E695="","",IFERROR(VLOOKUP(E695,'Master Inventory'!$A$4:$J$69,10,FALSE),0))</f>
        <v/>
      </c>
      <c r="J695">
        <f>IF(A695="","",MAX(0,H695-I695))</f>
        <v/>
      </c>
      <c r="K695">
        <f>IF(A695="","",IF(J695&gt;0,"SHORTAGE","READY TO RESERVE"))</f>
        <v/>
      </c>
    </row>
    <row r="696">
      <c r="A696">
        <f>'Job Cards'!A53</f>
        <v/>
      </c>
      <c r="B696">
        <f>IF(A696="","",'Job Cards'!B53)</f>
        <v/>
      </c>
      <c r="C696">
        <f>IF(A696="","",'Job Cards'!D53)</f>
        <v/>
      </c>
      <c r="D696">
        <f>IF(A696="","",'BOM Mapping'!A10)</f>
        <v/>
      </c>
      <c r="E696">
        <f>IF(A696="","",IF(C696="Longitude",'BOM Mapping'!C10,IF(C696="Latitude",'BOM Mapping'!D10,IF(C696="Altitude",'BOM Mapping'!E10,""))))</f>
        <v/>
      </c>
      <c r="F696">
        <f>IF(A696="","",'BOM Mapping'!F10)</f>
        <v/>
      </c>
      <c r="G696">
        <f>IF(A696="","",'Job Cards'!E53)</f>
        <v/>
      </c>
      <c r="H696">
        <f>IF(A696="","",F696*G696)</f>
        <v/>
      </c>
      <c r="I696">
        <f>IF(E696="","",IFERROR(VLOOKUP(E696,'Master Inventory'!$A$4:$J$69,10,FALSE),0))</f>
        <v/>
      </c>
      <c r="J696">
        <f>IF(A696="","",MAX(0,H696-I696))</f>
        <v/>
      </c>
      <c r="K696">
        <f>IF(A696="","",IF(J696&gt;0,"SHORTAGE","READY TO RESERVE"))</f>
        <v/>
      </c>
    </row>
    <row r="697">
      <c r="A697">
        <f>'Job Cards'!A53</f>
        <v/>
      </c>
      <c r="B697">
        <f>IF(A697="","",'Job Cards'!B53)</f>
        <v/>
      </c>
      <c r="C697">
        <f>IF(A697="","",'Job Cards'!D53)</f>
        <v/>
      </c>
      <c r="D697">
        <f>IF(A697="","",'BOM Mapping'!A11)</f>
        <v/>
      </c>
      <c r="E697">
        <f>IF(A697="","",IF(C697="Longitude",'BOM Mapping'!C11,IF(C697="Latitude",'BOM Mapping'!D11,IF(C697="Altitude",'BOM Mapping'!E11,""))))</f>
        <v/>
      </c>
      <c r="F697">
        <f>IF(A697="","",'BOM Mapping'!F11)</f>
        <v/>
      </c>
      <c r="G697">
        <f>IF(A697="","",'Job Cards'!E53)</f>
        <v/>
      </c>
      <c r="H697">
        <f>IF(A697="","",F697*G697)</f>
        <v/>
      </c>
      <c r="I697">
        <f>IF(E697="","",IFERROR(VLOOKUP(E697,'Master Inventory'!$A$4:$J$69,10,FALSE),0))</f>
        <v/>
      </c>
      <c r="J697">
        <f>IF(A697="","",MAX(0,H697-I697))</f>
        <v/>
      </c>
      <c r="K697">
        <f>IF(A697="","",IF(J697&gt;0,"SHORTAGE","READY TO RESERVE"))</f>
        <v/>
      </c>
    </row>
    <row r="698">
      <c r="A698">
        <f>'Job Cards'!A53</f>
        <v/>
      </c>
      <c r="B698">
        <f>IF(A698="","",'Job Cards'!B53)</f>
        <v/>
      </c>
      <c r="C698">
        <f>IF(A698="","",'Job Cards'!D53)</f>
        <v/>
      </c>
      <c r="D698">
        <f>IF(A698="","",'BOM Mapping'!A12)</f>
        <v/>
      </c>
      <c r="E698">
        <f>IF(A698="","",IF(C698="Longitude",'BOM Mapping'!C12,IF(C698="Latitude",'BOM Mapping'!D12,IF(C698="Altitude",'BOM Mapping'!E12,""))))</f>
        <v/>
      </c>
      <c r="F698">
        <f>IF(A698="","",'BOM Mapping'!F12)</f>
        <v/>
      </c>
      <c r="G698">
        <f>IF(A698="","",'Job Cards'!E53)</f>
        <v/>
      </c>
      <c r="H698">
        <f>IF(A698="","",F698*G698)</f>
        <v/>
      </c>
      <c r="I698">
        <f>IF(E698="","",IFERROR(VLOOKUP(E698,'Master Inventory'!$A$4:$J$69,10,FALSE),0))</f>
        <v/>
      </c>
      <c r="J698">
        <f>IF(A698="","",MAX(0,H698-I698))</f>
        <v/>
      </c>
      <c r="K698">
        <f>IF(A698="","",IF(J698&gt;0,"SHORTAGE","READY TO RESERVE"))</f>
        <v/>
      </c>
    </row>
    <row r="699">
      <c r="A699">
        <f>'Job Cards'!A53</f>
        <v/>
      </c>
      <c r="B699">
        <f>IF(A699="","",'Job Cards'!B53)</f>
        <v/>
      </c>
      <c r="C699">
        <f>IF(A699="","",'Job Cards'!D53)</f>
        <v/>
      </c>
      <c r="D699">
        <f>IF(A699="","",'BOM Mapping'!A13)</f>
        <v/>
      </c>
      <c r="E699">
        <f>IF(A699="","",IF(C699="Longitude",'BOM Mapping'!C13,IF(C699="Latitude",'BOM Mapping'!D13,IF(C699="Altitude",'BOM Mapping'!E13,""))))</f>
        <v/>
      </c>
      <c r="F699">
        <f>IF(A699="","",'BOM Mapping'!F13)</f>
        <v/>
      </c>
      <c r="G699">
        <f>IF(A699="","",'Job Cards'!E53)</f>
        <v/>
      </c>
      <c r="H699">
        <f>IF(A699="","",F699*G699)</f>
        <v/>
      </c>
      <c r="I699">
        <f>IF(E699="","",IFERROR(VLOOKUP(E699,'Master Inventory'!$A$4:$J$69,10,FALSE),0))</f>
        <v/>
      </c>
      <c r="J699">
        <f>IF(A699="","",MAX(0,H699-I699))</f>
        <v/>
      </c>
      <c r="K699">
        <f>IF(A699="","",IF(J699&gt;0,"SHORTAGE","READY TO RESERVE"))</f>
        <v/>
      </c>
    </row>
    <row r="700">
      <c r="A700">
        <f>'Job Cards'!A53</f>
        <v/>
      </c>
      <c r="B700">
        <f>IF(A700="","",'Job Cards'!B53)</f>
        <v/>
      </c>
      <c r="C700">
        <f>IF(A700="","",'Job Cards'!D53)</f>
        <v/>
      </c>
      <c r="D700">
        <f>IF(A700="","",'BOM Mapping'!A14)</f>
        <v/>
      </c>
      <c r="E700">
        <f>IF(A700="","",IF(C700="Longitude",'BOM Mapping'!C14,IF(C700="Latitude",'BOM Mapping'!D14,IF(C700="Altitude",'BOM Mapping'!E14,""))))</f>
        <v/>
      </c>
      <c r="F700">
        <f>IF(A700="","",'BOM Mapping'!F14)</f>
        <v/>
      </c>
      <c r="G700">
        <f>IF(A700="","",'Job Cards'!E53)</f>
        <v/>
      </c>
      <c r="H700">
        <f>IF(A700="","",F700*G700)</f>
        <v/>
      </c>
      <c r="I700">
        <f>IF(E700="","",IFERROR(VLOOKUP(E700,'Master Inventory'!$A$4:$J$69,10,FALSE),0))</f>
        <v/>
      </c>
      <c r="J700">
        <f>IF(A700="","",MAX(0,H700-I700))</f>
        <v/>
      </c>
      <c r="K700">
        <f>IF(A700="","",IF(J700&gt;0,"SHORTAGE","READY TO RESERVE"))</f>
        <v/>
      </c>
    </row>
    <row r="701">
      <c r="A701">
        <f>'Job Cards'!A53</f>
        <v/>
      </c>
      <c r="B701">
        <f>IF(A701="","",'Job Cards'!B53)</f>
        <v/>
      </c>
      <c r="C701">
        <f>IF(A701="","",'Job Cards'!D53)</f>
        <v/>
      </c>
      <c r="D701">
        <f>IF(A701="","",'BOM Mapping'!A15)</f>
        <v/>
      </c>
      <c r="E701">
        <f>IF(A701="","",IF(C701="Longitude",'BOM Mapping'!C15,IF(C701="Latitude",'BOM Mapping'!D15,IF(C701="Altitude",'BOM Mapping'!E15,""))))</f>
        <v/>
      </c>
      <c r="F701">
        <f>IF(A701="","",'BOM Mapping'!F15)</f>
        <v/>
      </c>
      <c r="G701">
        <f>IF(A701="","",'Job Cards'!E53)</f>
        <v/>
      </c>
      <c r="H701">
        <f>IF(A701="","",F701*G701)</f>
        <v/>
      </c>
      <c r="I701">
        <f>IF(E701="","",IFERROR(VLOOKUP(E701,'Master Inventory'!$A$4:$J$69,10,FALSE),0))</f>
        <v/>
      </c>
      <c r="J701">
        <f>IF(A701="","",MAX(0,H701-I701))</f>
        <v/>
      </c>
      <c r="K701">
        <f>IF(A701="","",IF(J701&gt;0,"SHORTAGE","READY TO RESERVE"))</f>
        <v/>
      </c>
    </row>
    <row r="702">
      <c r="A702">
        <f>'Job Cards'!A53</f>
        <v/>
      </c>
      <c r="B702">
        <f>IF(A702="","",'Job Cards'!B53)</f>
        <v/>
      </c>
      <c r="C702">
        <f>IF(A702="","",'Job Cards'!D53)</f>
        <v/>
      </c>
      <c r="D702">
        <f>IF(A702="","",'BOM Mapping'!A16)</f>
        <v/>
      </c>
      <c r="E702">
        <f>IF(A702="","",IF(C702="Longitude",'BOM Mapping'!C16,IF(C702="Latitude",'BOM Mapping'!D16,IF(C702="Altitude",'BOM Mapping'!E16,""))))</f>
        <v/>
      </c>
      <c r="F702">
        <f>IF(A702="","",'BOM Mapping'!F16)</f>
        <v/>
      </c>
      <c r="G702">
        <f>IF(A702="","",'Job Cards'!E53)</f>
        <v/>
      </c>
      <c r="H702">
        <f>IF(A702="","",F702*G702)</f>
        <v/>
      </c>
      <c r="I702">
        <f>IF(E702="","",IFERROR(VLOOKUP(E702,'Master Inventory'!$A$4:$J$69,10,FALSE),0))</f>
        <v/>
      </c>
      <c r="J702">
        <f>IF(A702="","",MAX(0,H702-I702))</f>
        <v/>
      </c>
      <c r="K702">
        <f>IF(A702="","",IF(J702&gt;0,"SHORTAGE","READY TO RESERVE"))</f>
        <v/>
      </c>
    </row>
    <row r="703">
      <c r="A703">
        <f>'Job Cards'!A53</f>
        <v/>
      </c>
      <c r="B703">
        <f>IF(A703="","",'Job Cards'!B53)</f>
        <v/>
      </c>
      <c r="C703">
        <f>IF(A703="","",'Job Cards'!D53)</f>
        <v/>
      </c>
      <c r="D703">
        <f>IF(A703="","",'BOM Mapping'!A17)</f>
        <v/>
      </c>
      <c r="E703">
        <f>IF(A703="","",IF(C703="Longitude",'BOM Mapping'!C17,IF(C703="Latitude",'BOM Mapping'!D17,IF(C703="Altitude",'BOM Mapping'!E17,""))))</f>
        <v/>
      </c>
      <c r="F703">
        <f>IF(A703="","",'BOM Mapping'!F17)</f>
        <v/>
      </c>
      <c r="G703">
        <f>IF(A703="","",'Job Cards'!E53)</f>
        <v/>
      </c>
      <c r="H703">
        <f>IF(A703="","",F703*G703)</f>
        <v/>
      </c>
      <c r="I703">
        <f>IF(E703="","",IFERROR(VLOOKUP(E703,'Master Inventory'!$A$4:$J$69,10,FALSE),0))</f>
        <v/>
      </c>
      <c r="J703">
        <f>IF(A703="","",MAX(0,H703-I703))</f>
        <v/>
      </c>
      <c r="K703">
        <f>IF(A703="","",IF(J703&gt;0,"SHORTAGE","READY TO RESERVE"))</f>
        <v/>
      </c>
    </row>
  </sheetData>
  <mergeCells count="1">
    <mergeCell ref="A1:K1"/>
  </mergeCells>
  <conditionalFormatting sqref="J4:J703">
    <cfRule type="expression" priority="1" dxfId="1">
      <formula>J4&gt;0</formula>
    </cfRule>
  </conditionalFormatting>
  <conditionalFormatting sqref="K4:K703">
    <cfRule type="expression" priority="2" dxfId="3">
      <formula>K4="READY TO RESERVE"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3.80000019073486"/>
  <cols>
    <col width="17" customWidth="1" style="88" min="1" max="1"/>
    <col width="41.09765625" customWidth="1" style="88" min="2" max="2"/>
    <col width="56.3984375" customWidth="1" style="93" min="3" max="3"/>
    <col width="24" customWidth="1" style="93" min="4" max="4"/>
    <col width="18" customWidth="1" style="93" min="5" max="5"/>
    <col width="12" customWidth="1" style="93" min="6" max="6"/>
    <col width="28" customWidth="1" style="88" min="7" max="7"/>
    <col width="13.19921875" customWidth="1" style="93" min="8" max="8"/>
    <col width="45" customWidth="1" style="93" min="9" max="9"/>
    <col width="42" customWidth="1" style="93" min="10" max="10"/>
    <col width="46" customWidth="1" style="93" min="11" max="11"/>
    <col width="24" customWidth="1" style="88" min="12" max="12"/>
  </cols>
  <sheetData>
    <row r="1" ht="19.20000076293945" customHeight="1" s="88">
      <c r="A1" s="246" t="inlineStr">
        <is>
          <t>VYNDI Repository Ledger Census · Authority / Workbook Coverage Register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</row>
    <row r="2">
      <c r="A2" t="inlineStr">
        <is>
          <t>Purpose: distinguish canonical operational/accounting truth from planning models, control surfaces and legacy/duplicate structures before importing data into Excel.</t>
        </is>
      </c>
    </row>
    <row r="4">
      <c r="A4" s="76" t="inlineStr">
        <is>
          <t>Domain</t>
        </is>
      </c>
      <c r="B4" s="76" t="inlineStr">
        <is>
          <t>Ledger / Object</t>
        </is>
      </c>
      <c r="C4" s="61" t="inlineStr">
        <is>
          <t>Repository Source</t>
        </is>
      </c>
      <c r="D4" s="61" t="inlineStr">
        <is>
          <t>Authority Class</t>
        </is>
      </c>
      <c r="E4" s="61" t="inlineStr">
        <is>
          <t>Truth Type</t>
        </is>
      </c>
      <c r="F4" s="61" t="inlineStr">
        <is>
          <t>Canonical?</t>
        </is>
      </c>
      <c r="G4" s="76" t="inlineStr">
        <is>
          <t>Workbook Sheet</t>
        </is>
      </c>
      <c r="H4" s="61" t="inlineStr">
        <is>
          <t>Imported?</t>
        </is>
      </c>
      <c r="I4" s="61" t="inlineStr">
        <is>
          <t>Key Fields / Logic</t>
        </is>
      </c>
      <c r="J4" s="61" t="inlineStr">
        <is>
          <t>Residual Gap</t>
        </is>
      </c>
      <c r="K4" s="61" t="inlineStr">
        <is>
          <t>Recommended Treatment</t>
        </is>
      </c>
      <c r="L4" s="76" t="inlineStr">
        <is>
          <t>Evidence</t>
        </is>
      </c>
    </row>
    <row r="5" ht="27.60000038146973" customHeight="1" s="88">
      <c r="A5" t="inlineStr">
        <is>
          <t>Inventory</t>
        </is>
      </c>
      <c r="B5" t="inlineStr">
        <is>
          <t>Master inventory item / lot / balance</t>
        </is>
      </c>
      <c r="C5" s="93" t="inlineStr">
        <is>
          <t>src/lib/master-inventory.ts + migrations/0021,0024</t>
        </is>
      </c>
      <c r="D5" s="93" t="inlineStr">
        <is>
          <t>Operational authority</t>
        </is>
      </c>
      <c r="E5" s="93" t="inlineStr">
        <is>
          <t>Actual</t>
        </is>
      </c>
      <c r="F5" s="93" t="inlineStr">
        <is>
          <t>YES</t>
        </is>
      </c>
      <c r="G5" t="inlineStr">
        <is>
          <t>Master Inventory / Inventory Movements</t>
        </is>
      </c>
      <c r="H5" s="93" t="inlineStr">
        <is>
          <t>YES</t>
        </is>
      </c>
      <c r="I5" s="93" t="inlineStr">
        <is>
          <t>5 ledgers: components, raw-materials, tooling, quality, stores-tools; lots, MSL, planned use, FIFO, ATP</t>
        </is>
      </c>
      <c r="J5" s="93" t="inlineStr">
        <is>
          <t>Live DB balances not pulled into workbook</t>
        </is>
      </c>
      <c r="K5" s="93" t="inlineStr">
        <is>
          <t>Keep canonical; workbook mirrors structure, not live database</t>
        </is>
      </c>
      <c r="L5" t="inlineStr">
        <is>
          <t>Repo code/migrations</t>
        </is>
      </c>
    </row>
    <row r="6" ht="27.60000038146973" customHeight="1" s="88">
      <c r="A6" t="inlineStr">
        <is>
          <t>Inventory</t>
        </is>
      </c>
      <c r="B6" t="inlineStr">
        <is>
          <t>Legacy EPR inventory ledger</t>
        </is>
      </c>
      <c r="C6" s="93" t="inlineStr">
        <is>
          <t>migrations/006_epr_inventory_ledger.sql</t>
        </is>
      </c>
      <c r="D6" s="93" t="inlineStr">
        <is>
          <t>Legacy/compatibility</t>
        </is>
      </c>
      <c r="E6" s="93" t="inlineStr">
        <is>
          <t>Actual</t>
        </is>
      </c>
      <c r="F6" s="93" t="inlineStr">
        <is>
          <t>NO</t>
        </is>
      </c>
      <c r="G6" t="inlineStr">
        <is>
          <t>None</t>
        </is>
      </c>
      <c r="H6" s="93" t="inlineStr">
        <is>
          <t>NO</t>
        </is>
      </c>
      <c r="I6" s="93" t="inlineStr">
        <is>
          <t>Earlier movement ledger structure</t>
        </is>
      </c>
      <c r="J6" s="93" t="inlineStr">
        <is>
          <t>Competes with newer canonical inventory if treated independently</t>
        </is>
      </c>
      <c r="K6" s="93" t="inlineStr">
        <is>
          <t>Do not create parallel truth; retain only for migration/audit evidence</t>
        </is>
      </c>
      <c r="L6" t="inlineStr">
        <is>
          <t>Repo migration</t>
        </is>
      </c>
    </row>
    <row r="7" ht="27.60000038146973" customHeight="1" s="88">
      <c r="A7" t="inlineStr">
        <is>
          <t>Inventory</t>
        </is>
      </c>
      <c r="B7" t="inlineStr">
        <is>
          <t>Reservations / allocation</t>
        </is>
      </c>
      <c r="C7" s="93" t="inlineStr">
        <is>
          <t>migrations/0024,0028,0029 + src/lib/inventory-authority.ts</t>
        </is>
      </c>
      <c r="D7" s="93" t="inlineStr">
        <is>
          <t>Operational authority</t>
        </is>
      </c>
      <c r="E7" s="93" t="inlineStr">
        <is>
          <t>Committed</t>
        </is>
      </c>
      <c r="F7" s="93" t="inlineStr">
        <is>
          <t>YES</t>
        </is>
      </c>
      <c r="G7" t="inlineStr">
        <is>
          <t>Reservations / Job Material Req</t>
        </is>
      </c>
      <c r="H7" s="93" t="inlineStr">
        <is>
          <t>YES</t>
        </is>
      </c>
      <c r="I7" s="93" t="inlineStr">
        <is>
          <t>Active reservation reduces ATP; receipt auto-allocation; traveller/FIFO issue guards</t>
        </is>
      </c>
      <c r="J7" s="93" t="inlineStr">
        <is>
          <t>Excel cannot enforce database concurrency</t>
        </is>
      </c>
      <c r="K7" s="93" t="inlineStr">
        <is>
          <t>Mirror decision logic only; DB remains transactional authority</t>
        </is>
      </c>
      <c r="L7" t="inlineStr">
        <is>
          <t>Repo code/migrations</t>
        </is>
      </c>
    </row>
    <row r="8" ht="27.60000038146973" customHeight="1" s="88">
      <c r="A8" t="inlineStr">
        <is>
          <t>Procurement</t>
        </is>
      </c>
      <c r="B8" t="inlineStr">
        <is>
          <t>Planned + committed procurement</t>
        </is>
      </c>
      <c r="C8" s="93" t="inlineStr">
        <is>
          <t>src/lib/procurement-authority.ts</t>
        </is>
      </c>
      <c r="D8" s="93" t="inlineStr">
        <is>
          <t>Derived operational control</t>
        </is>
      </c>
      <c r="E8" s="93" t="inlineStr">
        <is>
          <t>Plan/Committed</t>
        </is>
      </c>
      <c r="F8" s="93" t="inlineStr">
        <is>
          <t>YES</t>
        </is>
      </c>
      <c r="G8" t="inlineStr">
        <is>
          <t>Procurement Plan</t>
        </is>
      </c>
      <c r="H8" s="93" t="inlineStr">
        <is>
          <t>YES</t>
        </is>
      </c>
      <c r="I8" s="93" t="inlineStr">
        <is>
          <t>planned demand, committed demand, ATP, open PO, projected opening/ending stock, MSL, net requirement</t>
        </is>
      </c>
      <c r="J8" s="93" t="inlineStr">
        <is>
          <t>Approved PO cash timing still manual in workbook</t>
        </is>
      </c>
      <c r="K8" s="93" t="inlineStr">
        <is>
          <t>Use as single procurement reconciliation surface</t>
        </is>
      </c>
      <c r="L8" t="inlineStr">
        <is>
          <t>Repo code</t>
        </is>
      </c>
    </row>
    <row r="9" ht="27.60000038146973" customHeight="1" s="88">
      <c r="A9" t="inlineStr">
        <is>
          <t>Procurement</t>
        </is>
      </c>
      <c r="B9" t="inlineStr">
        <is>
          <t>Open purchase orders</t>
        </is>
      </c>
      <c r="C9" s="93" t="inlineStr">
        <is>
          <t>migrations/0024_canonical_inventory.sql view vyndi_open_purchase_orders</t>
        </is>
      </c>
      <c r="D9" s="93" t="inlineStr">
        <is>
          <t>Operational authority</t>
        </is>
      </c>
      <c r="E9" s="93" t="inlineStr">
        <is>
          <t>Committed</t>
        </is>
      </c>
      <c r="F9" s="93" t="inlineStr">
        <is>
          <t>YES</t>
        </is>
      </c>
      <c r="G9" t="inlineStr">
        <is>
          <t>Procurement Plan open PO input</t>
        </is>
      </c>
      <c r="H9" s="93" t="inlineStr">
        <is>
          <t>PARTIAL</t>
        </is>
      </c>
      <c r="I9" s="93" t="inlineStr">
        <is>
          <t>scenario, requirement month, SKU, unit, quantities/status</t>
        </is>
      </c>
      <c r="J9" s="93" t="inlineStr">
        <is>
          <t>Workbook has no live PO transaction import</t>
        </is>
      </c>
      <c r="K9" s="93" t="inlineStr">
        <is>
          <t>Add live import only when connector/data export available</t>
        </is>
      </c>
      <c r="L9" t="inlineStr">
        <is>
          <t>Repo migration</t>
        </is>
      </c>
    </row>
    <row r="10" ht="27.60000038146973" customHeight="1" s="88">
      <c r="A10" t="inlineStr">
        <is>
          <t>Engineering</t>
        </is>
      </c>
      <c r="B10" t="inlineStr">
        <is>
          <t>Approved BOM → SKU mapping</t>
        </is>
      </c>
      <c r="C10" s="93" t="inlineStr">
        <is>
          <t>BOM control/mapping modules referenced by production-job-card + audit</t>
        </is>
      </c>
      <c r="D10" s="93" t="inlineStr">
        <is>
          <t>Engineering authority</t>
        </is>
      </c>
      <c r="E10" s="93" t="inlineStr">
        <is>
          <t>Controlled master</t>
        </is>
      </c>
      <c r="F10" s="93" t="inlineStr">
        <is>
          <t>YES</t>
        </is>
      </c>
      <c r="G10" t="inlineStr">
        <is>
          <t>BOM Mapping</t>
        </is>
      </c>
      <c r="H10" s="93" t="inlineStr">
        <is>
          <t>YES</t>
        </is>
      </c>
      <c r="I10" s="93" t="inlineStr">
        <is>
          <t>approved product variant, BOM revision, active line→SKU mapping</t>
        </is>
      </c>
      <c r="J10" s="93" t="inlineStr">
        <is>
          <t>Workbook uses planning default BOM-PLAN-1, not live released mappings</t>
        </is>
      </c>
      <c r="K10" s="93" t="inlineStr">
        <is>
          <t>Replace planning defaults with exported approved BOM master when available</t>
        </is>
      </c>
      <c r="L10" t="inlineStr">
        <is>
          <t>Repo audit/code</t>
        </is>
      </c>
    </row>
    <row r="11" ht="27.60000038146973" customHeight="1" s="88">
      <c r="A11" t="inlineStr">
        <is>
          <t>Commercial</t>
        </is>
      </c>
      <c r="B11" t="inlineStr">
        <is>
          <t>Sales orders / revisions</t>
        </is>
      </c>
      <c r="C11" s="93" t="inlineStr">
        <is>
          <t>server-backed vyndi_sales_orders / production job-card path</t>
        </is>
      </c>
      <c r="D11" s="93" t="inlineStr">
        <is>
          <t>Operational authority</t>
        </is>
      </c>
      <c r="E11" s="93" t="inlineStr">
        <is>
          <t>Committed</t>
        </is>
      </c>
      <c r="F11" s="93" t="inlineStr">
        <is>
          <t>YES</t>
        </is>
      </c>
      <c r="G11" t="inlineStr">
        <is>
          <t>Sales Orders</t>
        </is>
      </c>
      <c r="H11" s="93" t="inlineStr">
        <is>
          <t>STRUCTURE</t>
        </is>
      </c>
      <c r="I11" s="93" t="inlineStr">
        <is>
          <t>order revision, model/variant, qty, status, required date</t>
        </is>
      </c>
      <c r="J11" s="93" t="inlineStr">
        <is>
          <t>No live order rows imported</t>
        </is>
      </c>
      <c r="K11" s="93" t="inlineStr">
        <is>
          <t>Keep workbook input structure; never infer revenue from leads</t>
        </is>
      </c>
      <c r="L11" t="inlineStr">
        <is>
          <t>Repo audit/migrations</t>
        </is>
      </c>
    </row>
    <row r="12" ht="27.60000038146973" customHeight="1" s="88">
      <c r="A12" t="inlineStr">
        <is>
          <t>Production</t>
        </is>
      </c>
      <c r="B12" t="inlineStr">
        <is>
          <t>Production job cards</t>
        </is>
      </c>
      <c r="C12" s="93" t="inlineStr">
        <is>
          <t>src/lib/production-job-card.ts + migrations/0030</t>
        </is>
      </c>
      <c r="D12" s="93" t="inlineStr">
        <is>
          <t>Operational authority</t>
        </is>
      </c>
      <c r="E12" s="93" t="inlineStr">
        <is>
          <t>Committed/Actual</t>
        </is>
      </c>
      <c r="F12" s="93" t="inlineStr">
        <is>
          <t>YES</t>
        </is>
      </c>
      <c r="G12" t="inlineStr">
        <is>
          <t>Job Cards</t>
        </is>
      </c>
      <c r="H12" s="93" t="inlineStr">
        <is>
          <t>YES</t>
        </is>
      </c>
      <c r="I12" s="93" t="inlineStr">
        <is>
          <t>order revision, variant, BOM revision, material reservations</t>
        </is>
      </c>
      <c r="J12" s="93" t="inlineStr">
        <is>
          <t>Excel release is formula simulation, not server release transaction</t>
        </is>
      </c>
      <c r="K12" s="93" t="inlineStr">
        <is>
          <t>Use workbook for planning/control; DB is release authority</t>
        </is>
      </c>
      <c r="L12" t="inlineStr">
        <is>
          <t>Repo code/migration</t>
        </is>
      </c>
    </row>
    <row r="13" ht="27.60000038146973" customHeight="1" s="88">
      <c r="A13" t="inlineStr">
        <is>
          <t>Production</t>
        </is>
      </c>
      <c r="B13" t="inlineStr">
        <is>
          <t>Traveller / serial traceability</t>
        </is>
      </c>
      <c r="C13" s="93" t="inlineStr">
        <is>
          <t>production routes + migrations/0028,0030</t>
        </is>
      </c>
      <c r="D13" s="93" t="inlineStr">
        <is>
          <t>Operational authority</t>
        </is>
      </c>
      <c r="E13" s="93" t="inlineStr">
        <is>
          <t>Actual</t>
        </is>
      </c>
      <c r="F13" s="93" t="inlineStr">
        <is>
          <t>YES</t>
        </is>
      </c>
      <c r="G13" t="inlineStr">
        <is>
          <t>Traveller</t>
        </is>
      </c>
      <c r="H13" s="93" t="inlineStr">
        <is>
          <t>YES</t>
        </is>
      </c>
      <c r="I13" s="93" t="inlineStr">
        <is>
          <t>traveller release, serial linkage, reservation issue, quality gates</t>
        </is>
      </c>
      <c r="J13" s="93" t="inlineStr">
        <is>
          <t>Workbook traveller operations are planning template</t>
        </is>
      </c>
      <c r="K13" s="93" t="inlineStr">
        <is>
          <t>Do not claim production completion without actual sign-off/evidence</t>
        </is>
      </c>
      <c r="L13" t="inlineStr">
        <is>
          <t>Repo code/migrations</t>
        </is>
      </c>
    </row>
    <row r="14" ht="27.60000038146973" customHeight="1" s="88">
      <c r="A14" t="inlineStr">
        <is>
          <t>Finance</t>
        </is>
      </c>
      <c r="B14" t="inlineStr">
        <is>
          <t>36-month finance model</t>
        </is>
      </c>
      <c r="C14" s="93" t="inlineStr">
        <is>
          <t>src/lib/finance/model.ts</t>
        </is>
      </c>
      <c r="D14" s="93" t="inlineStr">
        <is>
          <t>Planning model</t>
        </is>
      </c>
      <c r="E14" s="93" t="inlineStr">
        <is>
          <t>Plan/Forecast</t>
        </is>
      </c>
      <c r="F14" s="93" t="inlineStr">
        <is>
          <t>YES (planning)</t>
        </is>
      </c>
      <c r="G14" t="inlineStr">
        <is>
          <t>Monthly Funding / Operating Costs</t>
        </is>
      </c>
      <c r="H14" s="93" t="inlineStr">
        <is>
          <t>YES</t>
        </is>
      </c>
      <c r="I14" s="93" t="inlineStr">
        <is>
          <t>staged OPEX, capex, inventory buy, funding, revenue, cash</t>
        </is>
      </c>
      <c r="J14" s="93" t="inlineStr">
        <is>
          <t>Detailed OPEX allocation is proposed decomposition; current repo only stores envelope</t>
        </is>
      </c>
      <c r="K14" s="93" t="inlineStr">
        <is>
          <t>Maintain reconciliation to source envelope</t>
        </is>
      </c>
      <c r="L14" t="inlineStr">
        <is>
          <t>Repo code</t>
        </is>
      </c>
    </row>
    <row r="15" ht="27.60000038146973" customHeight="1" s="88">
      <c r="A15" t="inlineStr">
        <is>
          <t>Finance</t>
        </is>
      </c>
      <c r="B15" t="inlineStr">
        <is>
          <t>Equipment ledger</t>
        </is>
      </c>
      <c r="C15" s="93" t="inlineStr">
        <is>
          <t>src/lib/finance/equipment-ledger.ts</t>
        </is>
      </c>
      <c r="D15" s="93" t="inlineStr">
        <is>
          <t>Planning/asset subledger structure</t>
        </is>
      </c>
      <c r="E15" s="93" t="inlineStr">
        <is>
          <t>Plan/Actual when posted</t>
        </is>
      </c>
      <c r="F15" s="93" t="inlineStr">
        <is>
          <t>YES</t>
        </is>
      </c>
      <c r="G15" t="inlineStr">
        <is>
          <t>Office Equipment / Operating Cost Detail</t>
        </is>
      </c>
      <c r="H15" s="93" t="inlineStr">
        <is>
          <t>PARTIAL</t>
        </is>
      </c>
      <c r="I15" s="93" t="inlineStr">
        <is>
          <t>manufacturing, qualitySupport, officeAdmin, deadIdle, consumables; purchase month, life, allocation</t>
        </is>
      </c>
      <c r="J15" s="93" t="inlineStr">
        <is>
          <t>Current default monetary rows are zero in repo</t>
        </is>
      </c>
      <c r="K15" s="93" t="inlineStr">
        <is>
          <t>Use repo structure; values remain editable/proposed until evidence</t>
        </is>
      </c>
      <c r="L15" t="inlineStr">
        <is>
          <t>Repo code</t>
        </is>
      </c>
    </row>
    <row r="16" ht="27.60000038146973" customHeight="1" s="88">
      <c r="A16" t="inlineStr">
        <is>
          <t>Finance</t>
        </is>
      </c>
      <c r="B16" t="inlineStr">
        <is>
          <t>Accounting model: AR/AP/GST/tax/depreciation</t>
        </is>
      </c>
      <c r="C16" s="93" t="inlineStr">
        <is>
          <t>src/lib/finance/accounting.ts</t>
        </is>
      </c>
      <c r="D16" s="93" t="inlineStr">
        <is>
          <t>Planning accounting model</t>
        </is>
      </c>
      <c r="E16" s="93" t="inlineStr">
        <is>
          <t>Plan/Forecast</t>
        </is>
      </c>
      <c r="F16" s="93" t="inlineStr">
        <is>
          <t>YES (planning)</t>
        </is>
      </c>
      <c r="G16" t="inlineStr">
        <is>
          <t>Not yet separate full ledger</t>
        </is>
      </c>
      <c r="H16" s="93" t="inlineStr">
        <is>
          <t>PARTIAL</t>
        </is>
      </c>
      <c r="I16" s="93" t="inlineStr">
        <is>
          <t>receivables, payables, supplier payments, collections, GST net payable, depreciation, tax</t>
        </is>
      </c>
      <c r="J16" s="93" t="inlineStr">
        <is>
          <t>No invoice-level statutory ledger in current finance release</t>
        </is>
      </c>
      <c r="K16" s="93" t="inlineStr">
        <is>
          <t>Add accounting schedule sheet, clearly labelled management model</t>
        </is>
      </c>
      <c r="L16" t="inlineStr">
        <is>
          <t>Repo code</t>
        </is>
      </c>
    </row>
    <row r="17" ht="27.60000038146973" customHeight="1" s="88">
      <c r="A17" t="inlineStr">
        <is>
          <t>Finance</t>
        </is>
      </c>
      <c r="B17" t="inlineStr">
        <is>
          <t>Actuals authority / transaction reconciliation</t>
        </is>
      </c>
      <c r="C17" s="93" t="inlineStr">
        <is>
          <t>src/lib/actuals-authority.ts + migrations/0025,0032</t>
        </is>
      </c>
      <c r="D17" s="93" t="inlineStr">
        <is>
          <t>Operational/accounting control</t>
        </is>
      </c>
      <c r="E17" s="93" t="inlineStr">
        <is>
          <t>Actual</t>
        </is>
      </c>
      <c r="F17" s="93" t="inlineStr">
        <is>
          <t>YES</t>
        </is>
      </c>
      <c r="G17" t="inlineStr">
        <is>
          <t>Audit Trail / dashboard only</t>
        </is>
      </c>
      <c r="H17" s="93" t="inlineStr">
        <is>
          <t>PARTIAL</t>
        </is>
      </c>
      <c r="I17" s="93" t="inlineStr">
        <is>
          <t>revenue, units, COGS, OPEX, cash, AR/AP; verified transaction-derived actuals</t>
        </is>
      </c>
      <c r="J17" s="93" t="inlineStr">
        <is>
          <t>Workbook lacks monthly actual-vs-plan ledger</t>
        </is>
      </c>
      <c r="K17" s="93" t="inlineStr">
        <is>
          <t>Add Actuals/Reconciliation sheet when source rows available</t>
        </is>
      </c>
      <c r="L17" t="inlineStr">
        <is>
          <t>Repo code/migrations</t>
        </is>
      </c>
    </row>
    <row r="18" ht="27.60000038146973" customHeight="1" s="88">
      <c r="A18" t="inlineStr">
        <is>
          <t>Finance</t>
        </is>
      </c>
      <c r="B18" t="inlineStr">
        <is>
          <t>Funding control</t>
        </is>
      </c>
      <c r="C18" s="93" t="inlineStr">
        <is>
          <t>src/lib/data/funding-control.ts + company tranches</t>
        </is>
      </c>
      <c r="D18" s="93" t="inlineStr">
        <is>
          <t>Planning/governance</t>
        </is>
      </c>
      <c r="E18" s="93" t="inlineStr">
        <is>
          <t>Plan/Committed</t>
        </is>
      </c>
      <c r="F18" s="93" t="inlineStr">
        <is>
          <t>YES</t>
        </is>
      </c>
      <c r="G18" t="inlineStr">
        <is>
          <t>Inputs / Monthly Funding</t>
        </is>
      </c>
      <c r="H18" s="93" t="inlineStr">
        <is>
          <t>YES</t>
        </is>
      </c>
      <c r="I18" s="93" t="inlineStr">
        <is>
          <t>funding classification, gates/tranches, eligibility/evidence</t>
        </is>
      </c>
      <c r="J18" s="93" t="inlineStr">
        <is>
          <t>Funding source-specific transactions not imported</t>
        </is>
      </c>
      <c r="K18" s="93" t="inlineStr">
        <is>
          <t>Keep staged plan separate from actual receipts</t>
        </is>
      </c>
      <c r="L18" t="inlineStr">
        <is>
          <t>Repo code</t>
        </is>
      </c>
    </row>
    <row r="19" ht="27.60000038146973" customHeight="1" s="88">
      <c r="A19" t="inlineStr">
        <is>
          <t>Tax &amp; Compliance</t>
        </is>
      </c>
      <c r="B19" t="inlineStr">
        <is>
          <t>GST / CA / tax controls</t>
        </is>
      </c>
      <c r="C19" s="93" t="inlineStr">
        <is>
          <t>finance/accounting.ts, PHASE1_CHECKLIST, CA audit surfaces</t>
        </is>
      </c>
      <c r="D19" s="93" t="inlineStr">
        <is>
          <t>Governance/planning</t>
        </is>
      </c>
      <c r="E19" s="93" t="inlineStr">
        <is>
          <t>Plan/Actual evidence</t>
        </is>
      </c>
      <c r="F19" s="93" t="inlineStr">
        <is>
          <t>YES as control</t>
        </is>
      </c>
      <c r="G19" t="inlineStr">
        <is>
          <t>Operating Cost Detail / Audit Trail</t>
        </is>
      </c>
      <c r="H19" s="93" t="inlineStr">
        <is>
          <t>PARTIAL</t>
        </is>
      </c>
      <c r="I19" s="93" t="inlineStr">
        <is>
          <t>GST planning, CA reconciliation warnings, returns/evidence requirements</t>
        </is>
      </c>
      <c r="J19" s="93" t="inlineStr">
        <is>
          <t>Repo explicitly says statutory ledger, invoice-level GST/TDS/payroll are outside Phase 1 release</t>
        </is>
      </c>
      <c r="K19" s="93" t="inlineStr">
        <is>
          <t>Do not represent workbook as statutory books; add evidence/status register only</t>
        </is>
      </c>
      <c r="L19" t="inlineStr">
        <is>
          <t>Repo checklist/accounting</t>
        </is>
      </c>
    </row>
    <row r="20" ht="41.40000152587891" customHeight="1" s="88">
      <c r="A20" t="inlineStr">
        <is>
          <t>Payroll</t>
        </is>
      </c>
      <c r="B20" t="inlineStr">
        <is>
          <t>Payroll/TDS</t>
        </is>
      </c>
      <c r="C20" s="93" t="inlineStr">
        <is>
          <t>PHASE1_CHECKLIST + CA audit</t>
        </is>
      </c>
      <c r="D20" s="93" t="inlineStr">
        <is>
          <t>Not implemented as statutory ledger</t>
        </is>
      </c>
      <c r="E20" s="93" t="inlineStr">
        <is>
          <t>Plan only</t>
        </is>
      </c>
      <c r="F20" s="93" t="inlineStr">
        <is>
          <t>NO operational ledger</t>
        </is>
      </c>
      <c r="G20" t="inlineStr">
        <is>
          <t>Manpower &amp; Salary</t>
        </is>
      </c>
      <c r="H20" s="93" t="inlineStr">
        <is>
          <t>PLANNING ONLY</t>
        </is>
      </c>
      <c r="I20" s="93" t="inlineStr">
        <is>
          <t>headcount/salary plan in workbook</t>
        </is>
      </c>
      <c r="J20" s="93" t="inlineStr">
        <is>
          <t>Repository says payroll/TDS statutory ledger remains outside release</t>
        </is>
      </c>
      <c r="K20" s="93" t="inlineStr">
        <is>
          <t>Keep as budget plan until payroll system/CA actuals supplied</t>
        </is>
      </c>
      <c r="L20" t="inlineStr">
        <is>
          <t>Repo checklist</t>
        </is>
      </c>
    </row>
    <row r="21" ht="41.40000152587891" customHeight="1" s="88">
      <c r="A21" t="inlineStr">
        <is>
          <t>Outsourcing</t>
        </is>
      </c>
      <c r="B21" t="inlineStr">
        <is>
          <t>External services</t>
        </is>
      </c>
      <c r="C21" s="93" t="inlineStr">
        <is>
          <t>No dedicated numeric ledger found; embedded in OPEX/control documents</t>
        </is>
      </c>
      <c r="D21" s="93" t="inlineStr">
        <is>
          <t>Planning category</t>
        </is>
      </c>
      <c r="E21" s="93" t="inlineStr">
        <is>
          <t>Plan/Committed when PO exists</t>
        </is>
      </c>
      <c r="F21" s="93" t="inlineStr">
        <is>
          <t>NO standalone repo ledger</t>
        </is>
      </c>
      <c r="G21" t="inlineStr">
        <is>
          <t>Outsourcing Costs</t>
        </is>
      </c>
      <c r="H21" s="93" t="inlineStr">
        <is>
          <t>PROPOSED</t>
        </is>
      </c>
      <c r="I21" s="93" t="inlineStr">
        <is>
          <t>engineering/testing/legal/CA/creative/logistics stage allocations</t>
        </is>
      </c>
      <c r="J21" s="93" t="inlineStr">
        <is>
          <t>Exact earlier numeric rows not found on current branch</t>
        </is>
      </c>
      <c r="K21" s="93" t="inlineStr">
        <is>
          <t>Keep editable; replace with historical source if recovered from older commit/file</t>
        </is>
      </c>
      <c r="L21" t="inlineStr">
        <is>
          <t>Repo search</t>
        </is>
      </c>
    </row>
    <row r="22" ht="27.60000038146973" customHeight="1" s="88">
      <c r="A22" t="inlineStr">
        <is>
          <t>Office/Admin</t>
        </is>
      </c>
      <c r="B22" t="inlineStr">
        <is>
          <t>Office purchases</t>
        </is>
      </c>
      <c r="C22" s="93" t="inlineStr">
        <is>
          <t>equipment-ledger.ts officeAdmin categories</t>
        </is>
      </c>
      <c r="D22" s="93" t="inlineStr">
        <is>
          <t>Asset ledger structure</t>
        </is>
      </c>
      <c r="E22" s="93" t="inlineStr">
        <is>
          <t>Plan/Actual when purchased</t>
        </is>
      </c>
      <c r="F22" s="93" t="inlineStr">
        <is>
          <t>YES structure</t>
        </is>
      </c>
      <c r="G22" t="inlineStr">
        <is>
          <t>Office Equipment</t>
        </is>
      </c>
      <c r="H22" s="93" t="inlineStr">
        <is>
          <t>PARTIAL</t>
        </is>
      </c>
      <c r="I22" s="93" t="inlineStr">
        <is>
          <t>IT, furniture, facilities, other office equipment</t>
        </is>
      </c>
      <c r="J22" s="93" t="inlineStr">
        <is>
          <t>Default costs currently zero in repo</t>
        </is>
      </c>
      <c r="K22" s="93" t="inlineStr">
        <is>
          <t>Workbook proposed values must remain blue/input until invoices approved</t>
        </is>
      </c>
      <c r="L22" t="inlineStr">
        <is>
          <t>Repo code</t>
        </is>
      </c>
    </row>
    <row r="23" ht="41.40000152587891" customHeight="1" s="88">
      <c r="A23" t="inlineStr">
        <is>
          <t>Sales Accounting</t>
        </is>
      </c>
      <c r="B23" t="inlineStr">
        <is>
          <t>Shipment / invoice / receivable / collection</t>
        </is>
      </c>
      <c r="C23" s="93" t="inlineStr">
        <is>
          <t>later migrations/audit architecture; financial cockpit</t>
        </is>
      </c>
      <c r="D23" s="93" t="inlineStr">
        <is>
          <t>Operational/accounting authority path</t>
        </is>
      </c>
      <c r="E23" s="93" t="inlineStr">
        <is>
          <t>Actual</t>
        </is>
      </c>
      <c r="F23" s="93" t="inlineStr">
        <is>
          <t>YES in corrected architecture</t>
        </is>
      </c>
      <c r="G23" t="inlineStr">
        <is>
          <t>Not yet modeled fully</t>
        </is>
      </c>
      <c r="H23" s="93" t="inlineStr">
        <is>
          <t>NO</t>
        </is>
      </c>
      <c r="I23" s="93" t="inlineStr">
        <is>
          <t>shipment, invoice, receivable, collection chain</t>
        </is>
      </c>
      <c r="J23" s="93" t="inlineStr">
        <is>
          <t>Workbook currently uses assumed cash inflow, not recognized revenue/collection</t>
        </is>
      </c>
      <c r="K23" s="93" t="inlineStr">
        <is>
          <t>Add only after transaction data import; no lead/order-value shortcut</t>
        </is>
      </c>
      <c r="L23" t="inlineStr">
        <is>
          <t>Repo audit/migrations</t>
        </is>
      </c>
    </row>
    <row r="24" ht="27.60000038146973" customHeight="1" s="88">
      <c r="A24" t="inlineStr">
        <is>
          <t>Governance</t>
        </is>
      </c>
      <c r="B24" t="inlineStr">
        <is>
          <t>Audit events / approvals</t>
        </is>
      </c>
      <c r="C24" s="93" t="inlineStr">
        <is>
          <t>audit architecture / controlled services</t>
        </is>
      </c>
      <c r="D24" s="93" t="inlineStr">
        <is>
          <t>Governance authority</t>
        </is>
      </c>
      <c r="E24" s="93" t="inlineStr">
        <is>
          <t>Actual evidence</t>
        </is>
      </c>
      <c r="F24" s="93" t="inlineStr">
        <is>
          <t>YES</t>
        </is>
      </c>
      <c r="G24" t="inlineStr">
        <is>
          <t>Audit Trail</t>
        </is>
      </c>
      <c r="H24" s="93" t="inlineStr">
        <is>
          <t>STRUCTURE</t>
        </is>
      </c>
      <c r="I24" s="93" t="inlineStr">
        <is>
          <t>actor, action, approval, evidence, rationale, revision</t>
        </is>
      </c>
      <c r="J24" s="93" t="inlineStr">
        <is>
          <t>Workbook is editable and not append-only</t>
        </is>
      </c>
      <c r="K24" s="93" t="inlineStr">
        <is>
          <t>Use as planning evidence register only; server audit remains authoritative</t>
        </is>
      </c>
      <c r="L24" t="inlineStr">
        <is>
          <t>Repo audit</t>
        </is>
      </c>
    </row>
    <row r="25" ht="27.60000038146973" customHeight="1" s="88">
      <c r="A25" t="inlineStr">
        <is>
          <t>IBPE</t>
        </is>
      </c>
      <c r="B25" t="inlineStr">
        <is>
          <t>Integrated Business Planning Engine</t>
        </is>
      </c>
      <c r="C25" s="93" t="inlineStr">
        <is>
          <t>src/lib/integrated-business-planning-engine.ts + ibpe-authority.ts</t>
        </is>
      </c>
      <c r="D25" s="93" t="inlineStr">
        <is>
          <t>Derived decision engine</t>
        </is>
      </c>
      <c r="E25" s="93" t="inlineStr">
        <is>
          <t>Plan/Forecast/Committed/Actual inputs</t>
        </is>
      </c>
      <c r="F25" s="93" t="inlineStr">
        <is>
          <t>YES derived</t>
        </is>
      </c>
      <c r="G25" t="inlineStr">
        <is>
          <t>IBPE Control</t>
        </is>
      </c>
      <c r="H25" s="93" t="inlineStr">
        <is>
          <t>YES STRUCTURE</t>
        </is>
      </c>
      <c r="I25" s="93" t="inlineStr">
        <is>
          <t>demand, reservations, stock, receipts, purchase need, MOQ/order multiple, cash flows</t>
        </is>
      </c>
      <c r="J25" s="93" t="inlineStr">
        <is>
          <t>Workbook does not persist engine run hash/version</t>
        </is>
      </c>
      <c r="K25" s="93" t="inlineStr">
        <is>
          <t>Use for recommendation only; never post operational/accounting truth</t>
        </is>
      </c>
      <c r="L25" t="inlineStr">
        <is>
          <t>Repo code</t>
        </is>
      </c>
    </row>
  </sheetData>
  <mergeCells count="1">
    <mergeCell ref="A1:L1"/>
  </mergeCells>
  <conditionalFormatting sqref="F5:F25">
    <cfRule type="expression" priority="1" dxfId="2">
      <formula>F5="YES"</formula>
    </cfRule>
    <cfRule type="expression" priority="2" dxfId="1">
      <formula>F5="NO"</formula>
    </cfRule>
  </conditionalFormatting>
  <conditionalFormatting sqref="H5:H25">
    <cfRule type="expression" priority="3" dxfId="0">
      <formula>OR(H5="NO",H5="PARTIAL",H5="STRUCTURE",H5="PLANNING ONLY",H5="PROPOSED",H5="YES STRUCTURE")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06" t="inlineStr">
        <is>
          <t>MRP Cash Bridge · procurement recommendation → monthly cash/funding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</row>
    <row r="2">
      <c r="A2" s="98" t="inlineStr">
        <is>
          <t>Analytical forecast only. Total net-buy value is allocated by monthly canonical material-demand weight; no PO is posted by formula.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</row>
    <row r="3">
      <c r="A3" s="193" t="inlineStr">
        <is>
          <t>Month</t>
        </is>
      </c>
      <c r="B3" s="193" t="inlineStr">
        <is>
          <t>Date</t>
        </is>
      </c>
      <c r="C3" s="193" t="inlineStr">
        <is>
          <t>Gross Material ₹</t>
        </is>
      </c>
      <c r="D3" s="193" t="inlineStr">
        <is>
          <t>Weight</t>
        </is>
      </c>
      <c r="E3" s="193" t="inlineStr">
        <is>
          <t>36M Net Buy ₹</t>
        </is>
      </c>
      <c r="F3" s="193" t="inlineStr">
        <is>
          <t>Allocated Procurement ₹</t>
        </is>
      </c>
      <c r="G3" s="193" t="inlineStr">
        <is>
          <t>Default Lead (mo)</t>
        </is>
      </c>
      <c r="H3" s="193" t="inlineStr">
        <is>
          <t>Order Month</t>
        </is>
      </c>
      <c r="I3" s="193" t="inlineStr">
        <is>
          <t>Payment Lag (mo)</t>
        </is>
      </c>
      <c r="J3" s="193" t="inlineStr">
        <is>
          <t>Cash Outflow ₹</t>
        </is>
      </c>
    </row>
    <row r="4">
      <c r="A4" t="n">
        <v>1</v>
      </c>
      <c r="B4" s="247">
        <f>'Monthly Materials'!B6</f>
        <v/>
      </c>
      <c r="C4" s="248">
        <f>'Monthly Materials'!S6</f>
        <v/>
      </c>
      <c r="D4">
        <f>IF(SUM($C$4:$C$39)=0,0,C4/SUM($C$4:$C$39))</f>
        <v/>
      </c>
      <c r="E4" s="248">
        <f>SUM('Procurement Plan'!$K$4:$K$75)</f>
        <v/>
      </c>
      <c r="F4" s="248">
        <f>D4*E4</f>
        <v/>
      </c>
      <c r="G4" t="n">
        <v>2</v>
      </c>
      <c r="H4">
        <f>MAX(1,A4-G4)</f>
        <v/>
      </c>
      <c r="I4" t="n">
        <v>1</v>
      </c>
      <c r="J4" s="248">
        <f>SUMPRODUCT(($H$4:$H$39+$I$4:$I$39=A4)*$F$4:$F$39)</f>
        <v/>
      </c>
    </row>
    <row r="5">
      <c r="A5" t="n">
        <v>2</v>
      </c>
      <c r="B5" s="247">
        <f>'Monthly Materials'!B7</f>
        <v/>
      </c>
      <c r="C5" s="248">
        <f>'Monthly Materials'!S7</f>
        <v/>
      </c>
      <c r="D5">
        <f>IF(SUM($C$4:$C$39)=0,0,C5/SUM($C$4:$C$39))</f>
        <v/>
      </c>
      <c r="E5" s="248">
        <f>SUM('Procurement Plan'!$K$4:$K$75)</f>
        <v/>
      </c>
      <c r="F5" s="248">
        <f>D5*E5</f>
        <v/>
      </c>
      <c r="G5" t="n">
        <v>2</v>
      </c>
      <c r="H5">
        <f>MAX(1,A5-G5)</f>
        <v/>
      </c>
      <c r="I5" t="n">
        <v>1</v>
      </c>
      <c r="J5" s="248">
        <f>SUMPRODUCT(($H$4:$H$39+$I$4:$I$39=A5)*$F$4:$F$39)</f>
        <v/>
      </c>
    </row>
    <row r="6">
      <c r="A6" t="n">
        <v>3</v>
      </c>
      <c r="B6" s="247">
        <f>'Monthly Materials'!B8</f>
        <v/>
      </c>
      <c r="C6" s="248">
        <f>'Monthly Materials'!S8</f>
        <v/>
      </c>
      <c r="D6">
        <f>IF(SUM($C$4:$C$39)=0,0,C6/SUM($C$4:$C$39))</f>
        <v/>
      </c>
      <c r="E6" s="248">
        <f>SUM('Procurement Plan'!$K$4:$K$75)</f>
        <v/>
      </c>
      <c r="F6" s="248">
        <f>D6*E6</f>
        <v/>
      </c>
      <c r="G6" t="n">
        <v>2</v>
      </c>
      <c r="H6">
        <f>MAX(1,A6-G6)</f>
        <v/>
      </c>
      <c r="I6" t="n">
        <v>1</v>
      </c>
      <c r="J6" s="248">
        <f>SUMPRODUCT(($H$4:$H$39+$I$4:$I$39=A6)*$F$4:$F$39)</f>
        <v/>
      </c>
    </row>
    <row r="7">
      <c r="A7" t="n">
        <v>4</v>
      </c>
      <c r="B7" s="247">
        <f>'Monthly Materials'!B9</f>
        <v/>
      </c>
      <c r="C7" s="248">
        <f>'Monthly Materials'!S9</f>
        <v/>
      </c>
      <c r="D7">
        <f>IF(SUM($C$4:$C$39)=0,0,C7/SUM($C$4:$C$39))</f>
        <v/>
      </c>
      <c r="E7" s="248">
        <f>SUM('Procurement Plan'!$K$4:$K$75)</f>
        <v/>
      </c>
      <c r="F7" s="248">
        <f>D7*E7</f>
        <v/>
      </c>
      <c r="G7" t="n">
        <v>2</v>
      </c>
      <c r="H7">
        <f>MAX(1,A7-G7)</f>
        <v/>
      </c>
      <c r="I7" t="n">
        <v>1</v>
      </c>
      <c r="J7" s="248">
        <f>SUMPRODUCT(($H$4:$H$39+$I$4:$I$39=A7)*$F$4:$F$39)</f>
        <v/>
      </c>
    </row>
    <row r="8">
      <c r="A8" t="n">
        <v>5</v>
      </c>
      <c r="B8" s="247">
        <f>'Monthly Materials'!B10</f>
        <v/>
      </c>
      <c r="C8" s="248">
        <f>'Monthly Materials'!S10</f>
        <v/>
      </c>
      <c r="D8">
        <f>IF(SUM($C$4:$C$39)=0,0,C8/SUM($C$4:$C$39))</f>
        <v/>
      </c>
      <c r="E8" s="248">
        <f>SUM('Procurement Plan'!$K$4:$K$75)</f>
        <v/>
      </c>
      <c r="F8" s="248">
        <f>D8*E8</f>
        <v/>
      </c>
      <c r="G8" t="n">
        <v>2</v>
      </c>
      <c r="H8">
        <f>MAX(1,A8-G8)</f>
        <v/>
      </c>
      <c r="I8" t="n">
        <v>1</v>
      </c>
      <c r="J8" s="248">
        <f>SUMPRODUCT(($H$4:$H$39+$I$4:$I$39=A8)*$F$4:$F$39)</f>
        <v/>
      </c>
    </row>
    <row r="9">
      <c r="A9" t="n">
        <v>6</v>
      </c>
      <c r="B9" s="247">
        <f>'Monthly Materials'!B11</f>
        <v/>
      </c>
      <c r="C9" s="248">
        <f>'Monthly Materials'!S11</f>
        <v/>
      </c>
      <c r="D9">
        <f>IF(SUM($C$4:$C$39)=0,0,C9/SUM($C$4:$C$39))</f>
        <v/>
      </c>
      <c r="E9" s="248">
        <f>SUM('Procurement Plan'!$K$4:$K$75)</f>
        <v/>
      </c>
      <c r="F9" s="248">
        <f>D9*E9</f>
        <v/>
      </c>
      <c r="G9" t="n">
        <v>2</v>
      </c>
      <c r="H9">
        <f>MAX(1,A9-G9)</f>
        <v/>
      </c>
      <c r="I9" t="n">
        <v>1</v>
      </c>
      <c r="J9" s="248">
        <f>SUMPRODUCT(($H$4:$H$39+$I$4:$I$39=A9)*$F$4:$F$39)</f>
        <v/>
      </c>
    </row>
    <row r="10">
      <c r="A10" t="n">
        <v>7</v>
      </c>
      <c r="B10" s="247">
        <f>'Monthly Materials'!B12</f>
        <v/>
      </c>
      <c r="C10" s="248">
        <f>'Monthly Materials'!S12</f>
        <v/>
      </c>
      <c r="D10">
        <f>IF(SUM($C$4:$C$39)=0,0,C10/SUM($C$4:$C$39))</f>
        <v/>
      </c>
      <c r="E10" s="248">
        <f>SUM('Procurement Plan'!$K$4:$K$75)</f>
        <v/>
      </c>
      <c r="F10" s="248">
        <f>D10*E10</f>
        <v/>
      </c>
      <c r="G10" t="n">
        <v>2</v>
      </c>
      <c r="H10">
        <f>MAX(1,A10-G10)</f>
        <v/>
      </c>
      <c r="I10" t="n">
        <v>1</v>
      </c>
      <c r="J10" s="248">
        <f>SUMPRODUCT(($H$4:$H$39+$I$4:$I$39=A10)*$F$4:$F$39)</f>
        <v/>
      </c>
    </row>
    <row r="11">
      <c r="A11" t="n">
        <v>8</v>
      </c>
      <c r="B11" s="247">
        <f>'Monthly Materials'!B13</f>
        <v/>
      </c>
      <c r="C11" s="248">
        <f>'Monthly Materials'!S13</f>
        <v/>
      </c>
      <c r="D11">
        <f>IF(SUM($C$4:$C$39)=0,0,C11/SUM($C$4:$C$39))</f>
        <v/>
      </c>
      <c r="E11" s="248">
        <f>SUM('Procurement Plan'!$K$4:$K$75)</f>
        <v/>
      </c>
      <c r="F11" s="248">
        <f>D11*E11</f>
        <v/>
      </c>
      <c r="G11" t="n">
        <v>2</v>
      </c>
      <c r="H11">
        <f>MAX(1,A11-G11)</f>
        <v/>
      </c>
      <c r="I11" t="n">
        <v>1</v>
      </c>
      <c r="J11" s="248">
        <f>SUMPRODUCT(($H$4:$H$39+$I$4:$I$39=A11)*$F$4:$F$39)</f>
        <v/>
      </c>
    </row>
    <row r="12">
      <c r="A12" t="n">
        <v>9</v>
      </c>
      <c r="B12" s="247">
        <f>'Monthly Materials'!B14</f>
        <v/>
      </c>
      <c r="C12" s="248">
        <f>'Monthly Materials'!S14</f>
        <v/>
      </c>
      <c r="D12">
        <f>IF(SUM($C$4:$C$39)=0,0,C12/SUM($C$4:$C$39))</f>
        <v/>
      </c>
      <c r="E12" s="248">
        <f>SUM('Procurement Plan'!$K$4:$K$75)</f>
        <v/>
      </c>
      <c r="F12" s="248">
        <f>D12*E12</f>
        <v/>
      </c>
      <c r="G12" t="n">
        <v>2</v>
      </c>
      <c r="H12">
        <f>MAX(1,A12-G12)</f>
        <v/>
      </c>
      <c r="I12" t="n">
        <v>1</v>
      </c>
      <c r="J12" s="248">
        <f>SUMPRODUCT(($H$4:$H$39+$I$4:$I$39=A12)*$F$4:$F$39)</f>
        <v/>
      </c>
    </row>
    <row r="13">
      <c r="A13" t="n">
        <v>10</v>
      </c>
      <c r="B13" s="247">
        <f>'Monthly Materials'!B15</f>
        <v/>
      </c>
      <c r="C13" s="248">
        <f>'Monthly Materials'!S15</f>
        <v/>
      </c>
      <c r="D13">
        <f>IF(SUM($C$4:$C$39)=0,0,C13/SUM($C$4:$C$39))</f>
        <v/>
      </c>
      <c r="E13" s="248">
        <f>SUM('Procurement Plan'!$K$4:$K$75)</f>
        <v/>
      </c>
      <c r="F13" s="248">
        <f>D13*E13</f>
        <v/>
      </c>
      <c r="G13" t="n">
        <v>2</v>
      </c>
      <c r="H13">
        <f>MAX(1,A13-G13)</f>
        <v/>
      </c>
      <c r="I13" t="n">
        <v>1</v>
      </c>
      <c r="J13" s="248">
        <f>SUMPRODUCT(($H$4:$H$39+$I$4:$I$39=A13)*$F$4:$F$39)</f>
        <v/>
      </c>
    </row>
    <row r="14">
      <c r="A14" t="n">
        <v>11</v>
      </c>
      <c r="B14" s="247">
        <f>'Monthly Materials'!B16</f>
        <v/>
      </c>
      <c r="C14" s="248">
        <f>'Monthly Materials'!S16</f>
        <v/>
      </c>
      <c r="D14">
        <f>IF(SUM($C$4:$C$39)=0,0,C14/SUM($C$4:$C$39))</f>
        <v/>
      </c>
      <c r="E14" s="248">
        <f>SUM('Procurement Plan'!$K$4:$K$75)</f>
        <v/>
      </c>
      <c r="F14" s="248">
        <f>D14*E14</f>
        <v/>
      </c>
      <c r="G14" t="n">
        <v>2</v>
      </c>
      <c r="H14">
        <f>MAX(1,A14-G14)</f>
        <v/>
      </c>
      <c r="I14" t="n">
        <v>1</v>
      </c>
      <c r="J14" s="248">
        <f>SUMPRODUCT(($H$4:$H$39+$I$4:$I$39=A14)*$F$4:$F$39)</f>
        <v/>
      </c>
    </row>
    <row r="15">
      <c r="A15" t="n">
        <v>12</v>
      </c>
      <c r="B15" s="247">
        <f>'Monthly Materials'!B17</f>
        <v/>
      </c>
      <c r="C15" s="248">
        <f>'Monthly Materials'!S17</f>
        <v/>
      </c>
      <c r="D15">
        <f>IF(SUM($C$4:$C$39)=0,0,C15/SUM($C$4:$C$39))</f>
        <v/>
      </c>
      <c r="E15" s="248">
        <f>SUM('Procurement Plan'!$K$4:$K$75)</f>
        <v/>
      </c>
      <c r="F15" s="248">
        <f>D15*E15</f>
        <v/>
      </c>
      <c r="G15" t="n">
        <v>2</v>
      </c>
      <c r="H15">
        <f>MAX(1,A15-G15)</f>
        <v/>
      </c>
      <c r="I15" t="n">
        <v>1</v>
      </c>
      <c r="J15" s="248">
        <f>SUMPRODUCT(($H$4:$H$39+$I$4:$I$39=A15)*$F$4:$F$39)</f>
        <v/>
      </c>
    </row>
    <row r="16">
      <c r="A16" t="n">
        <v>13</v>
      </c>
      <c r="B16" s="247">
        <f>'Monthly Materials'!B18</f>
        <v/>
      </c>
      <c r="C16" s="248">
        <f>'Monthly Materials'!S18</f>
        <v/>
      </c>
      <c r="D16">
        <f>IF(SUM($C$4:$C$39)=0,0,C16/SUM($C$4:$C$39))</f>
        <v/>
      </c>
      <c r="E16" s="248">
        <f>SUM('Procurement Plan'!$K$4:$K$75)</f>
        <v/>
      </c>
      <c r="F16" s="248">
        <f>D16*E16</f>
        <v/>
      </c>
      <c r="G16" t="n">
        <v>2</v>
      </c>
      <c r="H16">
        <f>MAX(1,A16-G16)</f>
        <v/>
      </c>
      <c r="I16" t="n">
        <v>1</v>
      </c>
      <c r="J16" s="248">
        <f>SUMPRODUCT(($H$4:$H$39+$I$4:$I$39=A16)*$F$4:$F$39)</f>
        <v/>
      </c>
    </row>
    <row r="17">
      <c r="A17" t="n">
        <v>14</v>
      </c>
      <c r="B17" s="247">
        <f>'Monthly Materials'!B19</f>
        <v/>
      </c>
      <c r="C17" s="248">
        <f>'Monthly Materials'!S19</f>
        <v/>
      </c>
      <c r="D17">
        <f>IF(SUM($C$4:$C$39)=0,0,C17/SUM($C$4:$C$39))</f>
        <v/>
      </c>
      <c r="E17" s="248">
        <f>SUM('Procurement Plan'!$K$4:$K$75)</f>
        <v/>
      </c>
      <c r="F17" s="248">
        <f>D17*E17</f>
        <v/>
      </c>
      <c r="G17" t="n">
        <v>2</v>
      </c>
      <c r="H17">
        <f>MAX(1,A17-G17)</f>
        <v/>
      </c>
      <c r="I17" t="n">
        <v>1</v>
      </c>
      <c r="J17" s="248">
        <f>SUMPRODUCT(($H$4:$H$39+$I$4:$I$39=A17)*$F$4:$F$39)</f>
        <v/>
      </c>
    </row>
    <row r="18">
      <c r="A18" t="n">
        <v>15</v>
      </c>
      <c r="B18" s="247">
        <f>'Monthly Materials'!B20</f>
        <v/>
      </c>
      <c r="C18" s="248">
        <f>'Monthly Materials'!S20</f>
        <v/>
      </c>
      <c r="D18">
        <f>IF(SUM($C$4:$C$39)=0,0,C18/SUM($C$4:$C$39))</f>
        <v/>
      </c>
      <c r="E18" s="248">
        <f>SUM('Procurement Plan'!$K$4:$K$75)</f>
        <v/>
      </c>
      <c r="F18" s="248">
        <f>D18*E18</f>
        <v/>
      </c>
      <c r="G18" t="n">
        <v>2</v>
      </c>
      <c r="H18">
        <f>MAX(1,A18-G18)</f>
        <v/>
      </c>
      <c r="I18" t="n">
        <v>1</v>
      </c>
      <c r="J18" s="248">
        <f>SUMPRODUCT(($H$4:$H$39+$I$4:$I$39=A18)*$F$4:$F$39)</f>
        <v/>
      </c>
    </row>
    <row r="19">
      <c r="A19" t="n">
        <v>16</v>
      </c>
      <c r="B19" s="247">
        <f>'Monthly Materials'!B21</f>
        <v/>
      </c>
      <c r="C19" s="248">
        <f>'Monthly Materials'!S21</f>
        <v/>
      </c>
      <c r="D19">
        <f>IF(SUM($C$4:$C$39)=0,0,C19/SUM($C$4:$C$39))</f>
        <v/>
      </c>
      <c r="E19" s="248">
        <f>SUM('Procurement Plan'!$K$4:$K$75)</f>
        <v/>
      </c>
      <c r="F19" s="248">
        <f>D19*E19</f>
        <v/>
      </c>
      <c r="G19" t="n">
        <v>2</v>
      </c>
      <c r="H19">
        <f>MAX(1,A19-G19)</f>
        <v/>
      </c>
      <c r="I19" t="n">
        <v>1</v>
      </c>
      <c r="J19" s="248">
        <f>SUMPRODUCT(($H$4:$H$39+$I$4:$I$39=A19)*$F$4:$F$39)</f>
        <v/>
      </c>
    </row>
    <row r="20">
      <c r="A20" t="n">
        <v>17</v>
      </c>
      <c r="B20" s="247">
        <f>'Monthly Materials'!B22</f>
        <v/>
      </c>
      <c r="C20" s="248">
        <f>'Monthly Materials'!S22</f>
        <v/>
      </c>
      <c r="D20">
        <f>IF(SUM($C$4:$C$39)=0,0,C20/SUM($C$4:$C$39))</f>
        <v/>
      </c>
      <c r="E20" s="248">
        <f>SUM('Procurement Plan'!$K$4:$K$75)</f>
        <v/>
      </c>
      <c r="F20" s="248">
        <f>D20*E20</f>
        <v/>
      </c>
      <c r="G20" t="n">
        <v>2</v>
      </c>
      <c r="H20">
        <f>MAX(1,A20-G20)</f>
        <v/>
      </c>
      <c r="I20" t="n">
        <v>1</v>
      </c>
      <c r="J20" s="248">
        <f>SUMPRODUCT(($H$4:$H$39+$I$4:$I$39=A20)*$F$4:$F$39)</f>
        <v/>
      </c>
    </row>
    <row r="21">
      <c r="A21" t="n">
        <v>18</v>
      </c>
      <c r="B21" s="247">
        <f>'Monthly Materials'!B23</f>
        <v/>
      </c>
      <c r="C21" s="248">
        <f>'Monthly Materials'!S23</f>
        <v/>
      </c>
      <c r="D21">
        <f>IF(SUM($C$4:$C$39)=0,0,C21/SUM($C$4:$C$39))</f>
        <v/>
      </c>
      <c r="E21" s="248">
        <f>SUM('Procurement Plan'!$K$4:$K$75)</f>
        <v/>
      </c>
      <c r="F21" s="248">
        <f>D21*E21</f>
        <v/>
      </c>
      <c r="G21" t="n">
        <v>2</v>
      </c>
      <c r="H21">
        <f>MAX(1,A21-G21)</f>
        <v/>
      </c>
      <c r="I21" t="n">
        <v>1</v>
      </c>
      <c r="J21" s="248">
        <f>SUMPRODUCT(($H$4:$H$39+$I$4:$I$39=A21)*$F$4:$F$39)</f>
        <v/>
      </c>
    </row>
    <row r="22">
      <c r="A22" t="n">
        <v>19</v>
      </c>
      <c r="B22" s="247">
        <f>'Monthly Materials'!B24</f>
        <v/>
      </c>
      <c r="C22" s="248">
        <f>'Monthly Materials'!S24</f>
        <v/>
      </c>
      <c r="D22">
        <f>IF(SUM($C$4:$C$39)=0,0,C22/SUM($C$4:$C$39))</f>
        <v/>
      </c>
      <c r="E22" s="248">
        <f>SUM('Procurement Plan'!$K$4:$K$75)</f>
        <v/>
      </c>
      <c r="F22" s="248">
        <f>D22*E22</f>
        <v/>
      </c>
      <c r="G22" t="n">
        <v>2</v>
      </c>
      <c r="H22">
        <f>MAX(1,A22-G22)</f>
        <v/>
      </c>
      <c r="I22" t="n">
        <v>1</v>
      </c>
      <c r="J22" s="248">
        <f>SUMPRODUCT(($H$4:$H$39+$I$4:$I$39=A22)*$F$4:$F$39)</f>
        <v/>
      </c>
    </row>
    <row r="23">
      <c r="A23" t="n">
        <v>20</v>
      </c>
      <c r="B23" s="247">
        <f>'Monthly Materials'!B25</f>
        <v/>
      </c>
      <c r="C23" s="248">
        <f>'Monthly Materials'!S25</f>
        <v/>
      </c>
      <c r="D23">
        <f>IF(SUM($C$4:$C$39)=0,0,C23/SUM($C$4:$C$39))</f>
        <v/>
      </c>
      <c r="E23" s="248">
        <f>SUM('Procurement Plan'!$K$4:$K$75)</f>
        <v/>
      </c>
      <c r="F23" s="248">
        <f>D23*E23</f>
        <v/>
      </c>
      <c r="G23" t="n">
        <v>2</v>
      </c>
      <c r="H23">
        <f>MAX(1,A23-G23)</f>
        <v/>
      </c>
      <c r="I23" t="n">
        <v>1</v>
      </c>
      <c r="J23" s="248">
        <f>SUMPRODUCT(($H$4:$H$39+$I$4:$I$39=A23)*$F$4:$F$39)</f>
        <v/>
      </c>
    </row>
    <row r="24">
      <c r="A24" t="n">
        <v>21</v>
      </c>
      <c r="B24" s="247">
        <f>'Monthly Materials'!B26</f>
        <v/>
      </c>
      <c r="C24" s="248">
        <f>'Monthly Materials'!S26</f>
        <v/>
      </c>
      <c r="D24">
        <f>IF(SUM($C$4:$C$39)=0,0,C24/SUM($C$4:$C$39))</f>
        <v/>
      </c>
      <c r="E24" s="248">
        <f>SUM('Procurement Plan'!$K$4:$K$75)</f>
        <v/>
      </c>
      <c r="F24" s="248">
        <f>D24*E24</f>
        <v/>
      </c>
      <c r="G24" t="n">
        <v>2</v>
      </c>
      <c r="H24">
        <f>MAX(1,A24-G24)</f>
        <v/>
      </c>
      <c r="I24" t="n">
        <v>1</v>
      </c>
      <c r="J24" s="248">
        <f>SUMPRODUCT(($H$4:$H$39+$I$4:$I$39=A24)*$F$4:$F$39)</f>
        <v/>
      </c>
    </row>
    <row r="25">
      <c r="A25" t="n">
        <v>22</v>
      </c>
      <c r="B25" s="247">
        <f>'Monthly Materials'!B27</f>
        <v/>
      </c>
      <c r="C25" s="248">
        <f>'Monthly Materials'!S27</f>
        <v/>
      </c>
      <c r="D25">
        <f>IF(SUM($C$4:$C$39)=0,0,C25/SUM($C$4:$C$39))</f>
        <v/>
      </c>
      <c r="E25" s="248">
        <f>SUM('Procurement Plan'!$K$4:$K$75)</f>
        <v/>
      </c>
      <c r="F25" s="248">
        <f>D25*E25</f>
        <v/>
      </c>
      <c r="G25" t="n">
        <v>2</v>
      </c>
      <c r="H25">
        <f>MAX(1,A25-G25)</f>
        <v/>
      </c>
      <c r="I25" t="n">
        <v>1</v>
      </c>
      <c r="J25" s="248">
        <f>SUMPRODUCT(($H$4:$H$39+$I$4:$I$39=A25)*$F$4:$F$39)</f>
        <v/>
      </c>
    </row>
    <row r="26">
      <c r="A26" t="n">
        <v>23</v>
      </c>
      <c r="B26" s="247">
        <f>'Monthly Materials'!B28</f>
        <v/>
      </c>
      <c r="C26" s="248">
        <f>'Monthly Materials'!S28</f>
        <v/>
      </c>
      <c r="D26">
        <f>IF(SUM($C$4:$C$39)=0,0,C26/SUM($C$4:$C$39))</f>
        <v/>
      </c>
      <c r="E26" s="248">
        <f>SUM('Procurement Plan'!$K$4:$K$75)</f>
        <v/>
      </c>
      <c r="F26" s="248">
        <f>D26*E26</f>
        <v/>
      </c>
      <c r="G26" t="n">
        <v>2</v>
      </c>
      <c r="H26">
        <f>MAX(1,A26-G26)</f>
        <v/>
      </c>
      <c r="I26" t="n">
        <v>1</v>
      </c>
      <c r="J26" s="248">
        <f>SUMPRODUCT(($H$4:$H$39+$I$4:$I$39=A26)*$F$4:$F$39)</f>
        <v/>
      </c>
    </row>
    <row r="27">
      <c r="A27" t="n">
        <v>24</v>
      </c>
      <c r="B27" s="247">
        <f>'Monthly Materials'!B29</f>
        <v/>
      </c>
      <c r="C27" s="248">
        <f>'Monthly Materials'!S29</f>
        <v/>
      </c>
      <c r="D27">
        <f>IF(SUM($C$4:$C$39)=0,0,C27/SUM($C$4:$C$39))</f>
        <v/>
      </c>
      <c r="E27" s="248">
        <f>SUM('Procurement Plan'!$K$4:$K$75)</f>
        <v/>
      </c>
      <c r="F27" s="248">
        <f>D27*E27</f>
        <v/>
      </c>
      <c r="G27" t="n">
        <v>2</v>
      </c>
      <c r="H27">
        <f>MAX(1,A27-G27)</f>
        <v/>
      </c>
      <c r="I27" t="n">
        <v>1</v>
      </c>
      <c r="J27" s="248">
        <f>SUMPRODUCT(($H$4:$H$39+$I$4:$I$39=A27)*$F$4:$F$39)</f>
        <v/>
      </c>
    </row>
    <row r="28">
      <c r="A28" t="n">
        <v>25</v>
      </c>
      <c r="B28" s="247">
        <f>'Monthly Materials'!B30</f>
        <v/>
      </c>
      <c r="C28" s="248">
        <f>'Monthly Materials'!S30</f>
        <v/>
      </c>
      <c r="D28">
        <f>IF(SUM($C$4:$C$39)=0,0,C28/SUM($C$4:$C$39))</f>
        <v/>
      </c>
      <c r="E28" s="248">
        <f>SUM('Procurement Plan'!$K$4:$K$75)</f>
        <v/>
      </c>
      <c r="F28" s="248">
        <f>D28*E28</f>
        <v/>
      </c>
      <c r="G28" t="n">
        <v>2</v>
      </c>
      <c r="H28">
        <f>MAX(1,A28-G28)</f>
        <v/>
      </c>
      <c r="I28" t="n">
        <v>1</v>
      </c>
      <c r="J28" s="248">
        <f>SUMPRODUCT(($H$4:$H$39+$I$4:$I$39=A28)*$F$4:$F$39)</f>
        <v/>
      </c>
    </row>
    <row r="29">
      <c r="A29" t="n">
        <v>26</v>
      </c>
      <c r="B29" s="247">
        <f>'Monthly Materials'!B31</f>
        <v/>
      </c>
      <c r="C29" s="248">
        <f>'Monthly Materials'!S31</f>
        <v/>
      </c>
      <c r="D29">
        <f>IF(SUM($C$4:$C$39)=0,0,C29/SUM($C$4:$C$39))</f>
        <v/>
      </c>
      <c r="E29" s="248">
        <f>SUM('Procurement Plan'!$K$4:$K$75)</f>
        <v/>
      </c>
      <c r="F29" s="248">
        <f>D29*E29</f>
        <v/>
      </c>
      <c r="G29" t="n">
        <v>2</v>
      </c>
      <c r="H29">
        <f>MAX(1,A29-G29)</f>
        <v/>
      </c>
      <c r="I29" t="n">
        <v>1</v>
      </c>
      <c r="J29" s="248">
        <f>SUMPRODUCT(($H$4:$H$39+$I$4:$I$39=A29)*$F$4:$F$39)</f>
        <v/>
      </c>
    </row>
    <row r="30">
      <c r="A30" t="n">
        <v>27</v>
      </c>
      <c r="B30" s="247">
        <f>'Monthly Materials'!B32</f>
        <v/>
      </c>
      <c r="C30" s="248">
        <f>'Monthly Materials'!S32</f>
        <v/>
      </c>
      <c r="D30">
        <f>IF(SUM($C$4:$C$39)=0,0,C30/SUM($C$4:$C$39))</f>
        <v/>
      </c>
      <c r="E30" s="248">
        <f>SUM('Procurement Plan'!$K$4:$K$75)</f>
        <v/>
      </c>
      <c r="F30" s="248">
        <f>D30*E30</f>
        <v/>
      </c>
      <c r="G30" t="n">
        <v>2</v>
      </c>
      <c r="H30">
        <f>MAX(1,A30-G30)</f>
        <v/>
      </c>
      <c r="I30" t="n">
        <v>1</v>
      </c>
      <c r="J30" s="248">
        <f>SUMPRODUCT(($H$4:$H$39+$I$4:$I$39=A30)*$F$4:$F$39)</f>
        <v/>
      </c>
    </row>
    <row r="31">
      <c r="A31" t="n">
        <v>28</v>
      </c>
      <c r="B31" s="247">
        <f>'Monthly Materials'!B33</f>
        <v/>
      </c>
      <c r="C31" s="248">
        <f>'Monthly Materials'!S33</f>
        <v/>
      </c>
      <c r="D31">
        <f>IF(SUM($C$4:$C$39)=0,0,C31/SUM($C$4:$C$39))</f>
        <v/>
      </c>
      <c r="E31" s="248">
        <f>SUM('Procurement Plan'!$K$4:$K$75)</f>
        <v/>
      </c>
      <c r="F31" s="248">
        <f>D31*E31</f>
        <v/>
      </c>
      <c r="G31" t="n">
        <v>2</v>
      </c>
      <c r="H31">
        <f>MAX(1,A31-G31)</f>
        <v/>
      </c>
      <c r="I31" t="n">
        <v>1</v>
      </c>
      <c r="J31" s="248">
        <f>SUMPRODUCT(($H$4:$H$39+$I$4:$I$39=A31)*$F$4:$F$39)</f>
        <v/>
      </c>
    </row>
    <row r="32">
      <c r="A32" t="n">
        <v>29</v>
      </c>
      <c r="B32" s="247">
        <f>'Monthly Materials'!B34</f>
        <v/>
      </c>
      <c r="C32" s="248">
        <f>'Monthly Materials'!S34</f>
        <v/>
      </c>
      <c r="D32">
        <f>IF(SUM($C$4:$C$39)=0,0,C32/SUM($C$4:$C$39))</f>
        <v/>
      </c>
      <c r="E32" s="248">
        <f>SUM('Procurement Plan'!$K$4:$K$75)</f>
        <v/>
      </c>
      <c r="F32" s="248">
        <f>D32*E32</f>
        <v/>
      </c>
      <c r="G32" t="n">
        <v>2</v>
      </c>
      <c r="H32">
        <f>MAX(1,A32-G32)</f>
        <v/>
      </c>
      <c r="I32" t="n">
        <v>1</v>
      </c>
      <c r="J32" s="248">
        <f>SUMPRODUCT(($H$4:$H$39+$I$4:$I$39=A32)*$F$4:$F$39)</f>
        <v/>
      </c>
    </row>
    <row r="33">
      <c r="A33" t="n">
        <v>30</v>
      </c>
      <c r="B33" s="247">
        <f>'Monthly Materials'!B35</f>
        <v/>
      </c>
      <c r="C33" s="248">
        <f>'Monthly Materials'!S35</f>
        <v/>
      </c>
      <c r="D33">
        <f>IF(SUM($C$4:$C$39)=0,0,C33/SUM($C$4:$C$39))</f>
        <v/>
      </c>
      <c r="E33" s="248">
        <f>SUM('Procurement Plan'!$K$4:$K$75)</f>
        <v/>
      </c>
      <c r="F33" s="248">
        <f>D33*E33</f>
        <v/>
      </c>
      <c r="G33" t="n">
        <v>2</v>
      </c>
      <c r="H33">
        <f>MAX(1,A33-G33)</f>
        <v/>
      </c>
      <c r="I33" t="n">
        <v>1</v>
      </c>
      <c r="J33" s="248">
        <f>SUMPRODUCT(($H$4:$H$39+$I$4:$I$39=A33)*$F$4:$F$39)</f>
        <v/>
      </c>
    </row>
    <row r="34">
      <c r="A34" t="n">
        <v>31</v>
      </c>
      <c r="B34" s="247">
        <f>'Monthly Materials'!B36</f>
        <v/>
      </c>
      <c r="C34" s="248">
        <f>'Monthly Materials'!S36</f>
        <v/>
      </c>
      <c r="D34">
        <f>IF(SUM($C$4:$C$39)=0,0,C34/SUM($C$4:$C$39))</f>
        <v/>
      </c>
      <c r="E34" s="248">
        <f>SUM('Procurement Plan'!$K$4:$K$75)</f>
        <v/>
      </c>
      <c r="F34" s="248">
        <f>D34*E34</f>
        <v/>
      </c>
      <c r="G34" t="n">
        <v>2</v>
      </c>
      <c r="H34">
        <f>MAX(1,A34-G34)</f>
        <v/>
      </c>
      <c r="I34" t="n">
        <v>1</v>
      </c>
      <c r="J34" s="248">
        <f>SUMPRODUCT(($H$4:$H$39+$I$4:$I$39=A34)*$F$4:$F$39)</f>
        <v/>
      </c>
    </row>
    <row r="35">
      <c r="A35" t="n">
        <v>32</v>
      </c>
      <c r="B35" s="247">
        <f>'Monthly Materials'!B37</f>
        <v/>
      </c>
      <c r="C35" s="248">
        <f>'Monthly Materials'!S37</f>
        <v/>
      </c>
      <c r="D35">
        <f>IF(SUM($C$4:$C$39)=0,0,C35/SUM($C$4:$C$39))</f>
        <v/>
      </c>
      <c r="E35" s="248">
        <f>SUM('Procurement Plan'!$K$4:$K$75)</f>
        <v/>
      </c>
      <c r="F35" s="248">
        <f>D35*E35</f>
        <v/>
      </c>
      <c r="G35" t="n">
        <v>2</v>
      </c>
      <c r="H35">
        <f>MAX(1,A35-G35)</f>
        <v/>
      </c>
      <c r="I35" t="n">
        <v>1</v>
      </c>
      <c r="J35" s="248">
        <f>SUMPRODUCT(($H$4:$H$39+$I$4:$I$39=A35)*$F$4:$F$39)</f>
        <v/>
      </c>
    </row>
    <row r="36">
      <c r="A36" t="n">
        <v>33</v>
      </c>
      <c r="B36" s="247">
        <f>'Monthly Materials'!B38</f>
        <v/>
      </c>
      <c r="C36" s="248">
        <f>'Monthly Materials'!S38</f>
        <v/>
      </c>
      <c r="D36">
        <f>IF(SUM($C$4:$C$39)=0,0,C36/SUM($C$4:$C$39))</f>
        <v/>
      </c>
      <c r="E36" s="248">
        <f>SUM('Procurement Plan'!$K$4:$K$75)</f>
        <v/>
      </c>
      <c r="F36" s="248">
        <f>D36*E36</f>
        <v/>
      </c>
      <c r="G36" t="n">
        <v>2</v>
      </c>
      <c r="H36">
        <f>MAX(1,A36-G36)</f>
        <v/>
      </c>
      <c r="I36" t="n">
        <v>1</v>
      </c>
      <c r="J36" s="248">
        <f>SUMPRODUCT(($H$4:$H$39+$I$4:$I$39=A36)*$F$4:$F$39)</f>
        <v/>
      </c>
    </row>
    <row r="37">
      <c r="A37" t="n">
        <v>34</v>
      </c>
      <c r="B37" s="247">
        <f>'Monthly Materials'!B39</f>
        <v/>
      </c>
      <c r="C37" s="248">
        <f>'Monthly Materials'!S39</f>
        <v/>
      </c>
      <c r="D37">
        <f>IF(SUM($C$4:$C$39)=0,0,C37/SUM($C$4:$C$39))</f>
        <v/>
      </c>
      <c r="E37" s="248">
        <f>SUM('Procurement Plan'!$K$4:$K$75)</f>
        <v/>
      </c>
      <c r="F37" s="248">
        <f>D37*E37</f>
        <v/>
      </c>
      <c r="G37" t="n">
        <v>2</v>
      </c>
      <c r="H37">
        <f>MAX(1,A37-G37)</f>
        <v/>
      </c>
      <c r="I37" t="n">
        <v>1</v>
      </c>
      <c r="J37" s="248">
        <f>SUMPRODUCT(($H$4:$H$39+$I$4:$I$39=A37)*$F$4:$F$39)</f>
        <v/>
      </c>
    </row>
    <row r="38">
      <c r="A38" t="n">
        <v>35</v>
      </c>
      <c r="B38" s="247">
        <f>'Monthly Materials'!B40</f>
        <v/>
      </c>
      <c r="C38" s="248">
        <f>'Monthly Materials'!S40</f>
        <v/>
      </c>
      <c r="D38">
        <f>IF(SUM($C$4:$C$39)=0,0,C38/SUM($C$4:$C$39))</f>
        <v/>
      </c>
      <c r="E38" s="248">
        <f>SUM('Procurement Plan'!$K$4:$K$75)</f>
        <v/>
      </c>
      <c r="F38" s="248">
        <f>D38*E38</f>
        <v/>
      </c>
      <c r="G38" t="n">
        <v>2</v>
      </c>
      <c r="H38">
        <f>MAX(1,A38-G38)</f>
        <v/>
      </c>
      <c r="I38" t="n">
        <v>1</v>
      </c>
      <c r="J38" s="248">
        <f>SUMPRODUCT(($H$4:$H$39+$I$4:$I$39=A38)*$F$4:$F$39)</f>
        <v/>
      </c>
    </row>
    <row r="39">
      <c r="A39" t="n">
        <v>36</v>
      </c>
      <c r="B39" s="247">
        <f>'Monthly Materials'!B41</f>
        <v/>
      </c>
      <c r="C39" s="248">
        <f>'Monthly Materials'!S41</f>
        <v/>
      </c>
      <c r="D39">
        <f>IF(SUM($C$4:$C$39)=0,0,C39/SUM($C$4:$C$39))</f>
        <v/>
      </c>
      <c r="E39" s="248">
        <f>SUM('Procurement Plan'!$K$4:$K$75)</f>
        <v/>
      </c>
      <c r="F39" s="248">
        <f>D39*E39</f>
        <v/>
      </c>
      <c r="G39" t="n">
        <v>2</v>
      </c>
      <c r="H39">
        <f>MAX(1,A39-G39)</f>
        <v/>
      </c>
      <c r="I39" t="n">
        <v>1</v>
      </c>
      <c r="J39" s="248">
        <f>SUMPRODUCT(($H$4:$H$39+$I$4:$I$39=A39)*$F$4:$F$39)</f>
        <v/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15" customWidth="1" style="88" min="2" max="2"/>
    <col width="10" customWidth="1" style="88" min="3" max="3"/>
    <col width="16" customWidth="1" style="88" min="4" max="4"/>
    <col width="10" customWidth="1" style="88" min="5" max="5"/>
    <col width="15" customWidth="1" style="88" min="6" max="6"/>
    <col width="26" customWidth="1" style="88" min="7" max="7"/>
    <col width="13" customWidth="1" style="88" min="8" max="8"/>
    <col width="10" customWidth="1" style="88" min="9" max="9"/>
    <col width="10" customWidth="1" style="88" min="10" max="10"/>
    <col width="11" customWidth="1" style="88" min="11" max="11"/>
    <col width="16" customWidth="1" style="88" min="12" max="12"/>
    <col width="17" customWidth="1" style="88" min="13" max="13"/>
    <col width="19" customWidth="1" style="88" min="14" max="14"/>
    <col width="13" customWidth="1" style="88" min="15" max="15"/>
    <col width="19" customWidth="1" style="88" min="16" max="16"/>
    <col width="10" customWidth="1" style="88" min="17" max="17"/>
  </cols>
  <sheetData>
    <row r="1">
      <c r="A1" s="249" t="inlineStr">
        <is>
          <t>Supplier Master · approved vendor and commercial-control register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</row>
    <row r="2">
      <c r="A2" s="250" t="inlineStr">
        <is>
          <t>Supplier facts require evidence; blank values remain unapproved rather than being filled with invented defaults.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</row>
    <row r="3">
      <c r="A3" s="231" t="inlineStr">
        <is>
          <t>Supplier ID</t>
        </is>
      </c>
      <c r="B3" s="231" t="inlineStr">
        <is>
          <t>Supplier Name</t>
        </is>
      </c>
      <c r="C3" s="231" t="inlineStr">
        <is>
          <t>Category</t>
        </is>
      </c>
      <c r="D3" s="231" t="inlineStr">
        <is>
          <t>GSTIN / Tax ID</t>
        </is>
      </c>
      <c r="E3" s="231" t="inlineStr">
        <is>
          <t>Currency</t>
        </is>
      </c>
      <c r="F3" s="231" t="inlineStr">
        <is>
          <t>Payment Terms</t>
        </is>
      </c>
      <c r="G3" s="231" t="inlineStr">
        <is>
          <t>Default Lead Time (days)</t>
        </is>
      </c>
      <c r="H3" s="231" t="inlineStr">
        <is>
          <t>Default MOQ</t>
        </is>
      </c>
      <c r="I3" s="231" t="inlineStr">
        <is>
          <t>Country</t>
        </is>
      </c>
      <c r="J3" s="231" t="inlineStr">
        <is>
          <t>Incoterm</t>
        </is>
      </c>
      <c r="K3" s="231" t="inlineStr">
        <is>
          <t>Approved?</t>
        </is>
      </c>
      <c r="L3" s="231" t="inlineStr">
        <is>
          <t>Quality Rating</t>
        </is>
      </c>
      <c r="M3" s="231" t="inlineStr">
        <is>
          <t>Delivery Rating</t>
        </is>
      </c>
      <c r="N3" s="231" t="inlineStr">
        <is>
          <t>Commercial Rating</t>
        </is>
      </c>
      <c r="O3" s="231" t="inlineStr">
        <is>
          <t>Last Review</t>
        </is>
      </c>
      <c r="P3" s="231" t="inlineStr">
        <is>
          <t>Evidence / Source</t>
        </is>
      </c>
      <c r="Q3" s="231" t="inlineStr">
        <is>
          <t>Notes</t>
        </is>
      </c>
    </row>
    <row r="4">
      <c r="A4" s="251" t="n"/>
      <c r="B4" s="251" t="n"/>
      <c r="C4" s="251" t="n"/>
      <c r="D4" s="251" t="n"/>
      <c r="E4" s="251" t="inlineStr">
        <is>
          <t>INR</t>
        </is>
      </c>
      <c r="F4" s="251" t="n"/>
      <c r="G4" s="251" t="n"/>
      <c r="H4" s="251" t="n"/>
      <c r="I4" s="251" t="n"/>
      <c r="J4" s="251" t="n"/>
      <c r="K4" s="251" t="inlineStr">
        <is>
          <t>No</t>
        </is>
      </c>
      <c r="L4" s="251" t="n"/>
      <c r="M4" s="251" t="n"/>
      <c r="N4" s="251" t="n"/>
      <c r="O4" s="251" t="n"/>
      <c r="P4" s="251" t="n"/>
      <c r="Q4" s="251" t="n"/>
    </row>
    <row r="5">
      <c r="A5" s="251" t="n"/>
      <c r="B5" s="251" t="n"/>
      <c r="C5" s="251" t="n"/>
      <c r="D5" s="251" t="n"/>
      <c r="E5" s="251" t="inlineStr">
        <is>
          <t>INR</t>
        </is>
      </c>
      <c r="F5" s="251" t="n"/>
      <c r="G5" s="251" t="n"/>
      <c r="H5" s="251" t="n"/>
      <c r="I5" s="251" t="n"/>
      <c r="J5" s="251" t="n"/>
      <c r="K5" s="251" t="inlineStr">
        <is>
          <t>No</t>
        </is>
      </c>
      <c r="L5" s="251" t="n"/>
      <c r="M5" s="251" t="n"/>
      <c r="N5" s="251" t="n"/>
      <c r="O5" s="251" t="n"/>
      <c r="P5" s="251" t="n"/>
      <c r="Q5" s="251" t="n"/>
    </row>
    <row r="6">
      <c r="A6" s="251" t="n"/>
      <c r="B6" s="251" t="n"/>
      <c r="C6" s="251" t="n"/>
      <c r="D6" s="251" t="n"/>
      <c r="E6" s="251" t="inlineStr">
        <is>
          <t>INR</t>
        </is>
      </c>
      <c r="F6" s="251" t="n"/>
      <c r="G6" s="251" t="n"/>
      <c r="H6" s="251" t="n"/>
      <c r="I6" s="251" t="n"/>
      <c r="J6" s="251" t="n"/>
      <c r="K6" s="251" t="inlineStr">
        <is>
          <t>No</t>
        </is>
      </c>
      <c r="L6" s="251" t="n"/>
      <c r="M6" s="251" t="n"/>
      <c r="N6" s="251" t="n"/>
      <c r="O6" s="251" t="n"/>
      <c r="P6" s="251" t="n"/>
      <c r="Q6" s="251" t="n"/>
    </row>
    <row r="7">
      <c r="A7" s="251" t="n"/>
      <c r="B7" s="251" t="n"/>
      <c r="C7" s="251" t="n"/>
      <c r="D7" s="251" t="n"/>
      <c r="E7" s="251" t="inlineStr">
        <is>
          <t>INR</t>
        </is>
      </c>
      <c r="F7" s="251" t="n"/>
      <c r="G7" s="251" t="n"/>
      <c r="H7" s="251" t="n"/>
      <c r="I7" s="251" t="n"/>
      <c r="J7" s="251" t="n"/>
      <c r="K7" s="251" t="inlineStr">
        <is>
          <t>No</t>
        </is>
      </c>
      <c r="L7" s="251" t="n"/>
      <c r="M7" s="251" t="n"/>
      <c r="N7" s="251" t="n"/>
      <c r="O7" s="251" t="n"/>
      <c r="P7" s="251" t="n"/>
      <c r="Q7" s="251" t="n"/>
    </row>
    <row r="8">
      <c r="A8" s="251" t="n"/>
      <c r="B8" s="251" t="n"/>
      <c r="C8" s="251" t="n"/>
      <c r="D8" s="251" t="n"/>
      <c r="E8" s="251" t="inlineStr">
        <is>
          <t>INR</t>
        </is>
      </c>
      <c r="F8" s="251" t="n"/>
      <c r="G8" s="251" t="n"/>
      <c r="H8" s="251" t="n"/>
      <c r="I8" s="251" t="n"/>
      <c r="J8" s="251" t="n"/>
      <c r="K8" s="251" t="inlineStr">
        <is>
          <t>No</t>
        </is>
      </c>
      <c r="L8" s="251" t="n"/>
      <c r="M8" s="251" t="n"/>
      <c r="N8" s="251" t="n"/>
      <c r="O8" s="251" t="n"/>
      <c r="P8" s="251" t="n"/>
      <c r="Q8" s="251" t="n"/>
    </row>
    <row r="9">
      <c r="A9" s="251" t="n"/>
      <c r="B9" s="251" t="n"/>
      <c r="C9" s="251" t="n"/>
      <c r="D9" s="251" t="n"/>
      <c r="E9" s="251" t="inlineStr">
        <is>
          <t>INR</t>
        </is>
      </c>
      <c r="F9" s="251" t="n"/>
      <c r="G9" s="251" t="n"/>
      <c r="H9" s="251" t="n"/>
      <c r="I9" s="251" t="n"/>
      <c r="J9" s="251" t="n"/>
      <c r="K9" s="251" t="inlineStr">
        <is>
          <t>No</t>
        </is>
      </c>
      <c r="L9" s="251" t="n"/>
      <c r="M9" s="251" t="n"/>
      <c r="N9" s="251" t="n"/>
      <c r="O9" s="251" t="n"/>
      <c r="P9" s="251" t="n"/>
      <c r="Q9" s="251" t="n"/>
    </row>
    <row r="10">
      <c r="A10" s="251" t="n"/>
      <c r="B10" s="251" t="n"/>
      <c r="C10" s="251" t="n"/>
      <c r="D10" s="251" t="n"/>
      <c r="E10" s="251" t="inlineStr">
        <is>
          <t>INR</t>
        </is>
      </c>
      <c r="F10" s="251" t="n"/>
      <c r="G10" s="251" t="n"/>
      <c r="H10" s="251" t="n"/>
      <c r="I10" s="251" t="n"/>
      <c r="J10" s="251" t="n"/>
      <c r="K10" s="251" t="inlineStr">
        <is>
          <t>No</t>
        </is>
      </c>
      <c r="L10" s="251" t="n"/>
      <c r="M10" s="251" t="n"/>
      <c r="N10" s="251" t="n"/>
      <c r="O10" s="251" t="n"/>
      <c r="P10" s="251" t="n"/>
      <c r="Q10" s="251" t="n"/>
    </row>
    <row r="11">
      <c r="A11" s="251" t="n"/>
      <c r="B11" s="251" t="n"/>
      <c r="C11" s="251" t="n"/>
      <c r="D11" s="251" t="n"/>
      <c r="E11" s="251" t="inlineStr">
        <is>
          <t>INR</t>
        </is>
      </c>
      <c r="F11" s="251" t="n"/>
      <c r="G11" s="251" t="n"/>
      <c r="H11" s="251" t="n"/>
      <c r="I11" s="251" t="n"/>
      <c r="J11" s="251" t="n"/>
      <c r="K11" s="251" t="inlineStr">
        <is>
          <t>No</t>
        </is>
      </c>
      <c r="L11" s="251" t="n"/>
      <c r="M11" s="251" t="n"/>
      <c r="N11" s="251" t="n"/>
      <c r="O11" s="251" t="n"/>
      <c r="P11" s="251" t="n"/>
      <c r="Q11" s="251" t="n"/>
    </row>
    <row r="12">
      <c r="A12" s="251" t="n"/>
      <c r="B12" s="251" t="n"/>
      <c r="C12" s="251" t="n"/>
      <c r="D12" s="251" t="n"/>
      <c r="E12" s="251" t="inlineStr">
        <is>
          <t>INR</t>
        </is>
      </c>
      <c r="F12" s="251" t="n"/>
      <c r="G12" s="251" t="n"/>
      <c r="H12" s="251" t="n"/>
      <c r="I12" s="251" t="n"/>
      <c r="J12" s="251" t="n"/>
      <c r="K12" s="251" t="inlineStr">
        <is>
          <t>No</t>
        </is>
      </c>
      <c r="L12" s="251" t="n"/>
      <c r="M12" s="251" t="n"/>
      <c r="N12" s="251" t="n"/>
      <c r="O12" s="251" t="n"/>
      <c r="P12" s="251" t="n"/>
      <c r="Q12" s="251" t="n"/>
    </row>
    <row r="13">
      <c r="A13" s="251" t="n"/>
      <c r="B13" s="251" t="n"/>
      <c r="C13" s="251" t="n"/>
      <c r="D13" s="251" t="n"/>
      <c r="E13" s="251" t="inlineStr">
        <is>
          <t>INR</t>
        </is>
      </c>
      <c r="F13" s="251" t="n"/>
      <c r="G13" s="251" t="n"/>
      <c r="H13" s="251" t="n"/>
      <c r="I13" s="251" t="n"/>
      <c r="J13" s="251" t="n"/>
      <c r="K13" s="251" t="inlineStr">
        <is>
          <t>No</t>
        </is>
      </c>
      <c r="L13" s="251" t="n"/>
      <c r="M13" s="251" t="n"/>
      <c r="N13" s="251" t="n"/>
      <c r="O13" s="251" t="n"/>
      <c r="P13" s="251" t="n"/>
      <c r="Q13" s="251" t="n"/>
    </row>
    <row r="14">
      <c r="A14" s="251" t="n"/>
      <c r="B14" s="251" t="n"/>
      <c r="C14" s="251" t="n"/>
      <c r="D14" s="251" t="n"/>
      <c r="E14" s="251" t="inlineStr">
        <is>
          <t>INR</t>
        </is>
      </c>
      <c r="F14" s="251" t="n"/>
      <c r="G14" s="251" t="n"/>
      <c r="H14" s="251" t="n"/>
      <c r="I14" s="251" t="n"/>
      <c r="J14" s="251" t="n"/>
      <c r="K14" s="251" t="inlineStr">
        <is>
          <t>No</t>
        </is>
      </c>
      <c r="L14" s="251" t="n"/>
      <c r="M14" s="251" t="n"/>
      <c r="N14" s="251" t="n"/>
      <c r="O14" s="251" t="n"/>
      <c r="P14" s="251" t="n"/>
      <c r="Q14" s="251" t="n"/>
    </row>
    <row r="15">
      <c r="A15" s="251" t="n"/>
      <c r="B15" s="251" t="n"/>
      <c r="C15" s="251" t="n"/>
      <c r="D15" s="251" t="n"/>
      <c r="E15" s="251" t="inlineStr">
        <is>
          <t>INR</t>
        </is>
      </c>
      <c r="F15" s="251" t="n"/>
      <c r="G15" s="251" t="n"/>
      <c r="H15" s="251" t="n"/>
      <c r="I15" s="251" t="n"/>
      <c r="J15" s="251" t="n"/>
      <c r="K15" s="251" t="inlineStr">
        <is>
          <t>No</t>
        </is>
      </c>
      <c r="L15" s="251" t="n"/>
      <c r="M15" s="251" t="n"/>
      <c r="N15" s="251" t="n"/>
      <c r="O15" s="251" t="n"/>
      <c r="P15" s="251" t="n"/>
      <c r="Q15" s="251" t="n"/>
    </row>
    <row r="16">
      <c r="A16" s="251" t="n"/>
      <c r="B16" s="251" t="n"/>
      <c r="C16" s="251" t="n"/>
      <c r="D16" s="251" t="n"/>
      <c r="E16" s="251" t="inlineStr">
        <is>
          <t>INR</t>
        </is>
      </c>
      <c r="F16" s="251" t="n"/>
      <c r="G16" s="251" t="n"/>
      <c r="H16" s="251" t="n"/>
      <c r="I16" s="251" t="n"/>
      <c r="J16" s="251" t="n"/>
      <c r="K16" s="251" t="inlineStr">
        <is>
          <t>No</t>
        </is>
      </c>
      <c r="L16" s="251" t="n"/>
      <c r="M16" s="251" t="n"/>
      <c r="N16" s="251" t="n"/>
      <c r="O16" s="251" t="n"/>
      <c r="P16" s="251" t="n"/>
      <c r="Q16" s="251" t="n"/>
    </row>
    <row r="17">
      <c r="A17" s="251" t="n"/>
      <c r="B17" s="251" t="n"/>
      <c r="C17" s="251" t="n"/>
      <c r="D17" s="251" t="n"/>
      <c r="E17" s="251" t="inlineStr">
        <is>
          <t>INR</t>
        </is>
      </c>
      <c r="F17" s="251" t="n"/>
      <c r="G17" s="251" t="n"/>
      <c r="H17" s="251" t="n"/>
      <c r="I17" s="251" t="n"/>
      <c r="J17" s="251" t="n"/>
      <c r="K17" s="251" t="inlineStr">
        <is>
          <t>No</t>
        </is>
      </c>
      <c r="L17" s="251" t="n"/>
      <c r="M17" s="251" t="n"/>
      <c r="N17" s="251" t="n"/>
      <c r="O17" s="251" t="n"/>
      <c r="P17" s="251" t="n"/>
      <c r="Q17" s="251" t="n"/>
    </row>
    <row r="18">
      <c r="A18" s="251" t="n"/>
      <c r="B18" s="251" t="n"/>
      <c r="C18" s="251" t="n"/>
      <c r="D18" s="251" t="n"/>
      <c r="E18" s="251" t="inlineStr">
        <is>
          <t>INR</t>
        </is>
      </c>
      <c r="F18" s="251" t="n"/>
      <c r="G18" s="251" t="n"/>
      <c r="H18" s="251" t="n"/>
      <c r="I18" s="251" t="n"/>
      <c r="J18" s="251" t="n"/>
      <c r="K18" s="251" t="inlineStr">
        <is>
          <t>No</t>
        </is>
      </c>
      <c r="L18" s="251" t="n"/>
      <c r="M18" s="251" t="n"/>
      <c r="N18" s="251" t="n"/>
      <c r="O18" s="251" t="n"/>
      <c r="P18" s="251" t="n"/>
      <c r="Q18" s="251" t="n"/>
    </row>
    <row r="19">
      <c r="A19" s="251" t="n"/>
      <c r="B19" s="251" t="n"/>
      <c r="C19" s="251" t="n"/>
      <c r="D19" s="251" t="n"/>
      <c r="E19" s="251" t="inlineStr">
        <is>
          <t>INR</t>
        </is>
      </c>
      <c r="F19" s="251" t="n"/>
      <c r="G19" s="251" t="n"/>
      <c r="H19" s="251" t="n"/>
      <c r="I19" s="251" t="n"/>
      <c r="J19" s="251" t="n"/>
      <c r="K19" s="251" t="inlineStr">
        <is>
          <t>No</t>
        </is>
      </c>
      <c r="L19" s="251" t="n"/>
      <c r="M19" s="251" t="n"/>
      <c r="N19" s="251" t="n"/>
      <c r="O19" s="251" t="n"/>
      <c r="P19" s="251" t="n"/>
      <c r="Q19" s="251" t="n"/>
    </row>
    <row r="20">
      <c r="A20" s="251" t="n"/>
      <c r="B20" s="251" t="n"/>
      <c r="C20" s="251" t="n"/>
      <c r="D20" s="251" t="n"/>
      <c r="E20" s="251" t="inlineStr">
        <is>
          <t>INR</t>
        </is>
      </c>
      <c r="F20" s="251" t="n"/>
      <c r="G20" s="251" t="n"/>
      <c r="H20" s="251" t="n"/>
      <c r="I20" s="251" t="n"/>
      <c r="J20" s="251" t="n"/>
      <c r="K20" s="251" t="inlineStr">
        <is>
          <t>No</t>
        </is>
      </c>
      <c r="L20" s="251" t="n"/>
      <c r="M20" s="251" t="n"/>
      <c r="N20" s="251" t="n"/>
      <c r="O20" s="251" t="n"/>
      <c r="P20" s="251" t="n"/>
      <c r="Q20" s="251" t="n"/>
    </row>
    <row r="21">
      <c r="A21" s="251" t="n"/>
      <c r="B21" s="251" t="n"/>
      <c r="C21" s="251" t="n"/>
      <c r="D21" s="251" t="n"/>
      <c r="E21" s="251" t="inlineStr">
        <is>
          <t>INR</t>
        </is>
      </c>
      <c r="F21" s="251" t="n"/>
      <c r="G21" s="251" t="n"/>
      <c r="H21" s="251" t="n"/>
      <c r="I21" s="251" t="n"/>
      <c r="J21" s="251" t="n"/>
      <c r="K21" s="251" t="inlineStr">
        <is>
          <t>No</t>
        </is>
      </c>
      <c r="L21" s="251" t="n"/>
      <c r="M21" s="251" t="n"/>
      <c r="N21" s="251" t="n"/>
      <c r="O21" s="251" t="n"/>
      <c r="P21" s="251" t="n"/>
      <c r="Q21" s="251" t="n"/>
    </row>
    <row r="22">
      <c r="A22" s="251" t="n"/>
      <c r="B22" s="251" t="n"/>
      <c r="C22" s="251" t="n"/>
      <c r="D22" s="251" t="n"/>
      <c r="E22" s="251" t="inlineStr">
        <is>
          <t>INR</t>
        </is>
      </c>
      <c r="F22" s="251" t="n"/>
      <c r="G22" s="251" t="n"/>
      <c r="H22" s="251" t="n"/>
      <c r="I22" s="251" t="n"/>
      <c r="J22" s="251" t="n"/>
      <c r="K22" s="251" t="inlineStr">
        <is>
          <t>No</t>
        </is>
      </c>
      <c r="L22" s="251" t="n"/>
      <c r="M22" s="251" t="n"/>
      <c r="N22" s="251" t="n"/>
      <c r="O22" s="251" t="n"/>
      <c r="P22" s="251" t="n"/>
      <c r="Q22" s="251" t="n"/>
    </row>
    <row r="23">
      <c r="A23" s="251" t="n"/>
      <c r="B23" s="251" t="n"/>
      <c r="C23" s="251" t="n"/>
      <c r="D23" s="251" t="n"/>
      <c r="E23" s="251" t="inlineStr">
        <is>
          <t>INR</t>
        </is>
      </c>
      <c r="F23" s="251" t="n"/>
      <c r="G23" s="251" t="n"/>
      <c r="H23" s="251" t="n"/>
      <c r="I23" s="251" t="n"/>
      <c r="J23" s="251" t="n"/>
      <c r="K23" s="251" t="inlineStr">
        <is>
          <t>No</t>
        </is>
      </c>
      <c r="L23" s="251" t="n"/>
      <c r="M23" s="251" t="n"/>
      <c r="N23" s="251" t="n"/>
      <c r="O23" s="251" t="n"/>
      <c r="P23" s="251" t="n"/>
      <c r="Q23" s="251" t="n"/>
    </row>
    <row r="24">
      <c r="A24" s="251" t="n"/>
      <c r="B24" s="251" t="n"/>
      <c r="C24" s="251" t="n"/>
      <c r="D24" s="251" t="n"/>
      <c r="E24" s="251" t="inlineStr">
        <is>
          <t>INR</t>
        </is>
      </c>
      <c r="F24" s="251" t="n"/>
      <c r="G24" s="251" t="n"/>
      <c r="H24" s="251" t="n"/>
      <c r="I24" s="251" t="n"/>
      <c r="J24" s="251" t="n"/>
      <c r="K24" s="251" t="inlineStr">
        <is>
          <t>No</t>
        </is>
      </c>
      <c r="L24" s="251" t="n"/>
      <c r="M24" s="251" t="n"/>
      <c r="N24" s="251" t="n"/>
      <c r="O24" s="251" t="n"/>
      <c r="P24" s="251" t="n"/>
      <c r="Q24" s="251" t="n"/>
    </row>
    <row r="25">
      <c r="A25" s="251" t="n"/>
      <c r="B25" s="251" t="n"/>
      <c r="C25" s="251" t="n"/>
      <c r="D25" s="251" t="n"/>
      <c r="E25" s="251" t="inlineStr">
        <is>
          <t>INR</t>
        </is>
      </c>
      <c r="F25" s="251" t="n"/>
      <c r="G25" s="251" t="n"/>
      <c r="H25" s="251" t="n"/>
      <c r="I25" s="251" t="n"/>
      <c r="J25" s="251" t="n"/>
      <c r="K25" s="251" t="inlineStr">
        <is>
          <t>No</t>
        </is>
      </c>
      <c r="L25" s="251" t="n"/>
      <c r="M25" s="251" t="n"/>
      <c r="N25" s="251" t="n"/>
      <c r="O25" s="251" t="n"/>
      <c r="P25" s="251" t="n"/>
      <c r="Q25" s="251" t="n"/>
    </row>
    <row r="26">
      <c r="A26" s="251" t="n"/>
      <c r="B26" s="251" t="n"/>
      <c r="C26" s="251" t="n"/>
      <c r="D26" s="251" t="n"/>
      <c r="E26" s="251" t="inlineStr">
        <is>
          <t>INR</t>
        </is>
      </c>
      <c r="F26" s="251" t="n"/>
      <c r="G26" s="251" t="n"/>
      <c r="H26" s="251" t="n"/>
      <c r="I26" s="251" t="n"/>
      <c r="J26" s="251" t="n"/>
      <c r="K26" s="251" t="inlineStr">
        <is>
          <t>No</t>
        </is>
      </c>
      <c r="L26" s="251" t="n"/>
      <c r="M26" s="251" t="n"/>
      <c r="N26" s="251" t="n"/>
      <c r="O26" s="251" t="n"/>
      <c r="P26" s="251" t="n"/>
      <c r="Q26" s="251" t="n"/>
    </row>
    <row r="27">
      <c r="A27" s="251" t="n"/>
      <c r="B27" s="251" t="n"/>
      <c r="C27" s="251" t="n"/>
      <c r="D27" s="251" t="n"/>
      <c r="E27" s="251" t="inlineStr">
        <is>
          <t>INR</t>
        </is>
      </c>
      <c r="F27" s="251" t="n"/>
      <c r="G27" s="251" t="n"/>
      <c r="H27" s="251" t="n"/>
      <c r="I27" s="251" t="n"/>
      <c r="J27" s="251" t="n"/>
      <c r="K27" s="251" t="inlineStr">
        <is>
          <t>No</t>
        </is>
      </c>
      <c r="L27" s="251" t="n"/>
      <c r="M27" s="251" t="n"/>
      <c r="N27" s="251" t="n"/>
      <c r="O27" s="251" t="n"/>
      <c r="P27" s="251" t="n"/>
      <c r="Q27" s="251" t="n"/>
    </row>
    <row r="28">
      <c r="A28" s="251" t="n"/>
      <c r="B28" s="251" t="n"/>
      <c r="C28" s="251" t="n"/>
      <c r="D28" s="251" t="n"/>
      <c r="E28" s="251" t="inlineStr">
        <is>
          <t>INR</t>
        </is>
      </c>
      <c r="F28" s="251" t="n"/>
      <c r="G28" s="251" t="n"/>
      <c r="H28" s="251" t="n"/>
      <c r="I28" s="251" t="n"/>
      <c r="J28" s="251" t="n"/>
      <c r="K28" s="251" t="inlineStr">
        <is>
          <t>No</t>
        </is>
      </c>
      <c r="L28" s="251" t="n"/>
      <c r="M28" s="251" t="n"/>
      <c r="N28" s="251" t="n"/>
      <c r="O28" s="251" t="n"/>
      <c r="P28" s="251" t="n"/>
      <c r="Q28" s="251" t="n"/>
    </row>
    <row r="29">
      <c r="A29" s="251" t="n"/>
      <c r="B29" s="251" t="n"/>
      <c r="C29" s="251" t="n"/>
      <c r="D29" s="251" t="n"/>
      <c r="E29" s="251" t="inlineStr">
        <is>
          <t>INR</t>
        </is>
      </c>
      <c r="F29" s="251" t="n"/>
      <c r="G29" s="251" t="n"/>
      <c r="H29" s="251" t="n"/>
      <c r="I29" s="251" t="n"/>
      <c r="J29" s="251" t="n"/>
      <c r="K29" s="251" t="inlineStr">
        <is>
          <t>No</t>
        </is>
      </c>
      <c r="L29" s="251" t="n"/>
      <c r="M29" s="251" t="n"/>
      <c r="N29" s="251" t="n"/>
      <c r="O29" s="251" t="n"/>
      <c r="P29" s="251" t="n"/>
      <c r="Q29" s="251" t="n"/>
    </row>
    <row r="30">
      <c r="A30" s="251" t="n"/>
      <c r="B30" s="251" t="n"/>
      <c r="C30" s="251" t="n"/>
      <c r="D30" s="251" t="n"/>
      <c r="E30" s="251" t="inlineStr">
        <is>
          <t>INR</t>
        </is>
      </c>
      <c r="F30" s="251" t="n"/>
      <c r="G30" s="251" t="n"/>
      <c r="H30" s="251" t="n"/>
      <c r="I30" s="251" t="n"/>
      <c r="J30" s="251" t="n"/>
      <c r="K30" s="251" t="inlineStr">
        <is>
          <t>No</t>
        </is>
      </c>
      <c r="L30" s="251" t="n"/>
      <c r="M30" s="251" t="n"/>
      <c r="N30" s="251" t="n"/>
      <c r="O30" s="251" t="n"/>
      <c r="P30" s="251" t="n"/>
      <c r="Q30" s="251" t="n"/>
    </row>
    <row r="31">
      <c r="A31" s="251" t="n"/>
      <c r="B31" s="251" t="n"/>
      <c r="C31" s="251" t="n"/>
      <c r="D31" s="251" t="n"/>
      <c r="E31" s="251" t="inlineStr">
        <is>
          <t>INR</t>
        </is>
      </c>
      <c r="F31" s="251" t="n"/>
      <c r="G31" s="251" t="n"/>
      <c r="H31" s="251" t="n"/>
      <c r="I31" s="251" t="n"/>
      <c r="J31" s="251" t="n"/>
      <c r="K31" s="251" t="inlineStr">
        <is>
          <t>No</t>
        </is>
      </c>
      <c r="L31" s="251" t="n"/>
      <c r="M31" s="251" t="n"/>
      <c r="N31" s="251" t="n"/>
      <c r="O31" s="251" t="n"/>
      <c r="P31" s="251" t="n"/>
      <c r="Q31" s="251" t="n"/>
    </row>
    <row r="32">
      <c r="A32" s="251" t="n"/>
      <c r="B32" s="251" t="n"/>
      <c r="C32" s="251" t="n"/>
      <c r="D32" s="251" t="n"/>
      <c r="E32" s="251" t="inlineStr">
        <is>
          <t>INR</t>
        </is>
      </c>
      <c r="F32" s="251" t="n"/>
      <c r="G32" s="251" t="n"/>
      <c r="H32" s="251" t="n"/>
      <c r="I32" s="251" t="n"/>
      <c r="J32" s="251" t="n"/>
      <c r="K32" s="251" t="inlineStr">
        <is>
          <t>No</t>
        </is>
      </c>
      <c r="L32" s="251" t="n"/>
      <c r="M32" s="251" t="n"/>
      <c r="N32" s="251" t="n"/>
      <c r="O32" s="251" t="n"/>
      <c r="P32" s="251" t="n"/>
      <c r="Q32" s="251" t="n"/>
    </row>
    <row r="33">
      <c r="A33" s="251" t="n"/>
      <c r="B33" s="251" t="n"/>
      <c r="C33" s="251" t="n"/>
      <c r="D33" s="251" t="n"/>
      <c r="E33" s="251" t="inlineStr">
        <is>
          <t>INR</t>
        </is>
      </c>
      <c r="F33" s="251" t="n"/>
      <c r="G33" s="251" t="n"/>
      <c r="H33" s="251" t="n"/>
      <c r="I33" s="251" t="n"/>
      <c r="J33" s="251" t="n"/>
      <c r="K33" s="251" t="inlineStr">
        <is>
          <t>No</t>
        </is>
      </c>
      <c r="L33" s="251" t="n"/>
      <c r="M33" s="251" t="n"/>
      <c r="N33" s="251" t="n"/>
      <c r="O33" s="251" t="n"/>
      <c r="P33" s="251" t="n"/>
      <c r="Q33" s="251" t="n"/>
    </row>
    <row r="34">
      <c r="A34" s="251" t="n"/>
      <c r="B34" s="251" t="n"/>
      <c r="C34" s="251" t="n"/>
      <c r="D34" s="251" t="n"/>
      <c r="E34" s="251" t="inlineStr">
        <is>
          <t>INR</t>
        </is>
      </c>
      <c r="F34" s="251" t="n"/>
      <c r="G34" s="251" t="n"/>
      <c r="H34" s="251" t="n"/>
      <c r="I34" s="251" t="n"/>
      <c r="J34" s="251" t="n"/>
      <c r="K34" s="251" t="inlineStr">
        <is>
          <t>No</t>
        </is>
      </c>
      <c r="L34" s="251" t="n"/>
      <c r="M34" s="251" t="n"/>
      <c r="N34" s="251" t="n"/>
      <c r="O34" s="251" t="n"/>
      <c r="P34" s="251" t="n"/>
      <c r="Q34" s="251" t="n"/>
    </row>
    <row r="35">
      <c r="A35" s="251" t="n"/>
      <c r="B35" s="251" t="n"/>
      <c r="C35" s="251" t="n"/>
      <c r="D35" s="251" t="n"/>
      <c r="E35" s="251" t="inlineStr">
        <is>
          <t>INR</t>
        </is>
      </c>
      <c r="F35" s="251" t="n"/>
      <c r="G35" s="251" t="n"/>
      <c r="H35" s="251" t="n"/>
      <c r="I35" s="251" t="n"/>
      <c r="J35" s="251" t="n"/>
      <c r="K35" s="251" t="inlineStr">
        <is>
          <t>No</t>
        </is>
      </c>
      <c r="L35" s="251" t="n"/>
      <c r="M35" s="251" t="n"/>
      <c r="N35" s="251" t="n"/>
      <c r="O35" s="251" t="n"/>
      <c r="P35" s="251" t="n"/>
      <c r="Q35" s="251" t="n"/>
    </row>
    <row r="36">
      <c r="A36" s="251" t="n"/>
      <c r="B36" s="251" t="n"/>
      <c r="C36" s="251" t="n"/>
      <c r="D36" s="251" t="n"/>
      <c r="E36" s="251" t="inlineStr">
        <is>
          <t>INR</t>
        </is>
      </c>
      <c r="F36" s="251" t="n"/>
      <c r="G36" s="251" t="n"/>
      <c r="H36" s="251" t="n"/>
      <c r="I36" s="251" t="n"/>
      <c r="J36" s="251" t="n"/>
      <c r="K36" s="251" t="inlineStr">
        <is>
          <t>No</t>
        </is>
      </c>
      <c r="L36" s="251" t="n"/>
      <c r="M36" s="251" t="n"/>
      <c r="N36" s="251" t="n"/>
      <c r="O36" s="251" t="n"/>
      <c r="P36" s="251" t="n"/>
      <c r="Q36" s="251" t="n"/>
    </row>
    <row r="37">
      <c r="A37" s="251" t="n"/>
      <c r="B37" s="251" t="n"/>
      <c r="C37" s="251" t="n"/>
      <c r="D37" s="251" t="n"/>
      <c r="E37" s="251" t="inlineStr">
        <is>
          <t>INR</t>
        </is>
      </c>
      <c r="F37" s="251" t="n"/>
      <c r="G37" s="251" t="n"/>
      <c r="H37" s="251" t="n"/>
      <c r="I37" s="251" t="n"/>
      <c r="J37" s="251" t="n"/>
      <c r="K37" s="251" t="inlineStr">
        <is>
          <t>No</t>
        </is>
      </c>
      <c r="L37" s="251" t="n"/>
      <c r="M37" s="251" t="n"/>
      <c r="N37" s="251" t="n"/>
      <c r="O37" s="251" t="n"/>
      <c r="P37" s="251" t="n"/>
      <c r="Q37" s="251" t="n"/>
    </row>
    <row r="38">
      <c r="A38" s="251" t="n"/>
      <c r="B38" s="251" t="n"/>
      <c r="C38" s="251" t="n"/>
      <c r="D38" s="251" t="n"/>
      <c r="E38" s="251" t="inlineStr">
        <is>
          <t>INR</t>
        </is>
      </c>
      <c r="F38" s="251" t="n"/>
      <c r="G38" s="251" t="n"/>
      <c r="H38" s="251" t="n"/>
      <c r="I38" s="251" t="n"/>
      <c r="J38" s="251" t="n"/>
      <c r="K38" s="251" t="inlineStr">
        <is>
          <t>No</t>
        </is>
      </c>
      <c r="L38" s="251" t="n"/>
      <c r="M38" s="251" t="n"/>
      <c r="N38" s="251" t="n"/>
      <c r="O38" s="251" t="n"/>
      <c r="P38" s="251" t="n"/>
      <c r="Q38" s="251" t="n"/>
    </row>
    <row r="39">
      <c r="A39" s="251" t="n"/>
      <c r="B39" s="251" t="n"/>
      <c r="C39" s="251" t="n"/>
      <c r="D39" s="251" t="n"/>
      <c r="E39" s="251" t="inlineStr">
        <is>
          <t>INR</t>
        </is>
      </c>
      <c r="F39" s="251" t="n"/>
      <c r="G39" s="251" t="n"/>
      <c r="H39" s="251" t="n"/>
      <c r="I39" s="251" t="n"/>
      <c r="J39" s="251" t="n"/>
      <c r="K39" s="251" t="inlineStr">
        <is>
          <t>No</t>
        </is>
      </c>
      <c r="L39" s="251" t="n"/>
      <c r="M39" s="251" t="n"/>
      <c r="N39" s="251" t="n"/>
      <c r="O39" s="251" t="n"/>
      <c r="P39" s="251" t="n"/>
      <c r="Q39" s="251" t="n"/>
    </row>
    <row r="40">
      <c r="A40" s="251" t="n"/>
      <c r="B40" s="251" t="n"/>
      <c r="C40" s="251" t="n"/>
      <c r="D40" s="251" t="n"/>
      <c r="E40" s="251" t="inlineStr">
        <is>
          <t>INR</t>
        </is>
      </c>
      <c r="F40" s="251" t="n"/>
      <c r="G40" s="251" t="n"/>
      <c r="H40" s="251" t="n"/>
      <c r="I40" s="251" t="n"/>
      <c r="J40" s="251" t="n"/>
      <c r="K40" s="251" t="inlineStr">
        <is>
          <t>No</t>
        </is>
      </c>
      <c r="L40" s="251" t="n"/>
      <c r="M40" s="251" t="n"/>
      <c r="N40" s="251" t="n"/>
      <c r="O40" s="251" t="n"/>
      <c r="P40" s="251" t="n"/>
      <c r="Q40" s="251" t="n"/>
    </row>
    <row r="41">
      <c r="A41" s="251" t="n"/>
      <c r="B41" s="251" t="n"/>
      <c r="C41" s="251" t="n"/>
      <c r="D41" s="251" t="n"/>
      <c r="E41" s="251" t="inlineStr">
        <is>
          <t>INR</t>
        </is>
      </c>
      <c r="F41" s="251" t="n"/>
      <c r="G41" s="251" t="n"/>
      <c r="H41" s="251" t="n"/>
      <c r="I41" s="251" t="n"/>
      <c r="J41" s="251" t="n"/>
      <c r="K41" s="251" t="inlineStr">
        <is>
          <t>No</t>
        </is>
      </c>
      <c r="L41" s="251" t="n"/>
      <c r="M41" s="251" t="n"/>
      <c r="N41" s="251" t="n"/>
      <c r="O41" s="251" t="n"/>
      <c r="P41" s="251" t="n"/>
      <c r="Q41" s="251" t="n"/>
    </row>
    <row r="42">
      <c r="A42" s="251" t="n"/>
      <c r="B42" s="251" t="n"/>
      <c r="C42" s="251" t="n"/>
      <c r="D42" s="251" t="n"/>
      <c r="E42" s="251" t="inlineStr">
        <is>
          <t>INR</t>
        </is>
      </c>
      <c r="F42" s="251" t="n"/>
      <c r="G42" s="251" t="n"/>
      <c r="H42" s="251" t="n"/>
      <c r="I42" s="251" t="n"/>
      <c r="J42" s="251" t="n"/>
      <c r="K42" s="251" t="inlineStr">
        <is>
          <t>No</t>
        </is>
      </c>
      <c r="L42" s="251" t="n"/>
      <c r="M42" s="251" t="n"/>
      <c r="N42" s="251" t="n"/>
      <c r="O42" s="251" t="n"/>
      <c r="P42" s="251" t="n"/>
      <c r="Q42" s="251" t="n"/>
    </row>
    <row r="43">
      <c r="A43" s="251" t="n"/>
      <c r="B43" s="251" t="n"/>
      <c r="C43" s="251" t="n"/>
      <c r="D43" s="251" t="n"/>
      <c r="E43" s="251" t="inlineStr">
        <is>
          <t>INR</t>
        </is>
      </c>
      <c r="F43" s="251" t="n"/>
      <c r="G43" s="251" t="n"/>
      <c r="H43" s="251" t="n"/>
      <c r="I43" s="251" t="n"/>
      <c r="J43" s="251" t="n"/>
      <c r="K43" s="251" t="inlineStr">
        <is>
          <t>No</t>
        </is>
      </c>
      <c r="L43" s="251" t="n"/>
      <c r="M43" s="251" t="n"/>
      <c r="N43" s="251" t="n"/>
      <c r="O43" s="251" t="n"/>
      <c r="P43" s="251" t="n"/>
      <c r="Q43" s="251" t="n"/>
    </row>
    <row r="44">
      <c r="A44" s="251" t="n"/>
      <c r="B44" s="251" t="n"/>
      <c r="C44" s="251" t="n"/>
      <c r="D44" s="251" t="n"/>
      <c r="E44" s="251" t="inlineStr">
        <is>
          <t>INR</t>
        </is>
      </c>
      <c r="F44" s="251" t="n"/>
      <c r="G44" s="251" t="n"/>
      <c r="H44" s="251" t="n"/>
      <c r="I44" s="251" t="n"/>
      <c r="J44" s="251" t="n"/>
      <c r="K44" s="251" t="inlineStr">
        <is>
          <t>No</t>
        </is>
      </c>
      <c r="L44" s="251" t="n"/>
      <c r="M44" s="251" t="n"/>
      <c r="N44" s="251" t="n"/>
      <c r="O44" s="251" t="n"/>
      <c r="P44" s="251" t="n"/>
      <c r="Q44" s="251" t="n"/>
    </row>
    <row r="45">
      <c r="A45" s="251" t="n"/>
      <c r="B45" s="251" t="n"/>
      <c r="C45" s="251" t="n"/>
      <c r="D45" s="251" t="n"/>
      <c r="E45" s="251" t="inlineStr">
        <is>
          <t>INR</t>
        </is>
      </c>
      <c r="F45" s="251" t="n"/>
      <c r="G45" s="251" t="n"/>
      <c r="H45" s="251" t="n"/>
      <c r="I45" s="251" t="n"/>
      <c r="J45" s="251" t="n"/>
      <c r="K45" s="251" t="inlineStr">
        <is>
          <t>No</t>
        </is>
      </c>
      <c r="L45" s="251" t="n"/>
      <c r="M45" s="251" t="n"/>
      <c r="N45" s="251" t="n"/>
      <c r="O45" s="251" t="n"/>
      <c r="P45" s="251" t="n"/>
      <c r="Q45" s="251" t="n"/>
    </row>
    <row r="46">
      <c r="A46" s="251" t="n"/>
      <c r="B46" s="251" t="n"/>
      <c r="C46" s="251" t="n"/>
      <c r="D46" s="251" t="n"/>
      <c r="E46" s="251" t="inlineStr">
        <is>
          <t>INR</t>
        </is>
      </c>
      <c r="F46" s="251" t="n"/>
      <c r="G46" s="251" t="n"/>
      <c r="H46" s="251" t="n"/>
      <c r="I46" s="251" t="n"/>
      <c r="J46" s="251" t="n"/>
      <c r="K46" s="251" t="inlineStr">
        <is>
          <t>No</t>
        </is>
      </c>
      <c r="L46" s="251" t="n"/>
      <c r="M46" s="251" t="n"/>
      <c r="N46" s="251" t="n"/>
      <c r="O46" s="251" t="n"/>
      <c r="P46" s="251" t="n"/>
      <c r="Q46" s="251" t="n"/>
    </row>
    <row r="47">
      <c r="A47" s="251" t="n"/>
      <c r="B47" s="251" t="n"/>
      <c r="C47" s="251" t="n"/>
      <c r="D47" s="251" t="n"/>
      <c r="E47" s="251" t="inlineStr">
        <is>
          <t>INR</t>
        </is>
      </c>
      <c r="F47" s="251" t="n"/>
      <c r="G47" s="251" t="n"/>
      <c r="H47" s="251" t="n"/>
      <c r="I47" s="251" t="n"/>
      <c r="J47" s="251" t="n"/>
      <c r="K47" s="251" t="inlineStr">
        <is>
          <t>No</t>
        </is>
      </c>
      <c r="L47" s="251" t="n"/>
      <c r="M47" s="251" t="n"/>
      <c r="N47" s="251" t="n"/>
      <c r="O47" s="251" t="n"/>
      <c r="P47" s="251" t="n"/>
      <c r="Q47" s="251" t="n"/>
    </row>
    <row r="48">
      <c r="A48" s="251" t="n"/>
      <c r="B48" s="251" t="n"/>
      <c r="C48" s="251" t="n"/>
      <c r="D48" s="251" t="n"/>
      <c r="E48" s="251" t="inlineStr">
        <is>
          <t>INR</t>
        </is>
      </c>
      <c r="F48" s="251" t="n"/>
      <c r="G48" s="251" t="n"/>
      <c r="H48" s="251" t="n"/>
      <c r="I48" s="251" t="n"/>
      <c r="J48" s="251" t="n"/>
      <c r="K48" s="251" t="inlineStr">
        <is>
          <t>No</t>
        </is>
      </c>
      <c r="L48" s="251" t="n"/>
      <c r="M48" s="251" t="n"/>
      <c r="N48" s="251" t="n"/>
      <c r="O48" s="251" t="n"/>
      <c r="P48" s="251" t="n"/>
      <c r="Q48" s="251" t="n"/>
    </row>
    <row r="49">
      <c r="A49" s="251" t="n"/>
      <c r="B49" s="251" t="n"/>
      <c r="C49" s="251" t="n"/>
      <c r="D49" s="251" t="n"/>
      <c r="E49" s="251" t="inlineStr">
        <is>
          <t>INR</t>
        </is>
      </c>
      <c r="F49" s="251" t="n"/>
      <c r="G49" s="251" t="n"/>
      <c r="H49" s="251" t="n"/>
      <c r="I49" s="251" t="n"/>
      <c r="J49" s="251" t="n"/>
      <c r="K49" s="251" t="inlineStr">
        <is>
          <t>No</t>
        </is>
      </c>
      <c r="L49" s="251" t="n"/>
      <c r="M49" s="251" t="n"/>
      <c r="N49" s="251" t="n"/>
      <c r="O49" s="251" t="n"/>
      <c r="P49" s="251" t="n"/>
      <c r="Q49" s="251" t="n"/>
    </row>
    <row r="50">
      <c r="A50" s="251" t="n"/>
      <c r="B50" s="251" t="n"/>
      <c r="C50" s="251" t="n"/>
      <c r="D50" s="251" t="n"/>
      <c r="E50" s="251" t="inlineStr">
        <is>
          <t>INR</t>
        </is>
      </c>
      <c r="F50" s="251" t="n"/>
      <c r="G50" s="251" t="n"/>
      <c r="H50" s="251" t="n"/>
      <c r="I50" s="251" t="n"/>
      <c r="J50" s="251" t="n"/>
      <c r="K50" s="251" t="inlineStr">
        <is>
          <t>No</t>
        </is>
      </c>
      <c r="L50" s="251" t="n"/>
      <c r="M50" s="251" t="n"/>
      <c r="N50" s="251" t="n"/>
      <c r="O50" s="251" t="n"/>
      <c r="P50" s="251" t="n"/>
      <c r="Q50" s="251" t="n"/>
    </row>
    <row r="51">
      <c r="A51" s="251" t="n"/>
      <c r="B51" s="251" t="n"/>
      <c r="C51" s="251" t="n"/>
      <c r="D51" s="251" t="n"/>
      <c r="E51" s="251" t="inlineStr">
        <is>
          <t>INR</t>
        </is>
      </c>
      <c r="F51" s="251" t="n"/>
      <c r="G51" s="251" t="n"/>
      <c r="H51" s="251" t="n"/>
      <c r="I51" s="251" t="n"/>
      <c r="J51" s="251" t="n"/>
      <c r="K51" s="251" t="inlineStr">
        <is>
          <t>No</t>
        </is>
      </c>
      <c r="L51" s="251" t="n"/>
      <c r="M51" s="251" t="n"/>
      <c r="N51" s="251" t="n"/>
      <c r="O51" s="251" t="n"/>
      <c r="P51" s="251" t="n"/>
      <c r="Q51" s="251" t="n"/>
    </row>
    <row r="52">
      <c r="A52" s="251" t="n"/>
      <c r="B52" s="251" t="n"/>
      <c r="C52" s="251" t="n"/>
      <c r="D52" s="251" t="n"/>
      <c r="E52" s="251" t="inlineStr">
        <is>
          <t>INR</t>
        </is>
      </c>
      <c r="F52" s="251" t="n"/>
      <c r="G52" s="251" t="n"/>
      <c r="H52" s="251" t="n"/>
      <c r="I52" s="251" t="n"/>
      <c r="J52" s="251" t="n"/>
      <c r="K52" s="251" t="inlineStr">
        <is>
          <t>No</t>
        </is>
      </c>
      <c r="L52" s="251" t="n"/>
      <c r="M52" s="251" t="n"/>
      <c r="N52" s="251" t="n"/>
      <c r="O52" s="251" t="n"/>
      <c r="P52" s="251" t="n"/>
      <c r="Q52" s="251" t="n"/>
    </row>
    <row r="53">
      <c r="A53" s="251" t="n"/>
      <c r="B53" s="251" t="n"/>
      <c r="C53" s="251" t="n"/>
      <c r="D53" s="251" t="n"/>
      <c r="E53" s="251" t="inlineStr">
        <is>
          <t>INR</t>
        </is>
      </c>
      <c r="F53" s="251" t="n"/>
      <c r="G53" s="251" t="n"/>
      <c r="H53" s="251" t="n"/>
      <c r="I53" s="251" t="n"/>
      <c r="J53" s="251" t="n"/>
      <c r="K53" s="251" t="inlineStr">
        <is>
          <t>No</t>
        </is>
      </c>
      <c r="L53" s="251" t="n"/>
      <c r="M53" s="251" t="n"/>
      <c r="N53" s="251" t="n"/>
      <c r="O53" s="251" t="n"/>
      <c r="P53" s="251" t="n"/>
      <c r="Q53" s="251" t="n"/>
    </row>
  </sheetData>
  <mergeCells count="2">
    <mergeCell ref="A2:Q2"/>
    <mergeCell ref="A1:Q1"/>
  </mergeCells>
  <dataValidations count="1">
    <dataValidation sqref="K4:K53" showDropDown="0" showInputMessage="0" showErrorMessage="0" allowBlank="1" type="list">
      <formula1>"No,Yes,Suspended"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14" customWidth="1" style="88" min="2" max="2"/>
    <col width="11" customWidth="1" style="88" min="3" max="3"/>
    <col width="10" customWidth="1" style="88" min="4" max="4"/>
    <col width="32" customWidth="1" style="88" min="5" max="5"/>
    <col width="17" customWidth="1" style="88" min="6" max="6"/>
    <col width="15" customWidth="1" style="88" min="7" max="7"/>
    <col width="32" customWidth="1" style="88" min="8" max="8"/>
    <col width="32" customWidth="1" style="88" min="9" max="9"/>
    <col width="10" customWidth="1" style="88" min="10" max="10"/>
    <col width="19" customWidth="1" style="88" min="11" max="11"/>
    <col width="20" customWidth="1" style="88" min="12" max="12"/>
    <col width="10" customWidth="1" style="88" min="13" max="13"/>
    <col width="32" customWidth="1" style="88" min="14" max="14"/>
    <col width="10" customWidth="1" style="88" min="15" max="15"/>
    <col width="14" customWidth="1" style="88" min="16" max="16"/>
    <col width="13" customWidth="1" style="88" min="17" max="17"/>
    <col width="25" customWidth="1" style="88" min="18" max="18"/>
  </cols>
  <sheetData>
    <row r="1">
      <c r="A1" s="249" t="inlineStr">
        <is>
          <t>Purchase Requisitions · MRP recommendation to sourcing approval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</row>
    <row r="2">
      <c r="A2" s="250" t="inlineStr">
        <is>
          <t>Internal approval object only; it does not create an external supplier commitment.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</row>
    <row r="3">
      <c r="A3" s="231" t="inlineStr">
        <is>
          <t>PR ID</t>
        </is>
      </c>
      <c r="B3" s="231" t="inlineStr">
        <is>
          <t>Created Date</t>
        </is>
      </c>
      <c r="C3" s="231" t="inlineStr">
        <is>
          <t>MRP Month</t>
        </is>
      </c>
      <c r="D3" s="231" t="inlineStr">
        <is>
          <t>SKU</t>
        </is>
      </c>
      <c r="E3" s="231" t="inlineStr">
        <is>
          <t>Item</t>
        </is>
      </c>
      <c r="F3" s="231" t="inlineStr">
        <is>
          <t>Recommended Qty</t>
        </is>
      </c>
      <c r="G3" s="231" t="inlineStr">
        <is>
          <t>Requested Qty</t>
        </is>
      </c>
      <c r="H3" s="231" t="inlineStr">
        <is>
          <t>Unit Price ₹</t>
        </is>
      </c>
      <c r="I3" s="231" t="inlineStr">
        <is>
          <t>Estimated Value ₹</t>
        </is>
      </c>
      <c r="J3" s="231" t="inlineStr">
        <is>
          <t>Priority</t>
        </is>
      </c>
      <c r="K3" s="231" t="inlineStr">
        <is>
          <t>Required By Month</t>
        </is>
      </c>
      <c r="L3" s="231" t="inlineStr">
        <is>
          <t>Preferred Supplier</t>
        </is>
      </c>
      <c r="M3" s="231" t="inlineStr">
        <is>
          <t>Status</t>
        </is>
      </c>
      <c r="N3" s="231" t="inlineStr">
        <is>
          <t>Truth Class</t>
        </is>
      </c>
      <c r="O3" s="231" t="inlineStr">
        <is>
          <t>Revision</t>
        </is>
      </c>
      <c r="P3" s="231" t="inlineStr">
        <is>
          <t>Requested By</t>
        </is>
      </c>
      <c r="Q3" s="231" t="inlineStr">
        <is>
          <t>Approved By</t>
        </is>
      </c>
      <c r="R3" s="231" t="inlineStr">
        <is>
          <t>Evidence / Decision Ref</t>
        </is>
      </c>
    </row>
    <row r="4">
      <c r="A4" s="251" t="n"/>
      <c r="B4" s="251" t="n"/>
      <c r="C4" s="251" t="n"/>
      <c r="D4" s="251" t="n"/>
      <c r="E4">
        <f>IF(D4="","",IFERROR(VLOOKUP(D4,'Master Inventory'!$A:$N,3,FALSE),""))</f>
        <v/>
      </c>
      <c r="F4" s="251" t="n"/>
      <c r="G4" s="251" t="n"/>
      <c r="H4" s="248">
        <f>IF(D4="","",IFERROR(VLOOKUP(D4,'Master Inventory'!$A:$N,4,FALSE),0))</f>
        <v/>
      </c>
      <c r="I4" s="248">
        <f>IF(OR(G4="",H4=""),"",G4*H4)</f>
        <v/>
      </c>
      <c r="J4" s="251" t="n"/>
      <c r="K4" s="251" t="n"/>
      <c r="L4" s="251" t="n"/>
      <c r="M4" s="251" t="n"/>
      <c r="N4">
        <f>IF(A4="","",IF(OR(M4="Approved",M4="RFQ"),"Forecast","Plan"))</f>
        <v/>
      </c>
      <c r="O4" s="251" t="n">
        <v>1</v>
      </c>
      <c r="P4" s="251" t="n"/>
      <c r="Q4" s="251" t="n"/>
      <c r="R4" s="251" t="n"/>
    </row>
    <row r="5">
      <c r="A5" s="251" t="n"/>
      <c r="B5" s="251" t="n"/>
      <c r="C5" s="251" t="n"/>
      <c r="D5" s="251" t="n"/>
      <c r="E5">
        <f>IF(D5="","",IFERROR(VLOOKUP(D5,'Master Inventory'!$A:$N,3,FALSE),""))</f>
        <v/>
      </c>
      <c r="F5" s="251" t="n"/>
      <c r="G5" s="251" t="n"/>
      <c r="H5" s="248">
        <f>IF(D5="","",IFERROR(VLOOKUP(D5,'Master Inventory'!$A:$N,4,FALSE),0))</f>
        <v/>
      </c>
      <c r="I5" s="248">
        <f>IF(OR(G5="",H5=""),"",G5*H5)</f>
        <v/>
      </c>
      <c r="J5" s="251" t="n"/>
      <c r="K5" s="251" t="n"/>
      <c r="L5" s="251" t="n"/>
      <c r="M5" s="251" t="n"/>
      <c r="N5">
        <f>IF(A5="","",IF(OR(M5="Approved",M5="RFQ"),"Forecast","Plan"))</f>
        <v/>
      </c>
      <c r="O5" s="251" t="n">
        <v>1</v>
      </c>
      <c r="P5" s="251" t="n"/>
      <c r="Q5" s="251" t="n"/>
      <c r="R5" s="251" t="n"/>
    </row>
    <row r="6">
      <c r="A6" s="251" t="n"/>
      <c r="B6" s="251" t="n"/>
      <c r="C6" s="251" t="n"/>
      <c r="D6" s="251" t="n"/>
      <c r="E6">
        <f>IF(D6="","",IFERROR(VLOOKUP(D6,'Master Inventory'!$A:$N,3,FALSE),""))</f>
        <v/>
      </c>
      <c r="F6" s="251" t="n"/>
      <c r="G6" s="251" t="n"/>
      <c r="H6" s="248">
        <f>IF(D6="","",IFERROR(VLOOKUP(D6,'Master Inventory'!$A:$N,4,FALSE),0))</f>
        <v/>
      </c>
      <c r="I6" s="248">
        <f>IF(OR(G6="",H6=""),"",G6*H6)</f>
        <v/>
      </c>
      <c r="J6" s="251" t="n"/>
      <c r="K6" s="251" t="n"/>
      <c r="L6" s="251" t="n"/>
      <c r="M6" s="251" t="n"/>
      <c r="N6">
        <f>IF(A6="","",IF(OR(M6="Approved",M6="RFQ"),"Forecast","Plan"))</f>
        <v/>
      </c>
      <c r="O6" s="251" t="n">
        <v>1</v>
      </c>
      <c r="P6" s="251" t="n"/>
      <c r="Q6" s="251" t="n"/>
      <c r="R6" s="251" t="n"/>
    </row>
    <row r="7">
      <c r="A7" s="251" t="n"/>
      <c r="B7" s="251" t="n"/>
      <c r="C7" s="251" t="n"/>
      <c r="D7" s="251" t="n"/>
      <c r="E7">
        <f>IF(D7="","",IFERROR(VLOOKUP(D7,'Master Inventory'!$A:$N,3,FALSE),""))</f>
        <v/>
      </c>
      <c r="F7" s="251" t="n"/>
      <c r="G7" s="251" t="n"/>
      <c r="H7" s="248">
        <f>IF(D7="","",IFERROR(VLOOKUP(D7,'Master Inventory'!$A:$N,4,FALSE),0))</f>
        <v/>
      </c>
      <c r="I7" s="248">
        <f>IF(OR(G7="",H7=""),"",G7*H7)</f>
        <v/>
      </c>
      <c r="J7" s="251" t="n"/>
      <c r="K7" s="251" t="n"/>
      <c r="L7" s="251" t="n"/>
      <c r="M7" s="251" t="n"/>
      <c r="N7">
        <f>IF(A7="","",IF(OR(M7="Approved",M7="RFQ"),"Forecast","Plan"))</f>
        <v/>
      </c>
      <c r="O7" s="251" t="n">
        <v>1</v>
      </c>
      <c r="P7" s="251" t="n"/>
      <c r="Q7" s="251" t="n"/>
      <c r="R7" s="251" t="n"/>
    </row>
    <row r="8">
      <c r="A8" s="251" t="n"/>
      <c r="B8" s="251" t="n"/>
      <c r="C8" s="251" t="n"/>
      <c r="D8" s="251" t="n"/>
      <c r="E8">
        <f>IF(D8="","",IFERROR(VLOOKUP(D8,'Master Inventory'!$A:$N,3,FALSE),""))</f>
        <v/>
      </c>
      <c r="F8" s="251" t="n"/>
      <c r="G8" s="251" t="n"/>
      <c r="H8" s="248">
        <f>IF(D8="","",IFERROR(VLOOKUP(D8,'Master Inventory'!$A:$N,4,FALSE),0))</f>
        <v/>
      </c>
      <c r="I8" s="248">
        <f>IF(OR(G8="",H8=""),"",G8*H8)</f>
        <v/>
      </c>
      <c r="J8" s="251" t="n"/>
      <c r="K8" s="251" t="n"/>
      <c r="L8" s="251" t="n"/>
      <c r="M8" s="251" t="n"/>
      <c r="N8">
        <f>IF(A8="","",IF(OR(M8="Approved",M8="RFQ"),"Forecast","Plan"))</f>
        <v/>
      </c>
      <c r="O8" s="251" t="n">
        <v>1</v>
      </c>
      <c r="P8" s="251" t="n"/>
      <c r="Q8" s="251" t="n"/>
      <c r="R8" s="251" t="n"/>
    </row>
    <row r="9">
      <c r="A9" s="251" t="n"/>
      <c r="B9" s="251" t="n"/>
      <c r="C9" s="251" t="n"/>
      <c r="D9" s="251" t="n"/>
      <c r="E9">
        <f>IF(D9="","",IFERROR(VLOOKUP(D9,'Master Inventory'!$A:$N,3,FALSE),""))</f>
        <v/>
      </c>
      <c r="F9" s="251" t="n"/>
      <c r="G9" s="251" t="n"/>
      <c r="H9" s="248">
        <f>IF(D9="","",IFERROR(VLOOKUP(D9,'Master Inventory'!$A:$N,4,FALSE),0))</f>
        <v/>
      </c>
      <c r="I9" s="248">
        <f>IF(OR(G9="",H9=""),"",G9*H9)</f>
        <v/>
      </c>
      <c r="J9" s="251" t="n"/>
      <c r="K9" s="251" t="n"/>
      <c r="L9" s="251" t="n"/>
      <c r="M9" s="251" t="n"/>
      <c r="N9">
        <f>IF(A9="","",IF(OR(M9="Approved",M9="RFQ"),"Forecast","Plan"))</f>
        <v/>
      </c>
      <c r="O9" s="251" t="n">
        <v>1</v>
      </c>
      <c r="P9" s="251" t="n"/>
      <c r="Q9" s="251" t="n"/>
      <c r="R9" s="251" t="n"/>
    </row>
    <row r="10">
      <c r="A10" s="251" t="n"/>
      <c r="B10" s="251" t="n"/>
      <c r="C10" s="251" t="n"/>
      <c r="D10" s="251" t="n"/>
      <c r="E10">
        <f>IF(D10="","",IFERROR(VLOOKUP(D10,'Master Inventory'!$A:$N,3,FALSE),""))</f>
        <v/>
      </c>
      <c r="F10" s="251" t="n"/>
      <c r="G10" s="251" t="n"/>
      <c r="H10" s="248">
        <f>IF(D10="","",IFERROR(VLOOKUP(D10,'Master Inventory'!$A:$N,4,FALSE),0))</f>
        <v/>
      </c>
      <c r="I10" s="248">
        <f>IF(OR(G10="",H10=""),"",G10*H10)</f>
        <v/>
      </c>
      <c r="J10" s="251" t="n"/>
      <c r="K10" s="251" t="n"/>
      <c r="L10" s="251" t="n"/>
      <c r="M10" s="251" t="n"/>
      <c r="N10">
        <f>IF(A10="","",IF(OR(M10="Approved",M10="RFQ"),"Forecast","Plan"))</f>
        <v/>
      </c>
      <c r="O10" s="251" t="n">
        <v>1</v>
      </c>
      <c r="P10" s="251" t="n"/>
      <c r="Q10" s="251" t="n"/>
      <c r="R10" s="251" t="n"/>
    </row>
    <row r="11">
      <c r="A11" s="251" t="n"/>
      <c r="B11" s="251" t="n"/>
      <c r="C11" s="251" t="n"/>
      <c r="D11" s="251" t="n"/>
      <c r="E11">
        <f>IF(D11="","",IFERROR(VLOOKUP(D11,'Master Inventory'!$A:$N,3,FALSE),""))</f>
        <v/>
      </c>
      <c r="F11" s="251" t="n"/>
      <c r="G11" s="251" t="n"/>
      <c r="H11" s="248">
        <f>IF(D11="","",IFERROR(VLOOKUP(D11,'Master Inventory'!$A:$N,4,FALSE),0))</f>
        <v/>
      </c>
      <c r="I11" s="248">
        <f>IF(OR(G11="",H11=""),"",G11*H11)</f>
        <v/>
      </c>
      <c r="J11" s="251" t="n"/>
      <c r="K11" s="251" t="n"/>
      <c r="L11" s="251" t="n"/>
      <c r="M11" s="251" t="n"/>
      <c r="N11">
        <f>IF(A11="","",IF(OR(M11="Approved",M11="RFQ"),"Forecast","Plan"))</f>
        <v/>
      </c>
      <c r="O11" s="251" t="n">
        <v>1</v>
      </c>
      <c r="P11" s="251" t="n"/>
      <c r="Q11" s="251" t="n"/>
      <c r="R11" s="251" t="n"/>
    </row>
    <row r="12">
      <c r="A12" s="251" t="n"/>
      <c r="B12" s="251" t="n"/>
      <c r="C12" s="251" t="n"/>
      <c r="D12" s="251" t="n"/>
      <c r="E12">
        <f>IF(D12="","",IFERROR(VLOOKUP(D12,'Master Inventory'!$A:$N,3,FALSE),""))</f>
        <v/>
      </c>
      <c r="F12" s="251" t="n"/>
      <c r="G12" s="251" t="n"/>
      <c r="H12" s="248">
        <f>IF(D12="","",IFERROR(VLOOKUP(D12,'Master Inventory'!$A:$N,4,FALSE),0))</f>
        <v/>
      </c>
      <c r="I12" s="248">
        <f>IF(OR(G12="",H12=""),"",G12*H12)</f>
        <v/>
      </c>
      <c r="J12" s="251" t="n"/>
      <c r="K12" s="251" t="n"/>
      <c r="L12" s="251" t="n"/>
      <c r="M12" s="251" t="n"/>
      <c r="N12">
        <f>IF(A12="","",IF(OR(M12="Approved",M12="RFQ"),"Forecast","Plan"))</f>
        <v/>
      </c>
      <c r="O12" s="251" t="n">
        <v>1</v>
      </c>
      <c r="P12" s="251" t="n"/>
      <c r="Q12" s="251" t="n"/>
      <c r="R12" s="251" t="n"/>
    </row>
    <row r="13">
      <c r="A13" s="251" t="n"/>
      <c r="B13" s="251" t="n"/>
      <c r="C13" s="251" t="n"/>
      <c r="D13" s="251" t="n"/>
      <c r="E13">
        <f>IF(D13="","",IFERROR(VLOOKUP(D13,'Master Inventory'!$A:$N,3,FALSE),""))</f>
        <v/>
      </c>
      <c r="F13" s="251" t="n"/>
      <c r="G13" s="251" t="n"/>
      <c r="H13" s="248">
        <f>IF(D13="","",IFERROR(VLOOKUP(D13,'Master Inventory'!$A:$N,4,FALSE),0))</f>
        <v/>
      </c>
      <c r="I13" s="248">
        <f>IF(OR(G13="",H13=""),"",G13*H13)</f>
        <v/>
      </c>
      <c r="J13" s="251" t="n"/>
      <c r="K13" s="251" t="n"/>
      <c r="L13" s="251" t="n"/>
      <c r="M13" s="251" t="n"/>
      <c r="N13">
        <f>IF(A13="","",IF(OR(M13="Approved",M13="RFQ"),"Forecast","Plan"))</f>
        <v/>
      </c>
      <c r="O13" s="251" t="n">
        <v>1</v>
      </c>
      <c r="P13" s="251" t="n"/>
      <c r="Q13" s="251" t="n"/>
      <c r="R13" s="251" t="n"/>
    </row>
    <row r="14">
      <c r="A14" s="251" t="n"/>
      <c r="B14" s="251" t="n"/>
      <c r="C14" s="251" t="n"/>
      <c r="D14" s="251" t="n"/>
      <c r="E14">
        <f>IF(D14="","",IFERROR(VLOOKUP(D14,'Master Inventory'!$A:$N,3,FALSE),""))</f>
        <v/>
      </c>
      <c r="F14" s="251" t="n"/>
      <c r="G14" s="251" t="n"/>
      <c r="H14" s="248">
        <f>IF(D14="","",IFERROR(VLOOKUP(D14,'Master Inventory'!$A:$N,4,FALSE),0))</f>
        <v/>
      </c>
      <c r="I14" s="248">
        <f>IF(OR(G14="",H14=""),"",G14*H14)</f>
        <v/>
      </c>
      <c r="J14" s="251" t="n"/>
      <c r="K14" s="251" t="n"/>
      <c r="L14" s="251" t="n"/>
      <c r="M14" s="251" t="n"/>
      <c r="N14">
        <f>IF(A14="","",IF(OR(M14="Approved",M14="RFQ"),"Forecast","Plan"))</f>
        <v/>
      </c>
      <c r="O14" s="251" t="n">
        <v>1</v>
      </c>
      <c r="P14" s="251" t="n"/>
      <c r="Q14" s="251" t="n"/>
      <c r="R14" s="251" t="n"/>
    </row>
    <row r="15">
      <c r="A15" s="251" t="n"/>
      <c r="B15" s="251" t="n"/>
      <c r="C15" s="251" t="n"/>
      <c r="D15" s="251" t="n"/>
      <c r="E15">
        <f>IF(D15="","",IFERROR(VLOOKUP(D15,'Master Inventory'!$A:$N,3,FALSE),""))</f>
        <v/>
      </c>
      <c r="F15" s="251" t="n"/>
      <c r="G15" s="251" t="n"/>
      <c r="H15" s="248">
        <f>IF(D15="","",IFERROR(VLOOKUP(D15,'Master Inventory'!$A:$N,4,FALSE),0))</f>
        <v/>
      </c>
      <c r="I15" s="248">
        <f>IF(OR(G15="",H15=""),"",G15*H15)</f>
        <v/>
      </c>
      <c r="J15" s="251" t="n"/>
      <c r="K15" s="251" t="n"/>
      <c r="L15" s="251" t="n"/>
      <c r="M15" s="251" t="n"/>
      <c r="N15">
        <f>IF(A15="","",IF(OR(M15="Approved",M15="RFQ"),"Forecast","Plan"))</f>
        <v/>
      </c>
      <c r="O15" s="251" t="n">
        <v>1</v>
      </c>
      <c r="P15" s="251" t="n"/>
      <c r="Q15" s="251" t="n"/>
      <c r="R15" s="251" t="n"/>
    </row>
    <row r="16">
      <c r="A16" s="251" t="n"/>
      <c r="B16" s="251" t="n"/>
      <c r="C16" s="251" t="n"/>
      <c r="D16" s="251" t="n"/>
      <c r="E16">
        <f>IF(D16="","",IFERROR(VLOOKUP(D16,'Master Inventory'!$A:$N,3,FALSE),""))</f>
        <v/>
      </c>
      <c r="F16" s="251" t="n"/>
      <c r="G16" s="251" t="n"/>
      <c r="H16" s="248">
        <f>IF(D16="","",IFERROR(VLOOKUP(D16,'Master Inventory'!$A:$N,4,FALSE),0))</f>
        <v/>
      </c>
      <c r="I16" s="248">
        <f>IF(OR(G16="",H16=""),"",G16*H16)</f>
        <v/>
      </c>
      <c r="J16" s="251" t="n"/>
      <c r="K16" s="251" t="n"/>
      <c r="L16" s="251" t="n"/>
      <c r="M16" s="251" t="n"/>
      <c r="N16">
        <f>IF(A16="","",IF(OR(M16="Approved",M16="RFQ"),"Forecast","Plan"))</f>
        <v/>
      </c>
      <c r="O16" s="251" t="n">
        <v>1</v>
      </c>
      <c r="P16" s="251" t="n"/>
      <c r="Q16" s="251" t="n"/>
      <c r="R16" s="251" t="n"/>
    </row>
    <row r="17">
      <c r="A17" s="251" t="n"/>
      <c r="B17" s="251" t="n"/>
      <c r="C17" s="251" t="n"/>
      <c r="D17" s="251" t="n"/>
      <c r="E17">
        <f>IF(D17="","",IFERROR(VLOOKUP(D17,'Master Inventory'!$A:$N,3,FALSE),""))</f>
        <v/>
      </c>
      <c r="F17" s="251" t="n"/>
      <c r="G17" s="251" t="n"/>
      <c r="H17" s="248">
        <f>IF(D17="","",IFERROR(VLOOKUP(D17,'Master Inventory'!$A:$N,4,FALSE),0))</f>
        <v/>
      </c>
      <c r="I17" s="248">
        <f>IF(OR(G17="",H17=""),"",G17*H17)</f>
        <v/>
      </c>
      <c r="J17" s="251" t="n"/>
      <c r="K17" s="251" t="n"/>
      <c r="L17" s="251" t="n"/>
      <c r="M17" s="251" t="n"/>
      <c r="N17">
        <f>IF(A17="","",IF(OR(M17="Approved",M17="RFQ"),"Forecast","Plan"))</f>
        <v/>
      </c>
      <c r="O17" s="251" t="n">
        <v>1</v>
      </c>
      <c r="P17" s="251" t="n"/>
      <c r="Q17" s="251" t="n"/>
      <c r="R17" s="251" t="n"/>
    </row>
    <row r="18">
      <c r="A18" s="251" t="n"/>
      <c r="B18" s="251" t="n"/>
      <c r="C18" s="251" t="n"/>
      <c r="D18" s="251" t="n"/>
      <c r="E18">
        <f>IF(D18="","",IFERROR(VLOOKUP(D18,'Master Inventory'!$A:$N,3,FALSE),""))</f>
        <v/>
      </c>
      <c r="F18" s="251" t="n"/>
      <c r="G18" s="251" t="n"/>
      <c r="H18" s="248">
        <f>IF(D18="","",IFERROR(VLOOKUP(D18,'Master Inventory'!$A:$N,4,FALSE),0))</f>
        <v/>
      </c>
      <c r="I18" s="248">
        <f>IF(OR(G18="",H18=""),"",G18*H18)</f>
        <v/>
      </c>
      <c r="J18" s="251" t="n"/>
      <c r="K18" s="251" t="n"/>
      <c r="L18" s="251" t="n"/>
      <c r="M18" s="251" t="n"/>
      <c r="N18">
        <f>IF(A18="","",IF(OR(M18="Approved",M18="RFQ"),"Forecast","Plan"))</f>
        <v/>
      </c>
      <c r="O18" s="251" t="n">
        <v>1</v>
      </c>
      <c r="P18" s="251" t="n"/>
      <c r="Q18" s="251" t="n"/>
      <c r="R18" s="251" t="n"/>
    </row>
    <row r="19">
      <c r="A19" s="251" t="n"/>
      <c r="B19" s="251" t="n"/>
      <c r="C19" s="251" t="n"/>
      <c r="D19" s="251" t="n"/>
      <c r="E19">
        <f>IF(D19="","",IFERROR(VLOOKUP(D19,'Master Inventory'!$A:$N,3,FALSE),""))</f>
        <v/>
      </c>
      <c r="F19" s="251" t="n"/>
      <c r="G19" s="251" t="n"/>
      <c r="H19" s="248">
        <f>IF(D19="","",IFERROR(VLOOKUP(D19,'Master Inventory'!$A:$N,4,FALSE),0))</f>
        <v/>
      </c>
      <c r="I19" s="248">
        <f>IF(OR(G19="",H19=""),"",G19*H19)</f>
        <v/>
      </c>
      <c r="J19" s="251" t="n"/>
      <c r="K19" s="251" t="n"/>
      <c r="L19" s="251" t="n"/>
      <c r="M19" s="251" t="n"/>
      <c r="N19">
        <f>IF(A19="","",IF(OR(M19="Approved",M19="RFQ"),"Forecast","Plan"))</f>
        <v/>
      </c>
      <c r="O19" s="251" t="n">
        <v>1</v>
      </c>
      <c r="P19" s="251" t="n"/>
      <c r="Q19" s="251" t="n"/>
      <c r="R19" s="251" t="n"/>
    </row>
    <row r="20">
      <c r="A20" s="251" t="n"/>
      <c r="B20" s="251" t="n"/>
      <c r="C20" s="251" t="n"/>
      <c r="D20" s="251" t="n"/>
      <c r="E20">
        <f>IF(D20="","",IFERROR(VLOOKUP(D20,'Master Inventory'!$A:$N,3,FALSE),""))</f>
        <v/>
      </c>
      <c r="F20" s="251" t="n"/>
      <c r="G20" s="251" t="n"/>
      <c r="H20" s="248">
        <f>IF(D20="","",IFERROR(VLOOKUP(D20,'Master Inventory'!$A:$N,4,FALSE),0))</f>
        <v/>
      </c>
      <c r="I20" s="248">
        <f>IF(OR(G20="",H20=""),"",G20*H20)</f>
        <v/>
      </c>
      <c r="J20" s="251" t="n"/>
      <c r="K20" s="251" t="n"/>
      <c r="L20" s="251" t="n"/>
      <c r="M20" s="251" t="n"/>
      <c r="N20">
        <f>IF(A20="","",IF(OR(M20="Approved",M20="RFQ"),"Forecast","Plan"))</f>
        <v/>
      </c>
      <c r="O20" s="251" t="n">
        <v>1</v>
      </c>
      <c r="P20" s="251" t="n"/>
      <c r="Q20" s="251" t="n"/>
      <c r="R20" s="251" t="n"/>
    </row>
    <row r="21">
      <c r="A21" s="251" t="n"/>
      <c r="B21" s="251" t="n"/>
      <c r="C21" s="251" t="n"/>
      <c r="D21" s="251" t="n"/>
      <c r="E21">
        <f>IF(D21="","",IFERROR(VLOOKUP(D21,'Master Inventory'!$A:$N,3,FALSE),""))</f>
        <v/>
      </c>
      <c r="F21" s="251" t="n"/>
      <c r="G21" s="251" t="n"/>
      <c r="H21" s="248">
        <f>IF(D21="","",IFERROR(VLOOKUP(D21,'Master Inventory'!$A:$N,4,FALSE),0))</f>
        <v/>
      </c>
      <c r="I21" s="248">
        <f>IF(OR(G21="",H21=""),"",G21*H21)</f>
        <v/>
      </c>
      <c r="J21" s="251" t="n"/>
      <c r="K21" s="251" t="n"/>
      <c r="L21" s="251" t="n"/>
      <c r="M21" s="251" t="n"/>
      <c r="N21">
        <f>IF(A21="","",IF(OR(M21="Approved",M21="RFQ"),"Forecast","Plan"))</f>
        <v/>
      </c>
      <c r="O21" s="251" t="n">
        <v>1</v>
      </c>
      <c r="P21" s="251" t="n"/>
      <c r="Q21" s="251" t="n"/>
      <c r="R21" s="251" t="n"/>
    </row>
    <row r="22">
      <c r="A22" s="251" t="n"/>
      <c r="B22" s="251" t="n"/>
      <c r="C22" s="251" t="n"/>
      <c r="D22" s="251" t="n"/>
      <c r="E22">
        <f>IF(D22="","",IFERROR(VLOOKUP(D22,'Master Inventory'!$A:$N,3,FALSE),""))</f>
        <v/>
      </c>
      <c r="F22" s="251" t="n"/>
      <c r="G22" s="251" t="n"/>
      <c r="H22" s="248">
        <f>IF(D22="","",IFERROR(VLOOKUP(D22,'Master Inventory'!$A:$N,4,FALSE),0))</f>
        <v/>
      </c>
      <c r="I22" s="248">
        <f>IF(OR(G22="",H22=""),"",G22*H22)</f>
        <v/>
      </c>
      <c r="J22" s="251" t="n"/>
      <c r="K22" s="251" t="n"/>
      <c r="L22" s="251" t="n"/>
      <c r="M22" s="251" t="n"/>
      <c r="N22">
        <f>IF(A22="","",IF(OR(M22="Approved",M22="RFQ"),"Forecast","Plan"))</f>
        <v/>
      </c>
      <c r="O22" s="251" t="n">
        <v>1</v>
      </c>
      <c r="P22" s="251" t="n"/>
      <c r="Q22" s="251" t="n"/>
      <c r="R22" s="251" t="n"/>
    </row>
    <row r="23">
      <c r="A23" s="251" t="n"/>
      <c r="B23" s="251" t="n"/>
      <c r="C23" s="251" t="n"/>
      <c r="D23" s="251" t="n"/>
      <c r="E23">
        <f>IF(D23="","",IFERROR(VLOOKUP(D23,'Master Inventory'!$A:$N,3,FALSE),""))</f>
        <v/>
      </c>
      <c r="F23" s="251" t="n"/>
      <c r="G23" s="251" t="n"/>
      <c r="H23" s="248">
        <f>IF(D23="","",IFERROR(VLOOKUP(D23,'Master Inventory'!$A:$N,4,FALSE),0))</f>
        <v/>
      </c>
      <c r="I23" s="248">
        <f>IF(OR(G23="",H23=""),"",G23*H23)</f>
        <v/>
      </c>
      <c r="J23" s="251" t="n"/>
      <c r="K23" s="251" t="n"/>
      <c r="L23" s="251" t="n"/>
      <c r="M23" s="251" t="n"/>
      <c r="N23">
        <f>IF(A23="","",IF(OR(M23="Approved",M23="RFQ"),"Forecast","Plan"))</f>
        <v/>
      </c>
      <c r="O23" s="251" t="n">
        <v>1</v>
      </c>
      <c r="P23" s="251" t="n"/>
      <c r="Q23" s="251" t="n"/>
      <c r="R23" s="251" t="n"/>
    </row>
    <row r="24">
      <c r="A24" s="251" t="n"/>
      <c r="B24" s="251" t="n"/>
      <c r="C24" s="251" t="n"/>
      <c r="D24" s="251" t="n"/>
      <c r="E24">
        <f>IF(D24="","",IFERROR(VLOOKUP(D24,'Master Inventory'!$A:$N,3,FALSE),""))</f>
        <v/>
      </c>
      <c r="F24" s="251" t="n"/>
      <c r="G24" s="251" t="n"/>
      <c r="H24" s="248">
        <f>IF(D24="","",IFERROR(VLOOKUP(D24,'Master Inventory'!$A:$N,4,FALSE),0))</f>
        <v/>
      </c>
      <c r="I24" s="248">
        <f>IF(OR(G24="",H24=""),"",G24*H24)</f>
        <v/>
      </c>
      <c r="J24" s="251" t="n"/>
      <c r="K24" s="251" t="n"/>
      <c r="L24" s="251" t="n"/>
      <c r="M24" s="251" t="n"/>
      <c r="N24">
        <f>IF(A24="","",IF(OR(M24="Approved",M24="RFQ"),"Forecast","Plan"))</f>
        <v/>
      </c>
      <c r="O24" s="251" t="n">
        <v>1</v>
      </c>
      <c r="P24" s="251" t="n"/>
      <c r="Q24" s="251" t="n"/>
      <c r="R24" s="251" t="n"/>
    </row>
    <row r="25">
      <c r="A25" s="251" t="n"/>
      <c r="B25" s="251" t="n"/>
      <c r="C25" s="251" t="n"/>
      <c r="D25" s="251" t="n"/>
      <c r="E25">
        <f>IF(D25="","",IFERROR(VLOOKUP(D25,'Master Inventory'!$A:$N,3,FALSE),""))</f>
        <v/>
      </c>
      <c r="F25" s="251" t="n"/>
      <c r="G25" s="251" t="n"/>
      <c r="H25" s="248">
        <f>IF(D25="","",IFERROR(VLOOKUP(D25,'Master Inventory'!$A:$N,4,FALSE),0))</f>
        <v/>
      </c>
      <c r="I25" s="248">
        <f>IF(OR(G25="",H25=""),"",G25*H25)</f>
        <v/>
      </c>
      <c r="J25" s="251" t="n"/>
      <c r="K25" s="251" t="n"/>
      <c r="L25" s="251" t="n"/>
      <c r="M25" s="251" t="n"/>
      <c r="N25">
        <f>IF(A25="","",IF(OR(M25="Approved",M25="RFQ"),"Forecast","Plan"))</f>
        <v/>
      </c>
      <c r="O25" s="251" t="n">
        <v>1</v>
      </c>
      <c r="P25" s="251" t="n"/>
      <c r="Q25" s="251" t="n"/>
      <c r="R25" s="251" t="n"/>
    </row>
    <row r="26">
      <c r="A26" s="251" t="n"/>
      <c r="B26" s="251" t="n"/>
      <c r="C26" s="251" t="n"/>
      <c r="D26" s="251" t="n"/>
      <c r="E26">
        <f>IF(D26="","",IFERROR(VLOOKUP(D26,'Master Inventory'!$A:$N,3,FALSE),""))</f>
        <v/>
      </c>
      <c r="F26" s="251" t="n"/>
      <c r="G26" s="251" t="n"/>
      <c r="H26" s="248">
        <f>IF(D26="","",IFERROR(VLOOKUP(D26,'Master Inventory'!$A:$N,4,FALSE),0))</f>
        <v/>
      </c>
      <c r="I26" s="248">
        <f>IF(OR(G26="",H26=""),"",G26*H26)</f>
        <v/>
      </c>
      <c r="J26" s="251" t="n"/>
      <c r="K26" s="251" t="n"/>
      <c r="L26" s="251" t="n"/>
      <c r="M26" s="251" t="n"/>
      <c r="N26">
        <f>IF(A26="","",IF(OR(M26="Approved",M26="RFQ"),"Forecast","Plan"))</f>
        <v/>
      </c>
      <c r="O26" s="251" t="n">
        <v>1</v>
      </c>
      <c r="P26" s="251" t="n"/>
      <c r="Q26" s="251" t="n"/>
      <c r="R26" s="251" t="n"/>
    </row>
    <row r="27">
      <c r="A27" s="251" t="n"/>
      <c r="B27" s="251" t="n"/>
      <c r="C27" s="251" t="n"/>
      <c r="D27" s="251" t="n"/>
      <c r="E27">
        <f>IF(D27="","",IFERROR(VLOOKUP(D27,'Master Inventory'!$A:$N,3,FALSE),""))</f>
        <v/>
      </c>
      <c r="F27" s="251" t="n"/>
      <c r="G27" s="251" t="n"/>
      <c r="H27" s="248">
        <f>IF(D27="","",IFERROR(VLOOKUP(D27,'Master Inventory'!$A:$N,4,FALSE),0))</f>
        <v/>
      </c>
      <c r="I27" s="248">
        <f>IF(OR(G27="",H27=""),"",G27*H27)</f>
        <v/>
      </c>
      <c r="J27" s="251" t="n"/>
      <c r="K27" s="251" t="n"/>
      <c r="L27" s="251" t="n"/>
      <c r="M27" s="251" t="n"/>
      <c r="N27">
        <f>IF(A27="","",IF(OR(M27="Approved",M27="RFQ"),"Forecast","Plan"))</f>
        <v/>
      </c>
      <c r="O27" s="251" t="n">
        <v>1</v>
      </c>
      <c r="P27" s="251" t="n"/>
      <c r="Q27" s="251" t="n"/>
      <c r="R27" s="251" t="n"/>
    </row>
    <row r="28">
      <c r="A28" s="251" t="n"/>
      <c r="B28" s="251" t="n"/>
      <c r="C28" s="251" t="n"/>
      <c r="D28" s="251" t="n"/>
      <c r="E28">
        <f>IF(D28="","",IFERROR(VLOOKUP(D28,'Master Inventory'!$A:$N,3,FALSE),""))</f>
        <v/>
      </c>
      <c r="F28" s="251" t="n"/>
      <c r="G28" s="251" t="n"/>
      <c r="H28" s="248">
        <f>IF(D28="","",IFERROR(VLOOKUP(D28,'Master Inventory'!$A:$N,4,FALSE),0))</f>
        <v/>
      </c>
      <c r="I28" s="248">
        <f>IF(OR(G28="",H28=""),"",G28*H28)</f>
        <v/>
      </c>
      <c r="J28" s="251" t="n"/>
      <c r="K28" s="251" t="n"/>
      <c r="L28" s="251" t="n"/>
      <c r="M28" s="251" t="n"/>
      <c r="N28">
        <f>IF(A28="","",IF(OR(M28="Approved",M28="RFQ"),"Forecast","Plan"))</f>
        <v/>
      </c>
      <c r="O28" s="251" t="n">
        <v>1</v>
      </c>
      <c r="P28" s="251" t="n"/>
      <c r="Q28" s="251" t="n"/>
      <c r="R28" s="251" t="n"/>
    </row>
    <row r="29">
      <c r="A29" s="251" t="n"/>
      <c r="B29" s="251" t="n"/>
      <c r="C29" s="251" t="n"/>
      <c r="D29" s="251" t="n"/>
      <c r="E29">
        <f>IF(D29="","",IFERROR(VLOOKUP(D29,'Master Inventory'!$A:$N,3,FALSE),""))</f>
        <v/>
      </c>
      <c r="F29" s="251" t="n"/>
      <c r="G29" s="251" t="n"/>
      <c r="H29" s="248">
        <f>IF(D29="","",IFERROR(VLOOKUP(D29,'Master Inventory'!$A:$N,4,FALSE),0))</f>
        <v/>
      </c>
      <c r="I29" s="248">
        <f>IF(OR(G29="",H29=""),"",G29*H29)</f>
        <v/>
      </c>
      <c r="J29" s="251" t="n"/>
      <c r="K29" s="251" t="n"/>
      <c r="L29" s="251" t="n"/>
      <c r="M29" s="251" t="n"/>
      <c r="N29">
        <f>IF(A29="","",IF(OR(M29="Approved",M29="RFQ"),"Forecast","Plan"))</f>
        <v/>
      </c>
      <c r="O29" s="251" t="n">
        <v>1</v>
      </c>
      <c r="P29" s="251" t="n"/>
      <c r="Q29" s="251" t="n"/>
      <c r="R29" s="251" t="n"/>
    </row>
    <row r="30">
      <c r="A30" s="251" t="n"/>
      <c r="B30" s="251" t="n"/>
      <c r="C30" s="251" t="n"/>
      <c r="D30" s="251" t="n"/>
      <c r="E30">
        <f>IF(D30="","",IFERROR(VLOOKUP(D30,'Master Inventory'!$A:$N,3,FALSE),""))</f>
        <v/>
      </c>
      <c r="F30" s="251" t="n"/>
      <c r="G30" s="251" t="n"/>
      <c r="H30" s="248">
        <f>IF(D30="","",IFERROR(VLOOKUP(D30,'Master Inventory'!$A:$N,4,FALSE),0))</f>
        <v/>
      </c>
      <c r="I30" s="248">
        <f>IF(OR(G30="",H30=""),"",G30*H30)</f>
        <v/>
      </c>
      <c r="J30" s="251" t="n"/>
      <c r="K30" s="251" t="n"/>
      <c r="L30" s="251" t="n"/>
      <c r="M30" s="251" t="n"/>
      <c r="N30">
        <f>IF(A30="","",IF(OR(M30="Approved",M30="RFQ"),"Forecast","Plan"))</f>
        <v/>
      </c>
      <c r="O30" s="251" t="n">
        <v>1</v>
      </c>
      <c r="P30" s="251" t="n"/>
      <c r="Q30" s="251" t="n"/>
      <c r="R30" s="251" t="n"/>
    </row>
    <row r="31">
      <c r="A31" s="251" t="n"/>
      <c r="B31" s="251" t="n"/>
      <c r="C31" s="251" t="n"/>
      <c r="D31" s="251" t="n"/>
      <c r="E31">
        <f>IF(D31="","",IFERROR(VLOOKUP(D31,'Master Inventory'!$A:$N,3,FALSE),""))</f>
        <v/>
      </c>
      <c r="F31" s="251" t="n"/>
      <c r="G31" s="251" t="n"/>
      <c r="H31" s="248">
        <f>IF(D31="","",IFERROR(VLOOKUP(D31,'Master Inventory'!$A:$N,4,FALSE),0))</f>
        <v/>
      </c>
      <c r="I31" s="248">
        <f>IF(OR(G31="",H31=""),"",G31*H31)</f>
        <v/>
      </c>
      <c r="J31" s="251" t="n"/>
      <c r="K31" s="251" t="n"/>
      <c r="L31" s="251" t="n"/>
      <c r="M31" s="251" t="n"/>
      <c r="N31">
        <f>IF(A31="","",IF(OR(M31="Approved",M31="RFQ"),"Forecast","Plan"))</f>
        <v/>
      </c>
      <c r="O31" s="251" t="n">
        <v>1</v>
      </c>
      <c r="P31" s="251" t="n"/>
      <c r="Q31" s="251" t="n"/>
      <c r="R31" s="251" t="n"/>
    </row>
    <row r="32">
      <c r="A32" s="251" t="n"/>
      <c r="B32" s="251" t="n"/>
      <c r="C32" s="251" t="n"/>
      <c r="D32" s="251" t="n"/>
      <c r="E32">
        <f>IF(D32="","",IFERROR(VLOOKUP(D32,'Master Inventory'!$A:$N,3,FALSE),""))</f>
        <v/>
      </c>
      <c r="F32" s="251" t="n"/>
      <c r="G32" s="251" t="n"/>
      <c r="H32" s="248">
        <f>IF(D32="","",IFERROR(VLOOKUP(D32,'Master Inventory'!$A:$N,4,FALSE),0))</f>
        <v/>
      </c>
      <c r="I32" s="248">
        <f>IF(OR(G32="",H32=""),"",G32*H32)</f>
        <v/>
      </c>
      <c r="J32" s="251" t="n"/>
      <c r="K32" s="251" t="n"/>
      <c r="L32" s="251" t="n"/>
      <c r="M32" s="251" t="n"/>
      <c r="N32">
        <f>IF(A32="","",IF(OR(M32="Approved",M32="RFQ"),"Forecast","Plan"))</f>
        <v/>
      </c>
      <c r="O32" s="251" t="n">
        <v>1</v>
      </c>
      <c r="P32" s="251" t="n"/>
      <c r="Q32" s="251" t="n"/>
      <c r="R32" s="251" t="n"/>
    </row>
    <row r="33">
      <c r="A33" s="251" t="n"/>
      <c r="B33" s="251" t="n"/>
      <c r="C33" s="251" t="n"/>
      <c r="D33" s="251" t="n"/>
      <c r="E33">
        <f>IF(D33="","",IFERROR(VLOOKUP(D33,'Master Inventory'!$A:$N,3,FALSE),""))</f>
        <v/>
      </c>
      <c r="F33" s="251" t="n"/>
      <c r="G33" s="251" t="n"/>
      <c r="H33" s="248">
        <f>IF(D33="","",IFERROR(VLOOKUP(D33,'Master Inventory'!$A:$N,4,FALSE),0))</f>
        <v/>
      </c>
      <c r="I33" s="248">
        <f>IF(OR(G33="",H33=""),"",G33*H33)</f>
        <v/>
      </c>
      <c r="J33" s="251" t="n"/>
      <c r="K33" s="251" t="n"/>
      <c r="L33" s="251" t="n"/>
      <c r="M33" s="251" t="n"/>
      <c r="N33">
        <f>IF(A33="","",IF(OR(M33="Approved",M33="RFQ"),"Forecast","Plan"))</f>
        <v/>
      </c>
      <c r="O33" s="251" t="n">
        <v>1</v>
      </c>
      <c r="P33" s="251" t="n"/>
      <c r="Q33" s="251" t="n"/>
      <c r="R33" s="251" t="n"/>
    </row>
    <row r="34">
      <c r="A34" s="251" t="n"/>
      <c r="B34" s="251" t="n"/>
      <c r="C34" s="251" t="n"/>
      <c r="D34" s="251" t="n"/>
      <c r="E34">
        <f>IF(D34="","",IFERROR(VLOOKUP(D34,'Master Inventory'!$A:$N,3,FALSE),""))</f>
        <v/>
      </c>
      <c r="F34" s="251" t="n"/>
      <c r="G34" s="251" t="n"/>
      <c r="H34" s="248">
        <f>IF(D34="","",IFERROR(VLOOKUP(D34,'Master Inventory'!$A:$N,4,FALSE),0))</f>
        <v/>
      </c>
      <c r="I34" s="248">
        <f>IF(OR(G34="",H34=""),"",G34*H34)</f>
        <v/>
      </c>
      <c r="J34" s="251" t="n"/>
      <c r="K34" s="251" t="n"/>
      <c r="L34" s="251" t="n"/>
      <c r="M34" s="251" t="n"/>
      <c r="N34">
        <f>IF(A34="","",IF(OR(M34="Approved",M34="RFQ"),"Forecast","Plan"))</f>
        <v/>
      </c>
      <c r="O34" s="251" t="n">
        <v>1</v>
      </c>
      <c r="P34" s="251" t="n"/>
      <c r="Q34" s="251" t="n"/>
      <c r="R34" s="251" t="n"/>
    </row>
    <row r="35">
      <c r="A35" s="251" t="n"/>
      <c r="B35" s="251" t="n"/>
      <c r="C35" s="251" t="n"/>
      <c r="D35" s="251" t="n"/>
      <c r="E35">
        <f>IF(D35="","",IFERROR(VLOOKUP(D35,'Master Inventory'!$A:$N,3,FALSE),""))</f>
        <v/>
      </c>
      <c r="F35" s="251" t="n"/>
      <c r="G35" s="251" t="n"/>
      <c r="H35" s="248">
        <f>IF(D35="","",IFERROR(VLOOKUP(D35,'Master Inventory'!$A:$N,4,FALSE),0))</f>
        <v/>
      </c>
      <c r="I35" s="248">
        <f>IF(OR(G35="",H35=""),"",G35*H35)</f>
        <v/>
      </c>
      <c r="J35" s="251" t="n"/>
      <c r="K35" s="251" t="n"/>
      <c r="L35" s="251" t="n"/>
      <c r="M35" s="251" t="n"/>
      <c r="N35">
        <f>IF(A35="","",IF(OR(M35="Approved",M35="RFQ"),"Forecast","Plan"))</f>
        <v/>
      </c>
      <c r="O35" s="251" t="n">
        <v>1</v>
      </c>
      <c r="P35" s="251" t="n"/>
      <c r="Q35" s="251" t="n"/>
      <c r="R35" s="251" t="n"/>
    </row>
    <row r="36">
      <c r="A36" s="251" t="n"/>
      <c r="B36" s="251" t="n"/>
      <c r="C36" s="251" t="n"/>
      <c r="D36" s="251" t="n"/>
      <c r="E36">
        <f>IF(D36="","",IFERROR(VLOOKUP(D36,'Master Inventory'!$A:$N,3,FALSE),""))</f>
        <v/>
      </c>
      <c r="F36" s="251" t="n"/>
      <c r="G36" s="251" t="n"/>
      <c r="H36" s="248">
        <f>IF(D36="","",IFERROR(VLOOKUP(D36,'Master Inventory'!$A:$N,4,FALSE),0))</f>
        <v/>
      </c>
      <c r="I36" s="248">
        <f>IF(OR(G36="",H36=""),"",G36*H36)</f>
        <v/>
      </c>
      <c r="J36" s="251" t="n"/>
      <c r="K36" s="251" t="n"/>
      <c r="L36" s="251" t="n"/>
      <c r="M36" s="251" t="n"/>
      <c r="N36">
        <f>IF(A36="","",IF(OR(M36="Approved",M36="RFQ"),"Forecast","Plan"))</f>
        <v/>
      </c>
      <c r="O36" s="251" t="n">
        <v>1</v>
      </c>
      <c r="P36" s="251" t="n"/>
      <c r="Q36" s="251" t="n"/>
      <c r="R36" s="251" t="n"/>
    </row>
    <row r="37">
      <c r="A37" s="251" t="n"/>
      <c r="B37" s="251" t="n"/>
      <c r="C37" s="251" t="n"/>
      <c r="D37" s="251" t="n"/>
      <c r="E37">
        <f>IF(D37="","",IFERROR(VLOOKUP(D37,'Master Inventory'!$A:$N,3,FALSE),""))</f>
        <v/>
      </c>
      <c r="F37" s="251" t="n"/>
      <c r="G37" s="251" t="n"/>
      <c r="H37" s="248">
        <f>IF(D37="","",IFERROR(VLOOKUP(D37,'Master Inventory'!$A:$N,4,FALSE),0))</f>
        <v/>
      </c>
      <c r="I37" s="248">
        <f>IF(OR(G37="",H37=""),"",G37*H37)</f>
        <v/>
      </c>
      <c r="J37" s="251" t="n"/>
      <c r="K37" s="251" t="n"/>
      <c r="L37" s="251" t="n"/>
      <c r="M37" s="251" t="n"/>
      <c r="N37">
        <f>IF(A37="","",IF(OR(M37="Approved",M37="RFQ"),"Forecast","Plan"))</f>
        <v/>
      </c>
      <c r="O37" s="251" t="n">
        <v>1</v>
      </c>
      <c r="P37" s="251" t="n"/>
      <c r="Q37" s="251" t="n"/>
      <c r="R37" s="251" t="n"/>
    </row>
    <row r="38">
      <c r="A38" s="251" t="n"/>
      <c r="B38" s="251" t="n"/>
      <c r="C38" s="251" t="n"/>
      <c r="D38" s="251" t="n"/>
      <c r="E38">
        <f>IF(D38="","",IFERROR(VLOOKUP(D38,'Master Inventory'!$A:$N,3,FALSE),""))</f>
        <v/>
      </c>
      <c r="F38" s="251" t="n"/>
      <c r="G38" s="251" t="n"/>
      <c r="H38" s="248">
        <f>IF(D38="","",IFERROR(VLOOKUP(D38,'Master Inventory'!$A:$N,4,FALSE),0))</f>
        <v/>
      </c>
      <c r="I38" s="248">
        <f>IF(OR(G38="",H38=""),"",G38*H38)</f>
        <v/>
      </c>
      <c r="J38" s="251" t="n"/>
      <c r="K38" s="251" t="n"/>
      <c r="L38" s="251" t="n"/>
      <c r="M38" s="251" t="n"/>
      <c r="N38">
        <f>IF(A38="","",IF(OR(M38="Approved",M38="RFQ"),"Forecast","Plan"))</f>
        <v/>
      </c>
      <c r="O38" s="251" t="n">
        <v>1</v>
      </c>
      <c r="P38" s="251" t="n"/>
      <c r="Q38" s="251" t="n"/>
      <c r="R38" s="251" t="n"/>
    </row>
    <row r="39">
      <c r="A39" s="251" t="n"/>
      <c r="B39" s="251" t="n"/>
      <c r="C39" s="251" t="n"/>
      <c r="D39" s="251" t="n"/>
      <c r="E39">
        <f>IF(D39="","",IFERROR(VLOOKUP(D39,'Master Inventory'!$A:$N,3,FALSE),""))</f>
        <v/>
      </c>
      <c r="F39" s="251" t="n"/>
      <c r="G39" s="251" t="n"/>
      <c r="H39" s="248">
        <f>IF(D39="","",IFERROR(VLOOKUP(D39,'Master Inventory'!$A:$N,4,FALSE),0))</f>
        <v/>
      </c>
      <c r="I39" s="248">
        <f>IF(OR(G39="",H39=""),"",G39*H39)</f>
        <v/>
      </c>
      <c r="J39" s="251" t="n"/>
      <c r="K39" s="251" t="n"/>
      <c r="L39" s="251" t="n"/>
      <c r="M39" s="251" t="n"/>
      <c r="N39">
        <f>IF(A39="","",IF(OR(M39="Approved",M39="RFQ"),"Forecast","Plan"))</f>
        <v/>
      </c>
      <c r="O39" s="251" t="n">
        <v>1</v>
      </c>
      <c r="P39" s="251" t="n"/>
      <c r="Q39" s="251" t="n"/>
      <c r="R39" s="251" t="n"/>
    </row>
    <row r="40">
      <c r="A40" s="251" t="n"/>
      <c r="B40" s="251" t="n"/>
      <c r="C40" s="251" t="n"/>
      <c r="D40" s="251" t="n"/>
      <c r="E40">
        <f>IF(D40="","",IFERROR(VLOOKUP(D40,'Master Inventory'!$A:$N,3,FALSE),""))</f>
        <v/>
      </c>
      <c r="F40" s="251" t="n"/>
      <c r="G40" s="251" t="n"/>
      <c r="H40" s="248">
        <f>IF(D40="","",IFERROR(VLOOKUP(D40,'Master Inventory'!$A:$N,4,FALSE),0))</f>
        <v/>
      </c>
      <c r="I40" s="248">
        <f>IF(OR(G40="",H40=""),"",G40*H40)</f>
        <v/>
      </c>
      <c r="J40" s="251" t="n"/>
      <c r="K40" s="251" t="n"/>
      <c r="L40" s="251" t="n"/>
      <c r="M40" s="251" t="n"/>
      <c r="N40">
        <f>IF(A40="","",IF(OR(M40="Approved",M40="RFQ"),"Forecast","Plan"))</f>
        <v/>
      </c>
      <c r="O40" s="251" t="n">
        <v>1</v>
      </c>
      <c r="P40" s="251" t="n"/>
      <c r="Q40" s="251" t="n"/>
      <c r="R40" s="251" t="n"/>
    </row>
    <row r="41">
      <c r="A41" s="251" t="n"/>
      <c r="B41" s="251" t="n"/>
      <c r="C41" s="251" t="n"/>
      <c r="D41" s="251" t="n"/>
      <c r="E41">
        <f>IF(D41="","",IFERROR(VLOOKUP(D41,'Master Inventory'!$A:$N,3,FALSE),""))</f>
        <v/>
      </c>
      <c r="F41" s="251" t="n"/>
      <c r="G41" s="251" t="n"/>
      <c r="H41" s="248">
        <f>IF(D41="","",IFERROR(VLOOKUP(D41,'Master Inventory'!$A:$N,4,FALSE),0))</f>
        <v/>
      </c>
      <c r="I41" s="248">
        <f>IF(OR(G41="",H41=""),"",G41*H41)</f>
        <v/>
      </c>
      <c r="J41" s="251" t="n"/>
      <c r="K41" s="251" t="n"/>
      <c r="L41" s="251" t="n"/>
      <c r="M41" s="251" t="n"/>
      <c r="N41">
        <f>IF(A41="","",IF(OR(M41="Approved",M41="RFQ"),"Forecast","Plan"))</f>
        <v/>
      </c>
      <c r="O41" s="251" t="n">
        <v>1</v>
      </c>
      <c r="P41" s="251" t="n"/>
      <c r="Q41" s="251" t="n"/>
      <c r="R41" s="251" t="n"/>
    </row>
    <row r="42">
      <c r="A42" s="251" t="n"/>
      <c r="B42" s="251" t="n"/>
      <c r="C42" s="251" t="n"/>
      <c r="D42" s="251" t="n"/>
      <c r="E42">
        <f>IF(D42="","",IFERROR(VLOOKUP(D42,'Master Inventory'!$A:$N,3,FALSE),""))</f>
        <v/>
      </c>
      <c r="F42" s="251" t="n"/>
      <c r="G42" s="251" t="n"/>
      <c r="H42" s="248">
        <f>IF(D42="","",IFERROR(VLOOKUP(D42,'Master Inventory'!$A:$N,4,FALSE),0))</f>
        <v/>
      </c>
      <c r="I42" s="248">
        <f>IF(OR(G42="",H42=""),"",G42*H42)</f>
        <v/>
      </c>
      <c r="J42" s="251" t="n"/>
      <c r="K42" s="251" t="n"/>
      <c r="L42" s="251" t="n"/>
      <c r="M42" s="251" t="n"/>
      <c r="N42">
        <f>IF(A42="","",IF(OR(M42="Approved",M42="RFQ"),"Forecast","Plan"))</f>
        <v/>
      </c>
      <c r="O42" s="251" t="n">
        <v>1</v>
      </c>
      <c r="P42" s="251" t="n"/>
      <c r="Q42" s="251" t="n"/>
      <c r="R42" s="251" t="n"/>
    </row>
    <row r="43">
      <c r="A43" s="251" t="n"/>
      <c r="B43" s="251" t="n"/>
      <c r="C43" s="251" t="n"/>
      <c r="D43" s="251" t="n"/>
      <c r="E43">
        <f>IF(D43="","",IFERROR(VLOOKUP(D43,'Master Inventory'!$A:$N,3,FALSE),""))</f>
        <v/>
      </c>
      <c r="F43" s="251" t="n"/>
      <c r="G43" s="251" t="n"/>
      <c r="H43" s="248">
        <f>IF(D43="","",IFERROR(VLOOKUP(D43,'Master Inventory'!$A:$N,4,FALSE),0))</f>
        <v/>
      </c>
      <c r="I43" s="248">
        <f>IF(OR(G43="",H43=""),"",G43*H43)</f>
        <v/>
      </c>
      <c r="J43" s="251" t="n"/>
      <c r="K43" s="251" t="n"/>
      <c r="L43" s="251" t="n"/>
      <c r="M43" s="251" t="n"/>
      <c r="N43">
        <f>IF(A43="","",IF(OR(M43="Approved",M43="RFQ"),"Forecast","Plan"))</f>
        <v/>
      </c>
      <c r="O43" s="251" t="n">
        <v>1</v>
      </c>
      <c r="P43" s="251" t="n"/>
      <c r="Q43" s="251" t="n"/>
      <c r="R43" s="251" t="n"/>
    </row>
    <row r="44">
      <c r="A44" s="251" t="n"/>
      <c r="B44" s="251" t="n"/>
      <c r="C44" s="251" t="n"/>
      <c r="D44" s="251" t="n"/>
      <c r="E44">
        <f>IF(D44="","",IFERROR(VLOOKUP(D44,'Master Inventory'!$A:$N,3,FALSE),""))</f>
        <v/>
      </c>
      <c r="F44" s="251" t="n"/>
      <c r="G44" s="251" t="n"/>
      <c r="H44" s="248">
        <f>IF(D44="","",IFERROR(VLOOKUP(D44,'Master Inventory'!$A:$N,4,FALSE),0))</f>
        <v/>
      </c>
      <c r="I44" s="248">
        <f>IF(OR(G44="",H44=""),"",G44*H44)</f>
        <v/>
      </c>
      <c r="J44" s="251" t="n"/>
      <c r="K44" s="251" t="n"/>
      <c r="L44" s="251" t="n"/>
      <c r="M44" s="251" t="n"/>
      <c r="N44">
        <f>IF(A44="","",IF(OR(M44="Approved",M44="RFQ"),"Forecast","Plan"))</f>
        <v/>
      </c>
      <c r="O44" s="251" t="n">
        <v>1</v>
      </c>
      <c r="P44" s="251" t="n"/>
      <c r="Q44" s="251" t="n"/>
      <c r="R44" s="251" t="n"/>
    </row>
    <row r="45">
      <c r="A45" s="251" t="n"/>
      <c r="B45" s="251" t="n"/>
      <c r="C45" s="251" t="n"/>
      <c r="D45" s="251" t="n"/>
      <c r="E45">
        <f>IF(D45="","",IFERROR(VLOOKUP(D45,'Master Inventory'!$A:$N,3,FALSE),""))</f>
        <v/>
      </c>
      <c r="F45" s="251" t="n"/>
      <c r="G45" s="251" t="n"/>
      <c r="H45" s="248">
        <f>IF(D45="","",IFERROR(VLOOKUP(D45,'Master Inventory'!$A:$N,4,FALSE),0))</f>
        <v/>
      </c>
      <c r="I45" s="248">
        <f>IF(OR(G45="",H45=""),"",G45*H45)</f>
        <v/>
      </c>
      <c r="J45" s="251" t="n"/>
      <c r="K45" s="251" t="n"/>
      <c r="L45" s="251" t="n"/>
      <c r="M45" s="251" t="n"/>
      <c r="N45">
        <f>IF(A45="","",IF(OR(M45="Approved",M45="RFQ"),"Forecast","Plan"))</f>
        <v/>
      </c>
      <c r="O45" s="251" t="n">
        <v>1</v>
      </c>
      <c r="P45" s="251" t="n"/>
      <c r="Q45" s="251" t="n"/>
      <c r="R45" s="251" t="n"/>
    </row>
    <row r="46">
      <c r="A46" s="251" t="n"/>
      <c r="B46" s="251" t="n"/>
      <c r="C46" s="251" t="n"/>
      <c r="D46" s="251" t="n"/>
      <c r="E46">
        <f>IF(D46="","",IFERROR(VLOOKUP(D46,'Master Inventory'!$A:$N,3,FALSE),""))</f>
        <v/>
      </c>
      <c r="F46" s="251" t="n"/>
      <c r="G46" s="251" t="n"/>
      <c r="H46" s="248">
        <f>IF(D46="","",IFERROR(VLOOKUP(D46,'Master Inventory'!$A:$N,4,FALSE),0))</f>
        <v/>
      </c>
      <c r="I46" s="248">
        <f>IF(OR(G46="",H46=""),"",G46*H46)</f>
        <v/>
      </c>
      <c r="J46" s="251" t="n"/>
      <c r="K46" s="251" t="n"/>
      <c r="L46" s="251" t="n"/>
      <c r="M46" s="251" t="n"/>
      <c r="N46">
        <f>IF(A46="","",IF(OR(M46="Approved",M46="RFQ"),"Forecast","Plan"))</f>
        <v/>
      </c>
      <c r="O46" s="251" t="n">
        <v>1</v>
      </c>
      <c r="P46" s="251" t="n"/>
      <c r="Q46" s="251" t="n"/>
      <c r="R46" s="251" t="n"/>
    </row>
    <row r="47">
      <c r="A47" s="251" t="n"/>
      <c r="B47" s="251" t="n"/>
      <c r="C47" s="251" t="n"/>
      <c r="D47" s="251" t="n"/>
      <c r="E47">
        <f>IF(D47="","",IFERROR(VLOOKUP(D47,'Master Inventory'!$A:$N,3,FALSE),""))</f>
        <v/>
      </c>
      <c r="F47" s="251" t="n"/>
      <c r="G47" s="251" t="n"/>
      <c r="H47" s="248">
        <f>IF(D47="","",IFERROR(VLOOKUP(D47,'Master Inventory'!$A:$N,4,FALSE),0))</f>
        <v/>
      </c>
      <c r="I47" s="248">
        <f>IF(OR(G47="",H47=""),"",G47*H47)</f>
        <v/>
      </c>
      <c r="J47" s="251" t="n"/>
      <c r="K47" s="251" t="n"/>
      <c r="L47" s="251" t="n"/>
      <c r="M47" s="251" t="n"/>
      <c r="N47">
        <f>IF(A47="","",IF(OR(M47="Approved",M47="RFQ"),"Forecast","Plan"))</f>
        <v/>
      </c>
      <c r="O47" s="251" t="n">
        <v>1</v>
      </c>
      <c r="P47" s="251" t="n"/>
      <c r="Q47" s="251" t="n"/>
      <c r="R47" s="251" t="n"/>
    </row>
    <row r="48">
      <c r="A48" s="251" t="n"/>
      <c r="B48" s="251" t="n"/>
      <c r="C48" s="251" t="n"/>
      <c r="D48" s="251" t="n"/>
      <c r="E48">
        <f>IF(D48="","",IFERROR(VLOOKUP(D48,'Master Inventory'!$A:$N,3,FALSE),""))</f>
        <v/>
      </c>
      <c r="F48" s="251" t="n"/>
      <c r="G48" s="251" t="n"/>
      <c r="H48" s="248">
        <f>IF(D48="","",IFERROR(VLOOKUP(D48,'Master Inventory'!$A:$N,4,FALSE),0))</f>
        <v/>
      </c>
      <c r="I48" s="248">
        <f>IF(OR(G48="",H48=""),"",G48*H48)</f>
        <v/>
      </c>
      <c r="J48" s="251" t="n"/>
      <c r="K48" s="251" t="n"/>
      <c r="L48" s="251" t="n"/>
      <c r="M48" s="251" t="n"/>
      <c r="N48">
        <f>IF(A48="","",IF(OR(M48="Approved",M48="RFQ"),"Forecast","Plan"))</f>
        <v/>
      </c>
      <c r="O48" s="251" t="n">
        <v>1</v>
      </c>
      <c r="P48" s="251" t="n"/>
      <c r="Q48" s="251" t="n"/>
      <c r="R48" s="251" t="n"/>
    </row>
    <row r="49">
      <c r="A49" s="251" t="n"/>
      <c r="B49" s="251" t="n"/>
      <c r="C49" s="251" t="n"/>
      <c r="D49" s="251" t="n"/>
      <c r="E49">
        <f>IF(D49="","",IFERROR(VLOOKUP(D49,'Master Inventory'!$A:$N,3,FALSE),""))</f>
        <v/>
      </c>
      <c r="F49" s="251" t="n"/>
      <c r="G49" s="251" t="n"/>
      <c r="H49" s="248">
        <f>IF(D49="","",IFERROR(VLOOKUP(D49,'Master Inventory'!$A:$N,4,FALSE),0))</f>
        <v/>
      </c>
      <c r="I49" s="248">
        <f>IF(OR(G49="",H49=""),"",G49*H49)</f>
        <v/>
      </c>
      <c r="J49" s="251" t="n"/>
      <c r="K49" s="251" t="n"/>
      <c r="L49" s="251" t="n"/>
      <c r="M49" s="251" t="n"/>
      <c r="N49">
        <f>IF(A49="","",IF(OR(M49="Approved",M49="RFQ"),"Forecast","Plan"))</f>
        <v/>
      </c>
      <c r="O49" s="251" t="n">
        <v>1</v>
      </c>
      <c r="P49" s="251" t="n"/>
      <c r="Q49" s="251" t="n"/>
      <c r="R49" s="251" t="n"/>
    </row>
    <row r="50">
      <c r="A50" s="251" t="n"/>
      <c r="B50" s="251" t="n"/>
      <c r="C50" s="251" t="n"/>
      <c r="D50" s="251" t="n"/>
      <c r="E50">
        <f>IF(D50="","",IFERROR(VLOOKUP(D50,'Master Inventory'!$A:$N,3,FALSE),""))</f>
        <v/>
      </c>
      <c r="F50" s="251" t="n"/>
      <c r="G50" s="251" t="n"/>
      <c r="H50" s="248">
        <f>IF(D50="","",IFERROR(VLOOKUP(D50,'Master Inventory'!$A:$N,4,FALSE),0))</f>
        <v/>
      </c>
      <c r="I50" s="248">
        <f>IF(OR(G50="",H50=""),"",G50*H50)</f>
        <v/>
      </c>
      <c r="J50" s="251" t="n"/>
      <c r="K50" s="251" t="n"/>
      <c r="L50" s="251" t="n"/>
      <c r="M50" s="251" t="n"/>
      <c r="N50">
        <f>IF(A50="","",IF(OR(M50="Approved",M50="RFQ"),"Forecast","Plan"))</f>
        <v/>
      </c>
      <c r="O50" s="251" t="n">
        <v>1</v>
      </c>
      <c r="P50" s="251" t="n"/>
      <c r="Q50" s="251" t="n"/>
      <c r="R50" s="251" t="n"/>
    </row>
    <row r="51">
      <c r="A51" s="251" t="n"/>
      <c r="B51" s="251" t="n"/>
      <c r="C51" s="251" t="n"/>
      <c r="D51" s="251" t="n"/>
      <c r="E51">
        <f>IF(D51="","",IFERROR(VLOOKUP(D51,'Master Inventory'!$A:$N,3,FALSE),""))</f>
        <v/>
      </c>
      <c r="F51" s="251" t="n"/>
      <c r="G51" s="251" t="n"/>
      <c r="H51" s="248">
        <f>IF(D51="","",IFERROR(VLOOKUP(D51,'Master Inventory'!$A:$N,4,FALSE),0))</f>
        <v/>
      </c>
      <c r="I51" s="248">
        <f>IF(OR(G51="",H51=""),"",G51*H51)</f>
        <v/>
      </c>
      <c r="J51" s="251" t="n"/>
      <c r="K51" s="251" t="n"/>
      <c r="L51" s="251" t="n"/>
      <c r="M51" s="251" t="n"/>
      <c r="N51">
        <f>IF(A51="","",IF(OR(M51="Approved",M51="RFQ"),"Forecast","Plan"))</f>
        <v/>
      </c>
      <c r="O51" s="251" t="n">
        <v>1</v>
      </c>
      <c r="P51" s="251" t="n"/>
      <c r="Q51" s="251" t="n"/>
      <c r="R51" s="251" t="n"/>
    </row>
    <row r="52">
      <c r="A52" s="251" t="n"/>
      <c r="B52" s="251" t="n"/>
      <c r="C52" s="251" t="n"/>
      <c r="D52" s="251" t="n"/>
      <c r="E52">
        <f>IF(D52="","",IFERROR(VLOOKUP(D52,'Master Inventory'!$A:$N,3,FALSE),""))</f>
        <v/>
      </c>
      <c r="F52" s="251" t="n"/>
      <c r="G52" s="251" t="n"/>
      <c r="H52" s="248">
        <f>IF(D52="","",IFERROR(VLOOKUP(D52,'Master Inventory'!$A:$N,4,FALSE),0))</f>
        <v/>
      </c>
      <c r="I52" s="248">
        <f>IF(OR(G52="",H52=""),"",G52*H52)</f>
        <v/>
      </c>
      <c r="J52" s="251" t="n"/>
      <c r="K52" s="251" t="n"/>
      <c r="L52" s="251" t="n"/>
      <c r="M52" s="251" t="n"/>
      <c r="N52">
        <f>IF(A52="","",IF(OR(M52="Approved",M52="RFQ"),"Forecast","Plan"))</f>
        <v/>
      </c>
      <c r="O52" s="251" t="n">
        <v>1</v>
      </c>
      <c r="P52" s="251" t="n"/>
      <c r="Q52" s="251" t="n"/>
      <c r="R52" s="251" t="n"/>
    </row>
    <row r="53">
      <c r="A53" s="251" t="n"/>
      <c r="B53" s="251" t="n"/>
      <c r="C53" s="251" t="n"/>
      <c r="D53" s="251" t="n"/>
      <c r="E53">
        <f>IF(D53="","",IFERROR(VLOOKUP(D53,'Master Inventory'!$A:$N,3,FALSE),""))</f>
        <v/>
      </c>
      <c r="F53" s="251" t="n"/>
      <c r="G53" s="251" t="n"/>
      <c r="H53" s="248">
        <f>IF(D53="","",IFERROR(VLOOKUP(D53,'Master Inventory'!$A:$N,4,FALSE),0))</f>
        <v/>
      </c>
      <c r="I53" s="248">
        <f>IF(OR(G53="",H53=""),"",G53*H53)</f>
        <v/>
      </c>
      <c r="J53" s="251" t="n"/>
      <c r="K53" s="251" t="n"/>
      <c r="L53" s="251" t="n"/>
      <c r="M53" s="251" t="n"/>
      <c r="N53">
        <f>IF(A53="","",IF(OR(M53="Approved",M53="RFQ"),"Forecast","Plan"))</f>
        <v/>
      </c>
      <c r="O53" s="251" t="n">
        <v>1</v>
      </c>
      <c r="P53" s="251" t="n"/>
      <c r="Q53" s="251" t="n"/>
      <c r="R53" s="251" t="n"/>
    </row>
  </sheetData>
  <mergeCells count="2">
    <mergeCell ref="A2:R2"/>
    <mergeCell ref="A1:R1"/>
  </mergeCells>
  <dataValidations count="2">
    <dataValidation sqref="M4:M53" showDropDown="0" showInputMessage="0" showErrorMessage="0" allowBlank="1" type="list">
      <formula1>"Draft,Submitted,Approved,RFQ,Converted to PO,Rejected,Cancelled"</formula1>
    </dataValidation>
    <dataValidation sqref="J4:J53" showDropDown="0" showInputMessage="0" showErrorMessage="0" allowBlank="1" type="list">
      <formula1>"P1 COMMITTED,P2 PLAN,P3 MSL,P4 OPTIONAL"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10" customWidth="1" style="88" min="2" max="2"/>
    <col width="13" customWidth="1" style="88" min="3" max="3"/>
    <col width="10" customWidth="1" style="88" min="4" max="4"/>
    <col width="10" customWidth="1" style="88" min="5" max="5"/>
    <col width="32" customWidth="1" style="88" min="6" max="6"/>
    <col width="32" customWidth="1" style="88" min="7" max="7"/>
    <col width="12" customWidth="1" style="88" min="8" max="8"/>
    <col width="32" customWidth="1" style="88" min="9" max="9"/>
    <col width="24" customWidth="1" style="88" min="10" max="10"/>
    <col width="15" customWidth="1" style="88" min="11" max="11"/>
    <col width="10" customWidth="1" style="88" min="12" max="12"/>
    <col width="32" customWidth="1" style="88" min="13" max="13"/>
    <col width="10" customWidth="1" style="88" min="14" max="14"/>
    <col width="13" customWidth="1" style="88" min="15" max="15"/>
    <col width="13" customWidth="1" style="88" min="16" max="16"/>
    <col width="15" customWidth="1" style="88" min="17" max="17"/>
    <col width="10" customWidth="1" style="88" min="18" max="18"/>
    <col width="10" customWidth="1" style="88" min="19" max="19"/>
    <col width="22" customWidth="1" style="88" min="20" max="20"/>
    <col width="32" customWidth="1" style="88" min="21" max="21"/>
    <col width="31" customWidth="1" style="88" min="22" max="22"/>
  </cols>
  <sheetData>
    <row r="1">
      <c r="A1" s="249" t="inlineStr">
        <is>
          <t>Purchase Orders · committed external supply authority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</row>
    <row r="2">
      <c r="A2" s="250" t="inlineStr">
        <is>
          <t>Approved/Open POs are COMMITTED supply; Received/Closed POs become ACTUAL through GRN evidence.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</row>
    <row r="3">
      <c r="A3" s="231" t="inlineStr">
        <is>
          <t>PO ID</t>
        </is>
      </c>
      <c r="B3" s="231" t="inlineStr">
        <is>
          <t>PR ID</t>
        </is>
      </c>
      <c r="C3" s="231" t="inlineStr">
        <is>
          <t>Supplier ID</t>
        </is>
      </c>
      <c r="D3" s="231" t="inlineStr">
        <is>
          <t>SKU</t>
        </is>
      </c>
      <c r="E3" s="231" t="inlineStr">
        <is>
          <t>Qty</t>
        </is>
      </c>
      <c r="F3" s="231" t="inlineStr">
        <is>
          <t>Unit Price ₹</t>
        </is>
      </c>
      <c r="G3" s="231" t="inlineStr">
        <is>
          <t>PO Value ₹</t>
        </is>
      </c>
      <c r="H3" s="231" t="inlineStr">
        <is>
          <t>Order Date</t>
        </is>
      </c>
      <c r="I3" s="231" t="inlineStr">
        <is>
          <t>Order Month</t>
        </is>
      </c>
      <c r="J3" s="231" t="inlineStr">
        <is>
          <t>Expected Receipt Month</t>
        </is>
      </c>
      <c r="K3" s="231" t="inlineStr">
        <is>
          <t>Payment Month</t>
        </is>
      </c>
      <c r="L3" s="231" t="inlineStr">
        <is>
          <t>Status</t>
        </is>
      </c>
      <c r="M3" s="231" t="inlineStr">
        <is>
          <t>Truth Class</t>
        </is>
      </c>
      <c r="N3" s="231" t="inlineStr">
        <is>
          <t>Revision</t>
        </is>
      </c>
      <c r="O3" s="231" t="inlineStr">
        <is>
          <t>Approved By</t>
        </is>
      </c>
      <c r="P3" s="231" t="inlineStr">
        <is>
          <t>Approved At</t>
        </is>
      </c>
      <c r="Q3" s="231" t="inlineStr">
        <is>
          <t>Supplier Ack?</t>
        </is>
      </c>
      <c r="R3" s="231" t="inlineStr">
        <is>
          <t>Currency</t>
        </is>
      </c>
      <c r="S3" s="231" t="inlineStr">
        <is>
          <t>GST Rate</t>
        </is>
      </c>
      <c r="T3" s="231" t="inlineStr">
        <is>
          <t>Evidence / Quote Ref</t>
        </is>
      </c>
      <c r="U3" s="231" t="inlineStr">
        <is>
          <t>GRN Qty</t>
        </is>
      </c>
      <c r="V3" s="231" t="inlineStr">
        <is>
          <t>Open Qty</t>
        </is>
      </c>
    </row>
    <row r="4">
      <c r="A4" s="251" t="n"/>
      <c r="B4" s="251" t="n"/>
      <c r="C4" s="251" t="n"/>
      <c r="D4" s="251" t="n"/>
      <c r="E4" s="251" t="n"/>
      <c r="F4" s="248">
        <f>IF(D4="","",IFERROR(VLOOKUP(D4,'Master Inventory'!$A:$N,4,FALSE),0))</f>
        <v/>
      </c>
      <c r="G4" s="248">
        <f>IF(OR(E4="",F4=""),"",E4*F4)</f>
        <v/>
      </c>
      <c r="H4" s="251" t="n"/>
      <c r="I4">
        <f>IF(H4="","",12*(YEAR(H4)-YEAR(Inputs!$B$5))+MONTH(H4)-MONTH(Inputs!$B$5)+1)</f>
        <v/>
      </c>
      <c r="J4" s="251" t="n"/>
      <c r="K4" s="251" t="n"/>
      <c r="L4" s="251" t="n"/>
      <c r="M4">
        <f>IF(A4="","",IF(OR(L4="Received",L4="Closed"),"Actual",IF(OR(L4="Approved",L4="Open"),"Committed","Plan")))</f>
        <v/>
      </c>
      <c r="N4" s="251" t="n">
        <v>1</v>
      </c>
      <c r="O4" s="251" t="n"/>
      <c r="P4" s="251" t="n"/>
      <c r="Q4" s="251" t="inlineStr">
        <is>
          <t>No</t>
        </is>
      </c>
      <c r="R4" s="251" t="inlineStr">
        <is>
          <t>INR</t>
        </is>
      </c>
      <c r="S4" s="252" t="n"/>
      <c r="T4" s="251" t="n"/>
      <c r="U4">
        <f>IF(A4="","",SUMIFS('Goods Receipts'!$F:$F,'Goods Receipts'!$B:$B,A4,'Goods Receipts'!$L:$L,"Posted"))</f>
        <v/>
      </c>
      <c r="V4">
        <f>IF(A4="","",MAX(0,E4-U4))</f>
        <v/>
      </c>
    </row>
    <row r="5">
      <c r="A5" s="251" t="n"/>
      <c r="B5" s="251" t="n"/>
      <c r="C5" s="251" t="n"/>
      <c r="D5" s="251" t="n"/>
      <c r="E5" s="251" t="n"/>
      <c r="F5" s="248">
        <f>IF(D5="","",IFERROR(VLOOKUP(D5,'Master Inventory'!$A:$N,4,FALSE),0))</f>
        <v/>
      </c>
      <c r="G5" s="248">
        <f>IF(OR(E5="",F5=""),"",E5*F5)</f>
        <v/>
      </c>
      <c r="H5" s="251" t="n"/>
      <c r="I5">
        <f>IF(H5="","",12*(YEAR(H5)-YEAR(Inputs!$B$5))+MONTH(H5)-MONTH(Inputs!$B$5)+1)</f>
        <v/>
      </c>
      <c r="J5" s="251" t="n"/>
      <c r="K5" s="251" t="n"/>
      <c r="L5" s="251" t="n"/>
      <c r="M5">
        <f>IF(A5="","",IF(OR(L5="Received",L5="Closed"),"Actual",IF(OR(L5="Approved",L5="Open"),"Committed","Plan")))</f>
        <v/>
      </c>
      <c r="N5" s="251" t="n">
        <v>1</v>
      </c>
      <c r="O5" s="251" t="n"/>
      <c r="P5" s="251" t="n"/>
      <c r="Q5" s="251" t="inlineStr">
        <is>
          <t>No</t>
        </is>
      </c>
      <c r="R5" s="251" t="inlineStr">
        <is>
          <t>INR</t>
        </is>
      </c>
      <c r="S5" s="252" t="n"/>
      <c r="T5" s="251" t="n"/>
      <c r="U5">
        <f>IF(A5="","",SUMIFS('Goods Receipts'!$F:$F,'Goods Receipts'!$B:$B,A5,'Goods Receipts'!$L:$L,"Posted"))</f>
        <v/>
      </c>
      <c r="V5">
        <f>IF(A5="","",MAX(0,E5-U5))</f>
        <v/>
      </c>
    </row>
    <row r="6">
      <c r="A6" s="251" t="n"/>
      <c r="B6" s="251" t="n"/>
      <c r="C6" s="251" t="n"/>
      <c r="D6" s="251" t="n"/>
      <c r="E6" s="251" t="n"/>
      <c r="F6" s="248">
        <f>IF(D6="","",IFERROR(VLOOKUP(D6,'Master Inventory'!$A:$N,4,FALSE),0))</f>
        <v/>
      </c>
      <c r="G6" s="248">
        <f>IF(OR(E6="",F6=""),"",E6*F6)</f>
        <v/>
      </c>
      <c r="H6" s="251" t="n"/>
      <c r="I6">
        <f>IF(H6="","",12*(YEAR(H6)-YEAR(Inputs!$B$5))+MONTH(H6)-MONTH(Inputs!$B$5)+1)</f>
        <v/>
      </c>
      <c r="J6" s="251" t="n"/>
      <c r="K6" s="251" t="n"/>
      <c r="L6" s="251" t="n"/>
      <c r="M6">
        <f>IF(A6="","",IF(OR(L6="Received",L6="Closed"),"Actual",IF(OR(L6="Approved",L6="Open"),"Committed","Plan")))</f>
        <v/>
      </c>
      <c r="N6" s="251" t="n">
        <v>1</v>
      </c>
      <c r="O6" s="251" t="n"/>
      <c r="P6" s="251" t="n"/>
      <c r="Q6" s="251" t="inlineStr">
        <is>
          <t>No</t>
        </is>
      </c>
      <c r="R6" s="251" t="inlineStr">
        <is>
          <t>INR</t>
        </is>
      </c>
      <c r="S6" s="252" t="n"/>
      <c r="T6" s="251" t="n"/>
      <c r="U6">
        <f>IF(A6="","",SUMIFS('Goods Receipts'!$F:$F,'Goods Receipts'!$B:$B,A6,'Goods Receipts'!$L:$L,"Posted"))</f>
        <v/>
      </c>
      <c r="V6">
        <f>IF(A6="","",MAX(0,E6-U6))</f>
        <v/>
      </c>
    </row>
    <row r="7">
      <c r="A7" s="251" t="n"/>
      <c r="B7" s="251" t="n"/>
      <c r="C7" s="251" t="n"/>
      <c r="D7" s="251" t="n"/>
      <c r="E7" s="251" t="n"/>
      <c r="F7" s="248">
        <f>IF(D7="","",IFERROR(VLOOKUP(D7,'Master Inventory'!$A:$N,4,FALSE),0))</f>
        <v/>
      </c>
      <c r="G7" s="248">
        <f>IF(OR(E7="",F7=""),"",E7*F7)</f>
        <v/>
      </c>
      <c r="H7" s="251" t="n"/>
      <c r="I7">
        <f>IF(H7="","",12*(YEAR(H7)-YEAR(Inputs!$B$5))+MONTH(H7)-MONTH(Inputs!$B$5)+1)</f>
        <v/>
      </c>
      <c r="J7" s="251" t="n"/>
      <c r="K7" s="251" t="n"/>
      <c r="L7" s="251" t="n"/>
      <c r="M7">
        <f>IF(A7="","",IF(OR(L7="Received",L7="Closed"),"Actual",IF(OR(L7="Approved",L7="Open"),"Committed","Plan")))</f>
        <v/>
      </c>
      <c r="N7" s="251" t="n">
        <v>1</v>
      </c>
      <c r="O7" s="251" t="n"/>
      <c r="P7" s="251" t="n"/>
      <c r="Q7" s="251" t="inlineStr">
        <is>
          <t>No</t>
        </is>
      </c>
      <c r="R7" s="251" t="inlineStr">
        <is>
          <t>INR</t>
        </is>
      </c>
      <c r="S7" s="252" t="n"/>
      <c r="T7" s="251" t="n"/>
      <c r="U7">
        <f>IF(A7="","",SUMIFS('Goods Receipts'!$F:$F,'Goods Receipts'!$B:$B,A7,'Goods Receipts'!$L:$L,"Posted"))</f>
        <v/>
      </c>
      <c r="V7">
        <f>IF(A7="","",MAX(0,E7-U7))</f>
        <v/>
      </c>
    </row>
    <row r="8">
      <c r="A8" s="251" t="n"/>
      <c r="B8" s="251" t="n"/>
      <c r="C8" s="251" t="n"/>
      <c r="D8" s="251" t="n"/>
      <c r="E8" s="251" t="n"/>
      <c r="F8" s="248">
        <f>IF(D8="","",IFERROR(VLOOKUP(D8,'Master Inventory'!$A:$N,4,FALSE),0))</f>
        <v/>
      </c>
      <c r="G8" s="248">
        <f>IF(OR(E8="",F8=""),"",E8*F8)</f>
        <v/>
      </c>
      <c r="H8" s="251" t="n"/>
      <c r="I8">
        <f>IF(H8="","",12*(YEAR(H8)-YEAR(Inputs!$B$5))+MONTH(H8)-MONTH(Inputs!$B$5)+1)</f>
        <v/>
      </c>
      <c r="J8" s="251" t="n"/>
      <c r="K8" s="251" t="n"/>
      <c r="L8" s="251" t="n"/>
      <c r="M8">
        <f>IF(A8="","",IF(OR(L8="Received",L8="Closed"),"Actual",IF(OR(L8="Approved",L8="Open"),"Committed","Plan")))</f>
        <v/>
      </c>
      <c r="N8" s="251" t="n">
        <v>1</v>
      </c>
      <c r="O8" s="251" t="n"/>
      <c r="P8" s="251" t="n"/>
      <c r="Q8" s="251" t="inlineStr">
        <is>
          <t>No</t>
        </is>
      </c>
      <c r="R8" s="251" t="inlineStr">
        <is>
          <t>INR</t>
        </is>
      </c>
      <c r="S8" s="252" t="n"/>
      <c r="T8" s="251" t="n"/>
      <c r="U8">
        <f>IF(A8="","",SUMIFS('Goods Receipts'!$F:$F,'Goods Receipts'!$B:$B,A8,'Goods Receipts'!$L:$L,"Posted"))</f>
        <v/>
      </c>
      <c r="V8">
        <f>IF(A8="","",MAX(0,E8-U8))</f>
        <v/>
      </c>
    </row>
    <row r="9">
      <c r="A9" s="251" t="n"/>
      <c r="B9" s="251" t="n"/>
      <c r="C9" s="251" t="n"/>
      <c r="D9" s="251" t="n"/>
      <c r="E9" s="251" t="n"/>
      <c r="F9" s="248">
        <f>IF(D9="","",IFERROR(VLOOKUP(D9,'Master Inventory'!$A:$N,4,FALSE),0))</f>
        <v/>
      </c>
      <c r="G9" s="248">
        <f>IF(OR(E9="",F9=""),"",E9*F9)</f>
        <v/>
      </c>
      <c r="H9" s="251" t="n"/>
      <c r="I9">
        <f>IF(H9="","",12*(YEAR(H9)-YEAR(Inputs!$B$5))+MONTH(H9)-MONTH(Inputs!$B$5)+1)</f>
        <v/>
      </c>
      <c r="J9" s="251" t="n"/>
      <c r="K9" s="251" t="n"/>
      <c r="L9" s="251" t="n"/>
      <c r="M9">
        <f>IF(A9="","",IF(OR(L9="Received",L9="Closed"),"Actual",IF(OR(L9="Approved",L9="Open"),"Committed","Plan")))</f>
        <v/>
      </c>
      <c r="N9" s="251" t="n">
        <v>1</v>
      </c>
      <c r="O9" s="251" t="n"/>
      <c r="P9" s="251" t="n"/>
      <c r="Q9" s="251" t="inlineStr">
        <is>
          <t>No</t>
        </is>
      </c>
      <c r="R9" s="251" t="inlineStr">
        <is>
          <t>INR</t>
        </is>
      </c>
      <c r="S9" s="252" t="n"/>
      <c r="T9" s="251" t="n"/>
      <c r="U9">
        <f>IF(A9="","",SUMIFS('Goods Receipts'!$F:$F,'Goods Receipts'!$B:$B,A9,'Goods Receipts'!$L:$L,"Posted"))</f>
        <v/>
      </c>
      <c r="V9">
        <f>IF(A9="","",MAX(0,E9-U9))</f>
        <v/>
      </c>
    </row>
    <row r="10">
      <c r="A10" s="251" t="n"/>
      <c r="B10" s="251" t="n"/>
      <c r="C10" s="251" t="n"/>
      <c r="D10" s="251" t="n"/>
      <c r="E10" s="251" t="n"/>
      <c r="F10" s="248">
        <f>IF(D10="","",IFERROR(VLOOKUP(D10,'Master Inventory'!$A:$N,4,FALSE),0))</f>
        <v/>
      </c>
      <c r="G10" s="248">
        <f>IF(OR(E10="",F10=""),"",E10*F10)</f>
        <v/>
      </c>
      <c r="H10" s="251" t="n"/>
      <c r="I10">
        <f>IF(H10="","",12*(YEAR(H10)-YEAR(Inputs!$B$5))+MONTH(H10)-MONTH(Inputs!$B$5)+1)</f>
        <v/>
      </c>
      <c r="J10" s="251" t="n"/>
      <c r="K10" s="251" t="n"/>
      <c r="L10" s="251" t="n"/>
      <c r="M10">
        <f>IF(A10="","",IF(OR(L10="Received",L10="Closed"),"Actual",IF(OR(L10="Approved",L10="Open"),"Committed","Plan")))</f>
        <v/>
      </c>
      <c r="N10" s="251" t="n">
        <v>1</v>
      </c>
      <c r="O10" s="251" t="n"/>
      <c r="P10" s="251" t="n"/>
      <c r="Q10" s="251" t="inlineStr">
        <is>
          <t>No</t>
        </is>
      </c>
      <c r="R10" s="251" t="inlineStr">
        <is>
          <t>INR</t>
        </is>
      </c>
      <c r="S10" s="252" t="n"/>
      <c r="T10" s="251" t="n"/>
      <c r="U10">
        <f>IF(A10="","",SUMIFS('Goods Receipts'!$F:$F,'Goods Receipts'!$B:$B,A10,'Goods Receipts'!$L:$L,"Posted"))</f>
        <v/>
      </c>
      <c r="V10">
        <f>IF(A10="","",MAX(0,E10-U10))</f>
        <v/>
      </c>
    </row>
    <row r="11">
      <c r="A11" s="251" t="n"/>
      <c r="B11" s="251" t="n"/>
      <c r="C11" s="251" t="n"/>
      <c r="D11" s="251" t="n"/>
      <c r="E11" s="251" t="n"/>
      <c r="F11" s="248">
        <f>IF(D11="","",IFERROR(VLOOKUP(D11,'Master Inventory'!$A:$N,4,FALSE),0))</f>
        <v/>
      </c>
      <c r="G11" s="248">
        <f>IF(OR(E11="",F11=""),"",E11*F11)</f>
        <v/>
      </c>
      <c r="H11" s="251" t="n"/>
      <c r="I11">
        <f>IF(H11="","",12*(YEAR(H11)-YEAR(Inputs!$B$5))+MONTH(H11)-MONTH(Inputs!$B$5)+1)</f>
        <v/>
      </c>
      <c r="J11" s="251" t="n"/>
      <c r="K11" s="251" t="n"/>
      <c r="L11" s="251" t="n"/>
      <c r="M11">
        <f>IF(A11="","",IF(OR(L11="Received",L11="Closed"),"Actual",IF(OR(L11="Approved",L11="Open"),"Committed","Plan")))</f>
        <v/>
      </c>
      <c r="N11" s="251" t="n">
        <v>1</v>
      </c>
      <c r="O11" s="251" t="n"/>
      <c r="P11" s="251" t="n"/>
      <c r="Q11" s="251" t="inlineStr">
        <is>
          <t>No</t>
        </is>
      </c>
      <c r="R11" s="251" t="inlineStr">
        <is>
          <t>INR</t>
        </is>
      </c>
      <c r="S11" s="252" t="n"/>
      <c r="T11" s="251" t="n"/>
      <c r="U11">
        <f>IF(A11="","",SUMIFS('Goods Receipts'!$F:$F,'Goods Receipts'!$B:$B,A11,'Goods Receipts'!$L:$L,"Posted"))</f>
        <v/>
      </c>
      <c r="V11">
        <f>IF(A11="","",MAX(0,E11-U11))</f>
        <v/>
      </c>
    </row>
    <row r="12">
      <c r="A12" s="251" t="n"/>
      <c r="B12" s="251" t="n"/>
      <c r="C12" s="251" t="n"/>
      <c r="D12" s="251" t="n"/>
      <c r="E12" s="251" t="n"/>
      <c r="F12" s="248">
        <f>IF(D12="","",IFERROR(VLOOKUP(D12,'Master Inventory'!$A:$N,4,FALSE),0))</f>
        <v/>
      </c>
      <c r="G12" s="248">
        <f>IF(OR(E12="",F12=""),"",E12*F12)</f>
        <v/>
      </c>
      <c r="H12" s="251" t="n"/>
      <c r="I12">
        <f>IF(H12="","",12*(YEAR(H12)-YEAR(Inputs!$B$5))+MONTH(H12)-MONTH(Inputs!$B$5)+1)</f>
        <v/>
      </c>
      <c r="J12" s="251" t="n"/>
      <c r="K12" s="251" t="n"/>
      <c r="L12" s="251" t="n"/>
      <c r="M12">
        <f>IF(A12="","",IF(OR(L12="Received",L12="Closed"),"Actual",IF(OR(L12="Approved",L12="Open"),"Committed","Plan")))</f>
        <v/>
      </c>
      <c r="N12" s="251" t="n">
        <v>1</v>
      </c>
      <c r="O12" s="251" t="n"/>
      <c r="P12" s="251" t="n"/>
      <c r="Q12" s="251" t="inlineStr">
        <is>
          <t>No</t>
        </is>
      </c>
      <c r="R12" s="251" t="inlineStr">
        <is>
          <t>INR</t>
        </is>
      </c>
      <c r="S12" s="252" t="n"/>
      <c r="T12" s="251" t="n"/>
      <c r="U12">
        <f>IF(A12="","",SUMIFS('Goods Receipts'!$F:$F,'Goods Receipts'!$B:$B,A12,'Goods Receipts'!$L:$L,"Posted"))</f>
        <v/>
      </c>
      <c r="V12">
        <f>IF(A12="","",MAX(0,E12-U12))</f>
        <v/>
      </c>
    </row>
    <row r="13">
      <c r="A13" s="251" t="n"/>
      <c r="B13" s="251" t="n"/>
      <c r="C13" s="251" t="n"/>
      <c r="D13" s="251" t="n"/>
      <c r="E13" s="251" t="n"/>
      <c r="F13" s="248">
        <f>IF(D13="","",IFERROR(VLOOKUP(D13,'Master Inventory'!$A:$N,4,FALSE),0))</f>
        <v/>
      </c>
      <c r="G13" s="248">
        <f>IF(OR(E13="",F13=""),"",E13*F13)</f>
        <v/>
      </c>
      <c r="H13" s="251" t="n"/>
      <c r="I13">
        <f>IF(H13="","",12*(YEAR(H13)-YEAR(Inputs!$B$5))+MONTH(H13)-MONTH(Inputs!$B$5)+1)</f>
        <v/>
      </c>
      <c r="J13" s="251" t="n"/>
      <c r="K13" s="251" t="n"/>
      <c r="L13" s="251" t="n"/>
      <c r="M13">
        <f>IF(A13="","",IF(OR(L13="Received",L13="Closed"),"Actual",IF(OR(L13="Approved",L13="Open"),"Committed","Plan")))</f>
        <v/>
      </c>
      <c r="N13" s="251" t="n">
        <v>1</v>
      </c>
      <c r="O13" s="251" t="n"/>
      <c r="P13" s="251" t="n"/>
      <c r="Q13" s="251" t="inlineStr">
        <is>
          <t>No</t>
        </is>
      </c>
      <c r="R13" s="251" t="inlineStr">
        <is>
          <t>INR</t>
        </is>
      </c>
      <c r="S13" s="252" t="n"/>
      <c r="T13" s="251" t="n"/>
      <c r="U13">
        <f>IF(A13="","",SUMIFS('Goods Receipts'!$F:$F,'Goods Receipts'!$B:$B,A13,'Goods Receipts'!$L:$L,"Posted"))</f>
        <v/>
      </c>
      <c r="V13">
        <f>IF(A13="","",MAX(0,E13-U13))</f>
        <v/>
      </c>
    </row>
    <row r="14">
      <c r="A14" s="251" t="n"/>
      <c r="B14" s="251" t="n"/>
      <c r="C14" s="251" t="n"/>
      <c r="D14" s="251" t="n"/>
      <c r="E14" s="251" t="n"/>
      <c r="F14" s="248">
        <f>IF(D14="","",IFERROR(VLOOKUP(D14,'Master Inventory'!$A:$N,4,FALSE),0))</f>
        <v/>
      </c>
      <c r="G14" s="248">
        <f>IF(OR(E14="",F14=""),"",E14*F14)</f>
        <v/>
      </c>
      <c r="H14" s="251" t="n"/>
      <c r="I14">
        <f>IF(H14="","",12*(YEAR(H14)-YEAR(Inputs!$B$5))+MONTH(H14)-MONTH(Inputs!$B$5)+1)</f>
        <v/>
      </c>
      <c r="J14" s="251" t="n"/>
      <c r="K14" s="251" t="n"/>
      <c r="L14" s="251" t="n"/>
      <c r="M14">
        <f>IF(A14="","",IF(OR(L14="Received",L14="Closed"),"Actual",IF(OR(L14="Approved",L14="Open"),"Committed","Plan")))</f>
        <v/>
      </c>
      <c r="N14" s="251" t="n">
        <v>1</v>
      </c>
      <c r="O14" s="251" t="n"/>
      <c r="P14" s="251" t="n"/>
      <c r="Q14" s="251" t="inlineStr">
        <is>
          <t>No</t>
        </is>
      </c>
      <c r="R14" s="251" t="inlineStr">
        <is>
          <t>INR</t>
        </is>
      </c>
      <c r="S14" s="252" t="n"/>
      <c r="T14" s="251" t="n"/>
      <c r="U14">
        <f>IF(A14="","",SUMIFS('Goods Receipts'!$F:$F,'Goods Receipts'!$B:$B,A14,'Goods Receipts'!$L:$L,"Posted"))</f>
        <v/>
      </c>
      <c r="V14">
        <f>IF(A14="","",MAX(0,E14-U14))</f>
        <v/>
      </c>
    </row>
    <row r="15">
      <c r="A15" s="251" t="n"/>
      <c r="B15" s="251" t="n"/>
      <c r="C15" s="251" t="n"/>
      <c r="D15" s="251" t="n"/>
      <c r="E15" s="251" t="n"/>
      <c r="F15" s="248">
        <f>IF(D15="","",IFERROR(VLOOKUP(D15,'Master Inventory'!$A:$N,4,FALSE),0))</f>
        <v/>
      </c>
      <c r="G15" s="248">
        <f>IF(OR(E15="",F15=""),"",E15*F15)</f>
        <v/>
      </c>
      <c r="H15" s="251" t="n"/>
      <c r="I15">
        <f>IF(H15="","",12*(YEAR(H15)-YEAR(Inputs!$B$5))+MONTH(H15)-MONTH(Inputs!$B$5)+1)</f>
        <v/>
      </c>
      <c r="J15" s="251" t="n"/>
      <c r="K15" s="251" t="n"/>
      <c r="L15" s="251" t="n"/>
      <c r="M15">
        <f>IF(A15="","",IF(OR(L15="Received",L15="Closed"),"Actual",IF(OR(L15="Approved",L15="Open"),"Committed","Plan")))</f>
        <v/>
      </c>
      <c r="N15" s="251" t="n">
        <v>1</v>
      </c>
      <c r="O15" s="251" t="n"/>
      <c r="P15" s="251" t="n"/>
      <c r="Q15" s="251" t="inlineStr">
        <is>
          <t>No</t>
        </is>
      </c>
      <c r="R15" s="251" t="inlineStr">
        <is>
          <t>INR</t>
        </is>
      </c>
      <c r="S15" s="252" t="n"/>
      <c r="T15" s="251" t="n"/>
      <c r="U15">
        <f>IF(A15="","",SUMIFS('Goods Receipts'!$F:$F,'Goods Receipts'!$B:$B,A15,'Goods Receipts'!$L:$L,"Posted"))</f>
        <v/>
      </c>
      <c r="V15">
        <f>IF(A15="","",MAX(0,E15-U15))</f>
        <v/>
      </c>
    </row>
    <row r="16">
      <c r="A16" s="251" t="n"/>
      <c r="B16" s="251" t="n"/>
      <c r="C16" s="251" t="n"/>
      <c r="D16" s="251" t="n"/>
      <c r="E16" s="251" t="n"/>
      <c r="F16" s="248">
        <f>IF(D16="","",IFERROR(VLOOKUP(D16,'Master Inventory'!$A:$N,4,FALSE),0))</f>
        <v/>
      </c>
      <c r="G16" s="248">
        <f>IF(OR(E16="",F16=""),"",E16*F16)</f>
        <v/>
      </c>
      <c r="H16" s="251" t="n"/>
      <c r="I16">
        <f>IF(H16="","",12*(YEAR(H16)-YEAR(Inputs!$B$5))+MONTH(H16)-MONTH(Inputs!$B$5)+1)</f>
        <v/>
      </c>
      <c r="J16" s="251" t="n"/>
      <c r="K16" s="251" t="n"/>
      <c r="L16" s="251" t="n"/>
      <c r="M16">
        <f>IF(A16="","",IF(OR(L16="Received",L16="Closed"),"Actual",IF(OR(L16="Approved",L16="Open"),"Committed","Plan")))</f>
        <v/>
      </c>
      <c r="N16" s="251" t="n">
        <v>1</v>
      </c>
      <c r="O16" s="251" t="n"/>
      <c r="P16" s="251" t="n"/>
      <c r="Q16" s="251" t="inlineStr">
        <is>
          <t>No</t>
        </is>
      </c>
      <c r="R16" s="251" t="inlineStr">
        <is>
          <t>INR</t>
        </is>
      </c>
      <c r="S16" s="252" t="n"/>
      <c r="T16" s="251" t="n"/>
      <c r="U16">
        <f>IF(A16="","",SUMIFS('Goods Receipts'!$F:$F,'Goods Receipts'!$B:$B,A16,'Goods Receipts'!$L:$L,"Posted"))</f>
        <v/>
      </c>
      <c r="V16">
        <f>IF(A16="","",MAX(0,E16-U16))</f>
        <v/>
      </c>
    </row>
    <row r="17">
      <c r="A17" s="251" t="n"/>
      <c r="B17" s="251" t="n"/>
      <c r="C17" s="251" t="n"/>
      <c r="D17" s="251" t="n"/>
      <c r="E17" s="251" t="n"/>
      <c r="F17" s="248">
        <f>IF(D17="","",IFERROR(VLOOKUP(D17,'Master Inventory'!$A:$N,4,FALSE),0))</f>
        <v/>
      </c>
      <c r="G17" s="248">
        <f>IF(OR(E17="",F17=""),"",E17*F17)</f>
        <v/>
      </c>
      <c r="H17" s="251" t="n"/>
      <c r="I17">
        <f>IF(H17="","",12*(YEAR(H17)-YEAR(Inputs!$B$5))+MONTH(H17)-MONTH(Inputs!$B$5)+1)</f>
        <v/>
      </c>
      <c r="J17" s="251" t="n"/>
      <c r="K17" s="251" t="n"/>
      <c r="L17" s="251" t="n"/>
      <c r="M17">
        <f>IF(A17="","",IF(OR(L17="Received",L17="Closed"),"Actual",IF(OR(L17="Approved",L17="Open"),"Committed","Plan")))</f>
        <v/>
      </c>
      <c r="N17" s="251" t="n">
        <v>1</v>
      </c>
      <c r="O17" s="251" t="n"/>
      <c r="P17" s="251" t="n"/>
      <c r="Q17" s="251" t="inlineStr">
        <is>
          <t>No</t>
        </is>
      </c>
      <c r="R17" s="251" t="inlineStr">
        <is>
          <t>INR</t>
        </is>
      </c>
      <c r="S17" s="252" t="n"/>
      <c r="T17" s="251" t="n"/>
      <c r="U17">
        <f>IF(A17="","",SUMIFS('Goods Receipts'!$F:$F,'Goods Receipts'!$B:$B,A17,'Goods Receipts'!$L:$L,"Posted"))</f>
        <v/>
      </c>
      <c r="V17">
        <f>IF(A17="","",MAX(0,E17-U17))</f>
        <v/>
      </c>
    </row>
    <row r="18">
      <c r="A18" s="251" t="n"/>
      <c r="B18" s="251" t="n"/>
      <c r="C18" s="251" t="n"/>
      <c r="D18" s="251" t="n"/>
      <c r="E18" s="251" t="n"/>
      <c r="F18" s="248">
        <f>IF(D18="","",IFERROR(VLOOKUP(D18,'Master Inventory'!$A:$N,4,FALSE),0))</f>
        <v/>
      </c>
      <c r="G18" s="248">
        <f>IF(OR(E18="",F18=""),"",E18*F18)</f>
        <v/>
      </c>
      <c r="H18" s="251" t="n"/>
      <c r="I18">
        <f>IF(H18="","",12*(YEAR(H18)-YEAR(Inputs!$B$5))+MONTH(H18)-MONTH(Inputs!$B$5)+1)</f>
        <v/>
      </c>
      <c r="J18" s="251" t="n"/>
      <c r="K18" s="251" t="n"/>
      <c r="L18" s="251" t="n"/>
      <c r="M18">
        <f>IF(A18="","",IF(OR(L18="Received",L18="Closed"),"Actual",IF(OR(L18="Approved",L18="Open"),"Committed","Plan")))</f>
        <v/>
      </c>
      <c r="N18" s="251" t="n">
        <v>1</v>
      </c>
      <c r="O18" s="251" t="n"/>
      <c r="P18" s="251" t="n"/>
      <c r="Q18" s="251" t="inlineStr">
        <is>
          <t>No</t>
        </is>
      </c>
      <c r="R18" s="251" t="inlineStr">
        <is>
          <t>INR</t>
        </is>
      </c>
      <c r="S18" s="252" t="n"/>
      <c r="T18" s="251" t="n"/>
      <c r="U18">
        <f>IF(A18="","",SUMIFS('Goods Receipts'!$F:$F,'Goods Receipts'!$B:$B,A18,'Goods Receipts'!$L:$L,"Posted"))</f>
        <v/>
      </c>
      <c r="V18">
        <f>IF(A18="","",MAX(0,E18-U18))</f>
        <v/>
      </c>
    </row>
    <row r="19">
      <c r="A19" s="251" t="n"/>
      <c r="B19" s="251" t="n"/>
      <c r="C19" s="251" t="n"/>
      <c r="D19" s="251" t="n"/>
      <c r="E19" s="251" t="n"/>
      <c r="F19" s="248">
        <f>IF(D19="","",IFERROR(VLOOKUP(D19,'Master Inventory'!$A:$N,4,FALSE),0))</f>
        <v/>
      </c>
      <c r="G19" s="248">
        <f>IF(OR(E19="",F19=""),"",E19*F19)</f>
        <v/>
      </c>
      <c r="H19" s="251" t="n"/>
      <c r="I19">
        <f>IF(H19="","",12*(YEAR(H19)-YEAR(Inputs!$B$5))+MONTH(H19)-MONTH(Inputs!$B$5)+1)</f>
        <v/>
      </c>
      <c r="J19" s="251" t="n"/>
      <c r="K19" s="251" t="n"/>
      <c r="L19" s="251" t="n"/>
      <c r="M19">
        <f>IF(A19="","",IF(OR(L19="Received",L19="Closed"),"Actual",IF(OR(L19="Approved",L19="Open"),"Committed","Plan")))</f>
        <v/>
      </c>
      <c r="N19" s="251" t="n">
        <v>1</v>
      </c>
      <c r="O19" s="251" t="n"/>
      <c r="P19" s="251" t="n"/>
      <c r="Q19" s="251" t="inlineStr">
        <is>
          <t>No</t>
        </is>
      </c>
      <c r="R19" s="251" t="inlineStr">
        <is>
          <t>INR</t>
        </is>
      </c>
      <c r="S19" s="252" t="n"/>
      <c r="T19" s="251" t="n"/>
      <c r="U19">
        <f>IF(A19="","",SUMIFS('Goods Receipts'!$F:$F,'Goods Receipts'!$B:$B,A19,'Goods Receipts'!$L:$L,"Posted"))</f>
        <v/>
      </c>
      <c r="V19">
        <f>IF(A19="","",MAX(0,E19-U19))</f>
        <v/>
      </c>
    </row>
    <row r="20">
      <c r="A20" s="251" t="n"/>
      <c r="B20" s="251" t="n"/>
      <c r="C20" s="251" t="n"/>
      <c r="D20" s="251" t="n"/>
      <c r="E20" s="251" t="n"/>
      <c r="F20" s="248">
        <f>IF(D20="","",IFERROR(VLOOKUP(D20,'Master Inventory'!$A:$N,4,FALSE),0))</f>
        <v/>
      </c>
      <c r="G20" s="248">
        <f>IF(OR(E20="",F20=""),"",E20*F20)</f>
        <v/>
      </c>
      <c r="H20" s="251" t="n"/>
      <c r="I20">
        <f>IF(H20="","",12*(YEAR(H20)-YEAR(Inputs!$B$5))+MONTH(H20)-MONTH(Inputs!$B$5)+1)</f>
        <v/>
      </c>
      <c r="J20" s="251" t="n"/>
      <c r="K20" s="251" t="n"/>
      <c r="L20" s="251" t="n"/>
      <c r="M20">
        <f>IF(A20="","",IF(OR(L20="Received",L20="Closed"),"Actual",IF(OR(L20="Approved",L20="Open"),"Committed","Plan")))</f>
        <v/>
      </c>
      <c r="N20" s="251" t="n">
        <v>1</v>
      </c>
      <c r="O20" s="251" t="n"/>
      <c r="P20" s="251" t="n"/>
      <c r="Q20" s="251" t="inlineStr">
        <is>
          <t>No</t>
        </is>
      </c>
      <c r="R20" s="251" t="inlineStr">
        <is>
          <t>INR</t>
        </is>
      </c>
      <c r="S20" s="252" t="n"/>
      <c r="T20" s="251" t="n"/>
      <c r="U20">
        <f>IF(A20="","",SUMIFS('Goods Receipts'!$F:$F,'Goods Receipts'!$B:$B,A20,'Goods Receipts'!$L:$L,"Posted"))</f>
        <v/>
      </c>
      <c r="V20">
        <f>IF(A20="","",MAX(0,E20-U20))</f>
        <v/>
      </c>
    </row>
    <row r="21">
      <c r="A21" s="251" t="n"/>
      <c r="B21" s="251" t="n"/>
      <c r="C21" s="251" t="n"/>
      <c r="D21" s="251" t="n"/>
      <c r="E21" s="251" t="n"/>
      <c r="F21" s="248">
        <f>IF(D21="","",IFERROR(VLOOKUP(D21,'Master Inventory'!$A:$N,4,FALSE),0))</f>
        <v/>
      </c>
      <c r="G21" s="248">
        <f>IF(OR(E21="",F21=""),"",E21*F21)</f>
        <v/>
      </c>
      <c r="H21" s="251" t="n"/>
      <c r="I21">
        <f>IF(H21="","",12*(YEAR(H21)-YEAR(Inputs!$B$5))+MONTH(H21)-MONTH(Inputs!$B$5)+1)</f>
        <v/>
      </c>
      <c r="J21" s="251" t="n"/>
      <c r="K21" s="251" t="n"/>
      <c r="L21" s="251" t="n"/>
      <c r="M21">
        <f>IF(A21="","",IF(OR(L21="Received",L21="Closed"),"Actual",IF(OR(L21="Approved",L21="Open"),"Committed","Plan")))</f>
        <v/>
      </c>
      <c r="N21" s="251" t="n">
        <v>1</v>
      </c>
      <c r="O21" s="251" t="n"/>
      <c r="P21" s="251" t="n"/>
      <c r="Q21" s="251" t="inlineStr">
        <is>
          <t>No</t>
        </is>
      </c>
      <c r="R21" s="251" t="inlineStr">
        <is>
          <t>INR</t>
        </is>
      </c>
      <c r="S21" s="252" t="n"/>
      <c r="T21" s="251" t="n"/>
      <c r="U21">
        <f>IF(A21="","",SUMIFS('Goods Receipts'!$F:$F,'Goods Receipts'!$B:$B,A21,'Goods Receipts'!$L:$L,"Posted"))</f>
        <v/>
      </c>
      <c r="V21">
        <f>IF(A21="","",MAX(0,E21-U21))</f>
        <v/>
      </c>
    </row>
    <row r="22">
      <c r="A22" s="251" t="n"/>
      <c r="B22" s="251" t="n"/>
      <c r="C22" s="251" t="n"/>
      <c r="D22" s="251" t="n"/>
      <c r="E22" s="251" t="n"/>
      <c r="F22" s="248">
        <f>IF(D22="","",IFERROR(VLOOKUP(D22,'Master Inventory'!$A:$N,4,FALSE),0))</f>
        <v/>
      </c>
      <c r="G22" s="248">
        <f>IF(OR(E22="",F22=""),"",E22*F22)</f>
        <v/>
      </c>
      <c r="H22" s="251" t="n"/>
      <c r="I22">
        <f>IF(H22="","",12*(YEAR(H22)-YEAR(Inputs!$B$5))+MONTH(H22)-MONTH(Inputs!$B$5)+1)</f>
        <v/>
      </c>
      <c r="J22" s="251" t="n"/>
      <c r="K22" s="251" t="n"/>
      <c r="L22" s="251" t="n"/>
      <c r="M22">
        <f>IF(A22="","",IF(OR(L22="Received",L22="Closed"),"Actual",IF(OR(L22="Approved",L22="Open"),"Committed","Plan")))</f>
        <v/>
      </c>
      <c r="N22" s="251" t="n">
        <v>1</v>
      </c>
      <c r="O22" s="251" t="n"/>
      <c r="P22" s="251" t="n"/>
      <c r="Q22" s="251" t="inlineStr">
        <is>
          <t>No</t>
        </is>
      </c>
      <c r="R22" s="251" t="inlineStr">
        <is>
          <t>INR</t>
        </is>
      </c>
      <c r="S22" s="252" t="n"/>
      <c r="T22" s="251" t="n"/>
      <c r="U22">
        <f>IF(A22="","",SUMIFS('Goods Receipts'!$F:$F,'Goods Receipts'!$B:$B,A22,'Goods Receipts'!$L:$L,"Posted"))</f>
        <v/>
      </c>
      <c r="V22">
        <f>IF(A22="","",MAX(0,E22-U22))</f>
        <v/>
      </c>
    </row>
    <row r="23">
      <c r="A23" s="251" t="n"/>
      <c r="B23" s="251" t="n"/>
      <c r="C23" s="251" t="n"/>
      <c r="D23" s="251" t="n"/>
      <c r="E23" s="251" t="n"/>
      <c r="F23" s="248">
        <f>IF(D23="","",IFERROR(VLOOKUP(D23,'Master Inventory'!$A:$N,4,FALSE),0))</f>
        <v/>
      </c>
      <c r="G23" s="248">
        <f>IF(OR(E23="",F23=""),"",E23*F23)</f>
        <v/>
      </c>
      <c r="H23" s="251" t="n"/>
      <c r="I23">
        <f>IF(H23="","",12*(YEAR(H23)-YEAR(Inputs!$B$5))+MONTH(H23)-MONTH(Inputs!$B$5)+1)</f>
        <v/>
      </c>
      <c r="J23" s="251" t="n"/>
      <c r="K23" s="251" t="n"/>
      <c r="L23" s="251" t="n"/>
      <c r="M23">
        <f>IF(A23="","",IF(OR(L23="Received",L23="Closed"),"Actual",IF(OR(L23="Approved",L23="Open"),"Committed","Plan")))</f>
        <v/>
      </c>
      <c r="N23" s="251" t="n">
        <v>1</v>
      </c>
      <c r="O23" s="251" t="n"/>
      <c r="P23" s="251" t="n"/>
      <c r="Q23" s="251" t="inlineStr">
        <is>
          <t>No</t>
        </is>
      </c>
      <c r="R23" s="251" t="inlineStr">
        <is>
          <t>INR</t>
        </is>
      </c>
      <c r="S23" s="252" t="n"/>
      <c r="T23" s="251" t="n"/>
      <c r="U23">
        <f>IF(A23="","",SUMIFS('Goods Receipts'!$F:$F,'Goods Receipts'!$B:$B,A23,'Goods Receipts'!$L:$L,"Posted"))</f>
        <v/>
      </c>
      <c r="V23">
        <f>IF(A23="","",MAX(0,E23-U23))</f>
        <v/>
      </c>
    </row>
    <row r="24">
      <c r="A24" s="251" t="n"/>
      <c r="B24" s="251" t="n"/>
      <c r="C24" s="251" t="n"/>
      <c r="D24" s="251" t="n"/>
      <c r="E24" s="251" t="n"/>
      <c r="F24" s="248">
        <f>IF(D24="","",IFERROR(VLOOKUP(D24,'Master Inventory'!$A:$N,4,FALSE),0))</f>
        <v/>
      </c>
      <c r="G24" s="248">
        <f>IF(OR(E24="",F24=""),"",E24*F24)</f>
        <v/>
      </c>
      <c r="H24" s="251" t="n"/>
      <c r="I24">
        <f>IF(H24="","",12*(YEAR(H24)-YEAR(Inputs!$B$5))+MONTH(H24)-MONTH(Inputs!$B$5)+1)</f>
        <v/>
      </c>
      <c r="J24" s="251" t="n"/>
      <c r="K24" s="251" t="n"/>
      <c r="L24" s="251" t="n"/>
      <c r="M24">
        <f>IF(A24="","",IF(OR(L24="Received",L24="Closed"),"Actual",IF(OR(L24="Approved",L24="Open"),"Committed","Plan")))</f>
        <v/>
      </c>
      <c r="N24" s="251" t="n">
        <v>1</v>
      </c>
      <c r="O24" s="251" t="n"/>
      <c r="P24" s="251" t="n"/>
      <c r="Q24" s="251" t="inlineStr">
        <is>
          <t>No</t>
        </is>
      </c>
      <c r="R24" s="251" t="inlineStr">
        <is>
          <t>INR</t>
        </is>
      </c>
      <c r="S24" s="252" t="n"/>
      <c r="T24" s="251" t="n"/>
      <c r="U24">
        <f>IF(A24="","",SUMIFS('Goods Receipts'!$F:$F,'Goods Receipts'!$B:$B,A24,'Goods Receipts'!$L:$L,"Posted"))</f>
        <v/>
      </c>
      <c r="V24">
        <f>IF(A24="","",MAX(0,E24-U24))</f>
        <v/>
      </c>
    </row>
    <row r="25">
      <c r="A25" s="251" t="n"/>
      <c r="B25" s="251" t="n"/>
      <c r="C25" s="251" t="n"/>
      <c r="D25" s="251" t="n"/>
      <c r="E25" s="251" t="n"/>
      <c r="F25" s="248">
        <f>IF(D25="","",IFERROR(VLOOKUP(D25,'Master Inventory'!$A:$N,4,FALSE),0))</f>
        <v/>
      </c>
      <c r="G25" s="248">
        <f>IF(OR(E25="",F25=""),"",E25*F25)</f>
        <v/>
      </c>
      <c r="H25" s="251" t="n"/>
      <c r="I25">
        <f>IF(H25="","",12*(YEAR(H25)-YEAR(Inputs!$B$5))+MONTH(H25)-MONTH(Inputs!$B$5)+1)</f>
        <v/>
      </c>
      <c r="J25" s="251" t="n"/>
      <c r="K25" s="251" t="n"/>
      <c r="L25" s="251" t="n"/>
      <c r="M25">
        <f>IF(A25="","",IF(OR(L25="Received",L25="Closed"),"Actual",IF(OR(L25="Approved",L25="Open"),"Committed","Plan")))</f>
        <v/>
      </c>
      <c r="N25" s="251" t="n">
        <v>1</v>
      </c>
      <c r="O25" s="251" t="n"/>
      <c r="P25" s="251" t="n"/>
      <c r="Q25" s="251" t="inlineStr">
        <is>
          <t>No</t>
        </is>
      </c>
      <c r="R25" s="251" t="inlineStr">
        <is>
          <t>INR</t>
        </is>
      </c>
      <c r="S25" s="252" t="n"/>
      <c r="T25" s="251" t="n"/>
      <c r="U25">
        <f>IF(A25="","",SUMIFS('Goods Receipts'!$F:$F,'Goods Receipts'!$B:$B,A25,'Goods Receipts'!$L:$L,"Posted"))</f>
        <v/>
      </c>
      <c r="V25">
        <f>IF(A25="","",MAX(0,E25-U25))</f>
        <v/>
      </c>
    </row>
    <row r="26">
      <c r="A26" s="251" t="n"/>
      <c r="B26" s="251" t="n"/>
      <c r="C26" s="251" t="n"/>
      <c r="D26" s="251" t="n"/>
      <c r="E26" s="251" t="n"/>
      <c r="F26" s="248">
        <f>IF(D26="","",IFERROR(VLOOKUP(D26,'Master Inventory'!$A:$N,4,FALSE),0))</f>
        <v/>
      </c>
      <c r="G26" s="248">
        <f>IF(OR(E26="",F26=""),"",E26*F26)</f>
        <v/>
      </c>
      <c r="H26" s="251" t="n"/>
      <c r="I26">
        <f>IF(H26="","",12*(YEAR(H26)-YEAR(Inputs!$B$5))+MONTH(H26)-MONTH(Inputs!$B$5)+1)</f>
        <v/>
      </c>
      <c r="J26" s="251" t="n"/>
      <c r="K26" s="251" t="n"/>
      <c r="L26" s="251" t="n"/>
      <c r="M26">
        <f>IF(A26="","",IF(OR(L26="Received",L26="Closed"),"Actual",IF(OR(L26="Approved",L26="Open"),"Committed","Plan")))</f>
        <v/>
      </c>
      <c r="N26" s="251" t="n">
        <v>1</v>
      </c>
      <c r="O26" s="251" t="n"/>
      <c r="P26" s="251" t="n"/>
      <c r="Q26" s="251" t="inlineStr">
        <is>
          <t>No</t>
        </is>
      </c>
      <c r="R26" s="251" t="inlineStr">
        <is>
          <t>INR</t>
        </is>
      </c>
      <c r="S26" s="252" t="n"/>
      <c r="T26" s="251" t="n"/>
      <c r="U26">
        <f>IF(A26="","",SUMIFS('Goods Receipts'!$F:$F,'Goods Receipts'!$B:$B,A26,'Goods Receipts'!$L:$L,"Posted"))</f>
        <v/>
      </c>
      <c r="V26">
        <f>IF(A26="","",MAX(0,E26-U26))</f>
        <v/>
      </c>
    </row>
    <row r="27">
      <c r="A27" s="251" t="n"/>
      <c r="B27" s="251" t="n"/>
      <c r="C27" s="251" t="n"/>
      <c r="D27" s="251" t="n"/>
      <c r="E27" s="251" t="n"/>
      <c r="F27" s="248">
        <f>IF(D27="","",IFERROR(VLOOKUP(D27,'Master Inventory'!$A:$N,4,FALSE),0))</f>
        <v/>
      </c>
      <c r="G27" s="248">
        <f>IF(OR(E27="",F27=""),"",E27*F27)</f>
        <v/>
      </c>
      <c r="H27" s="251" t="n"/>
      <c r="I27">
        <f>IF(H27="","",12*(YEAR(H27)-YEAR(Inputs!$B$5))+MONTH(H27)-MONTH(Inputs!$B$5)+1)</f>
        <v/>
      </c>
      <c r="J27" s="251" t="n"/>
      <c r="K27" s="251" t="n"/>
      <c r="L27" s="251" t="n"/>
      <c r="M27">
        <f>IF(A27="","",IF(OR(L27="Received",L27="Closed"),"Actual",IF(OR(L27="Approved",L27="Open"),"Committed","Plan")))</f>
        <v/>
      </c>
      <c r="N27" s="251" t="n">
        <v>1</v>
      </c>
      <c r="O27" s="251" t="n"/>
      <c r="P27" s="251" t="n"/>
      <c r="Q27" s="251" t="inlineStr">
        <is>
          <t>No</t>
        </is>
      </c>
      <c r="R27" s="251" t="inlineStr">
        <is>
          <t>INR</t>
        </is>
      </c>
      <c r="S27" s="252" t="n"/>
      <c r="T27" s="251" t="n"/>
      <c r="U27">
        <f>IF(A27="","",SUMIFS('Goods Receipts'!$F:$F,'Goods Receipts'!$B:$B,A27,'Goods Receipts'!$L:$L,"Posted"))</f>
        <v/>
      </c>
      <c r="V27">
        <f>IF(A27="","",MAX(0,E27-U27))</f>
        <v/>
      </c>
    </row>
    <row r="28">
      <c r="A28" s="251" t="n"/>
      <c r="B28" s="251" t="n"/>
      <c r="C28" s="251" t="n"/>
      <c r="D28" s="251" t="n"/>
      <c r="E28" s="251" t="n"/>
      <c r="F28" s="248">
        <f>IF(D28="","",IFERROR(VLOOKUP(D28,'Master Inventory'!$A:$N,4,FALSE),0))</f>
        <v/>
      </c>
      <c r="G28" s="248">
        <f>IF(OR(E28="",F28=""),"",E28*F28)</f>
        <v/>
      </c>
      <c r="H28" s="251" t="n"/>
      <c r="I28">
        <f>IF(H28="","",12*(YEAR(H28)-YEAR(Inputs!$B$5))+MONTH(H28)-MONTH(Inputs!$B$5)+1)</f>
        <v/>
      </c>
      <c r="J28" s="251" t="n"/>
      <c r="K28" s="251" t="n"/>
      <c r="L28" s="251" t="n"/>
      <c r="M28">
        <f>IF(A28="","",IF(OR(L28="Received",L28="Closed"),"Actual",IF(OR(L28="Approved",L28="Open"),"Committed","Plan")))</f>
        <v/>
      </c>
      <c r="N28" s="251" t="n">
        <v>1</v>
      </c>
      <c r="O28" s="251" t="n"/>
      <c r="P28" s="251" t="n"/>
      <c r="Q28" s="251" t="inlineStr">
        <is>
          <t>No</t>
        </is>
      </c>
      <c r="R28" s="251" t="inlineStr">
        <is>
          <t>INR</t>
        </is>
      </c>
      <c r="S28" s="252" t="n"/>
      <c r="T28" s="251" t="n"/>
      <c r="U28">
        <f>IF(A28="","",SUMIFS('Goods Receipts'!$F:$F,'Goods Receipts'!$B:$B,A28,'Goods Receipts'!$L:$L,"Posted"))</f>
        <v/>
      </c>
      <c r="V28">
        <f>IF(A28="","",MAX(0,E28-U28))</f>
        <v/>
      </c>
    </row>
    <row r="29">
      <c r="A29" s="251" t="n"/>
      <c r="B29" s="251" t="n"/>
      <c r="C29" s="251" t="n"/>
      <c r="D29" s="251" t="n"/>
      <c r="E29" s="251" t="n"/>
      <c r="F29" s="248">
        <f>IF(D29="","",IFERROR(VLOOKUP(D29,'Master Inventory'!$A:$N,4,FALSE),0))</f>
        <v/>
      </c>
      <c r="G29" s="248">
        <f>IF(OR(E29="",F29=""),"",E29*F29)</f>
        <v/>
      </c>
      <c r="H29" s="251" t="n"/>
      <c r="I29">
        <f>IF(H29="","",12*(YEAR(H29)-YEAR(Inputs!$B$5))+MONTH(H29)-MONTH(Inputs!$B$5)+1)</f>
        <v/>
      </c>
      <c r="J29" s="251" t="n"/>
      <c r="K29" s="251" t="n"/>
      <c r="L29" s="251" t="n"/>
      <c r="M29">
        <f>IF(A29="","",IF(OR(L29="Received",L29="Closed"),"Actual",IF(OR(L29="Approved",L29="Open"),"Committed","Plan")))</f>
        <v/>
      </c>
      <c r="N29" s="251" t="n">
        <v>1</v>
      </c>
      <c r="O29" s="251" t="n"/>
      <c r="P29" s="251" t="n"/>
      <c r="Q29" s="251" t="inlineStr">
        <is>
          <t>No</t>
        </is>
      </c>
      <c r="R29" s="251" t="inlineStr">
        <is>
          <t>INR</t>
        </is>
      </c>
      <c r="S29" s="252" t="n"/>
      <c r="T29" s="251" t="n"/>
      <c r="U29">
        <f>IF(A29="","",SUMIFS('Goods Receipts'!$F:$F,'Goods Receipts'!$B:$B,A29,'Goods Receipts'!$L:$L,"Posted"))</f>
        <v/>
      </c>
      <c r="V29">
        <f>IF(A29="","",MAX(0,E29-U29))</f>
        <v/>
      </c>
    </row>
    <row r="30">
      <c r="A30" s="251" t="n"/>
      <c r="B30" s="251" t="n"/>
      <c r="C30" s="251" t="n"/>
      <c r="D30" s="251" t="n"/>
      <c r="E30" s="251" t="n"/>
      <c r="F30" s="248">
        <f>IF(D30="","",IFERROR(VLOOKUP(D30,'Master Inventory'!$A:$N,4,FALSE),0))</f>
        <v/>
      </c>
      <c r="G30" s="248">
        <f>IF(OR(E30="",F30=""),"",E30*F30)</f>
        <v/>
      </c>
      <c r="H30" s="251" t="n"/>
      <c r="I30">
        <f>IF(H30="","",12*(YEAR(H30)-YEAR(Inputs!$B$5))+MONTH(H30)-MONTH(Inputs!$B$5)+1)</f>
        <v/>
      </c>
      <c r="J30" s="251" t="n"/>
      <c r="K30" s="251" t="n"/>
      <c r="L30" s="251" t="n"/>
      <c r="M30">
        <f>IF(A30="","",IF(OR(L30="Received",L30="Closed"),"Actual",IF(OR(L30="Approved",L30="Open"),"Committed","Plan")))</f>
        <v/>
      </c>
      <c r="N30" s="251" t="n">
        <v>1</v>
      </c>
      <c r="O30" s="251" t="n"/>
      <c r="P30" s="251" t="n"/>
      <c r="Q30" s="251" t="inlineStr">
        <is>
          <t>No</t>
        </is>
      </c>
      <c r="R30" s="251" t="inlineStr">
        <is>
          <t>INR</t>
        </is>
      </c>
      <c r="S30" s="252" t="n"/>
      <c r="T30" s="251" t="n"/>
      <c r="U30">
        <f>IF(A30="","",SUMIFS('Goods Receipts'!$F:$F,'Goods Receipts'!$B:$B,A30,'Goods Receipts'!$L:$L,"Posted"))</f>
        <v/>
      </c>
      <c r="V30">
        <f>IF(A30="","",MAX(0,E30-U30))</f>
        <v/>
      </c>
    </row>
    <row r="31">
      <c r="A31" s="251" t="n"/>
      <c r="B31" s="251" t="n"/>
      <c r="C31" s="251" t="n"/>
      <c r="D31" s="251" t="n"/>
      <c r="E31" s="251" t="n"/>
      <c r="F31" s="248">
        <f>IF(D31="","",IFERROR(VLOOKUP(D31,'Master Inventory'!$A:$N,4,FALSE),0))</f>
        <v/>
      </c>
      <c r="G31" s="248">
        <f>IF(OR(E31="",F31=""),"",E31*F31)</f>
        <v/>
      </c>
      <c r="H31" s="251" t="n"/>
      <c r="I31">
        <f>IF(H31="","",12*(YEAR(H31)-YEAR(Inputs!$B$5))+MONTH(H31)-MONTH(Inputs!$B$5)+1)</f>
        <v/>
      </c>
      <c r="J31" s="251" t="n"/>
      <c r="K31" s="251" t="n"/>
      <c r="L31" s="251" t="n"/>
      <c r="M31">
        <f>IF(A31="","",IF(OR(L31="Received",L31="Closed"),"Actual",IF(OR(L31="Approved",L31="Open"),"Committed","Plan")))</f>
        <v/>
      </c>
      <c r="N31" s="251" t="n">
        <v>1</v>
      </c>
      <c r="O31" s="251" t="n"/>
      <c r="P31" s="251" t="n"/>
      <c r="Q31" s="251" t="inlineStr">
        <is>
          <t>No</t>
        </is>
      </c>
      <c r="R31" s="251" t="inlineStr">
        <is>
          <t>INR</t>
        </is>
      </c>
      <c r="S31" s="252" t="n"/>
      <c r="T31" s="251" t="n"/>
      <c r="U31">
        <f>IF(A31="","",SUMIFS('Goods Receipts'!$F:$F,'Goods Receipts'!$B:$B,A31,'Goods Receipts'!$L:$L,"Posted"))</f>
        <v/>
      </c>
      <c r="V31">
        <f>IF(A31="","",MAX(0,E31-U31))</f>
        <v/>
      </c>
    </row>
    <row r="32">
      <c r="A32" s="251" t="n"/>
      <c r="B32" s="251" t="n"/>
      <c r="C32" s="251" t="n"/>
      <c r="D32" s="251" t="n"/>
      <c r="E32" s="251" t="n"/>
      <c r="F32" s="248">
        <f>IF(D32="","",IFERROR(VLOOKUP(D32,'Master Inventory'!$A:$N,4,FALSE),0))</f>
        <v/>
      </c>
      <c r="G32" s="248">
        <f>IF(OR(E32="",F32=""),"",E32*F32)</f>
        <v/>
      </c>
      <c r="H32" s="251" t="n"/>
      <c r="I32">
        <f>IF(H32="","",12*(YEAR(H32)-YEAR(Inputs!$B$5))+MONTH(H32)-MONTH(Inputs!$B$5)+1)</f>
        <v/>
      </c>
      <c r="J32" s="251" t="n"/>
      <c r="K32" s="251" t="n"/>
      <c r="L32" s="251" t="n"/>
      <c r="M32">
        <f>IF(A32="","",IF(OR(L32="Received",L32="Closed"),"Actual",IF(OR(L32="Approved",L32="Open"),"Committed","Plan")))</f>
        <v/>
      </c>
      <c r="N32" s="251" t="n">
        <v>1</v>
      </c>
      <c r="O32" s="251" t="n"/>
      <c r="P32" s="251" t="n"/>
      <c r="Q32" s="251" t="inlineStr">
        <is>
          <t>No</t>
        </is>
      </c>
      <c r="R32" s="251" t="inlineStr">
        <is>
          <t>INR</t>
        </is>
      </c>
      <c r="S32" s="252" t="n"/>
      <c r="T32" s="251" t="n"/>
      <c r="U32">
        <f>IF(A32="","",SUMIFS('Goods Receipts'!$F:$F,'Goods Receipts'!$B:$B,A32,'Goods Receipts'!$L:$L,"Posted"))</f>
        <v/>
      </c>
      <c r="V32">
        <f>IF(A32="","",MAX(0,E32-U32))</f>
        <v/>
      </c>
    </row>
    <row r="33">
      <c r="A33" s="251" t="n"/>
      <c r="B33" s="251" t="n"/>
      <c r="C33" s="251" t="n"/>
      <c r="D33" s="251" t="n"/>
      <c r="E33" s="251" t="n"/>
      <c r="F33" s="248">
        <f>IF(D33="","",IFERROR(VLOOKUP(D33,'Master Inventory'!$A:$N,4,FALSE),0))</f>
        <v/>
      </c>
      <c r="G33" s="248">
        <f>IF(OR(E33="",F33=""),"",E33*F33)</f>
        <v/>
      </c>
      <c r="H33" s="251" t="n"/>
      <c r="I33">
        <f>IF(H33="","",12*(YEAR(H33)-YEAR(Inputs!$B$5))+MONTH(H33)-MONTH(Inputs!$B$5)+1)</f>
        <v/>
      </c>
      <c r="J33" s="251" t="n"/>
      <c r="K33" s="251" t="n"/>
      <c r="L33" s="251" t="n"/>
      <c r="M33">
        <f>IF(A33="","",IF(OR(L33="Received",L33="Closed"),"Actual",IF(OR(L33="Approved",L33="Open"),"Committed","Plan")))</f>
        <v/>
      </c>
      <c r="N33" s="251" t="n">
        <v>1</v>
      </c>
      <c r="O33" s="251" t="n"/>
      <c r="P33" s="251" t="n"/>
      <c r="Q33" s="251" t="inlineStr">
        <is>
          <t>No</t>
        </is>
      </c>
      <c r="R33" s="251" t="inlineStr">
        <is>
          <t>INR</t>
        </is>
      </c>
      <c r="S33" s="252" t="n"/>
      <c r="T33" s="251" t="n"/>
      <c r="U33">
        <f>IF(A33="","",SUMIFS('Goods Receipts'!$F:$F,'Goods Receipts'!$B:$B,A33,'Goods Receipts'!$L:$L,"Posted"))</f>
        <v/>
      </c>
      <c r="V33">
        <f>IF(A33="","",MAX(0,E33-U33))</f>
        <v/>
      </c>
    </row>
    <row r="34">
      <c r="A34" s="251" t="n"/>
      <c r="B34" s="251" t="n"/>
      <c r="C34" s="251" t="n"/>
      <c r="D34" s="251" t="n"/>
      <c r="E34" s="251" t="n"/>
      <c r="F34" s="248">
        <f>IF(D34="","",IFERROR(VLOOKUP(D34,'Master Inventory'!$A:$N,4,FALSE),0))</f>
        <v/>
      </c>
      <c r="G34" s="248">
        <f>IF(OR(E34="",F34=""),"",E34*F34)</f>
        <v/>
      </c>
      <c r="H34" s="251" t="n"/>
      <c r="I34">
        <f>IF(H34="","",12*(YEAR(H34)-YEAR(Inputs!$B$5))+MONTH(H34)-MONTH(Inputs!$B$5)+1)</f>
        <v/>
      </c>
      <c r="J34" s="251" t="n"/>
      <c r="K34" s="251" t="n"/>
      <c r="L34" s="251" t="n"/>
      <c r="M34">
        <f>IF(A34="","",IF(OR(L34="Received",L34="Closed"),"Actual",IF(OR(L34="Approved",L34="Open"),"Committed","Plan")))</f>
        <v/>
      </c>
      <c r="N34" s="251" t="n">
        <v>1</v>
      </c>
      <c r="O34" s="251" t="n"/>
      <c r="P34" s="251" t="n"/>
      <c r="Q34" s="251" t="inlineStr">
        <is>
          <t>No</t>
        </is>
      </c>
      <c r="R34" s="251" t="inlineStr">
        <is>
          <t>INR</t>
        </is>
      </c>
      <c r="S34" s="252" t="n"/>
      <c r="T34" s="251" t="n"/>
      <c r="U34">
        <f>IF(A34="","",SUMIFS('Goods Receipts'!$F:$F,'Goods Receipts'!$B:$B,A34,'Goods Receipts'!$L:$L,"Posted"))</f>
        <v/>
      </c>
      <c r="V34">
        <f>IF(A34="","",MAX(0,E34-U34))</f>
        <v/>
      </c>
    </row>
    <row r="35">
      <c r="A35" s="251" t="n"/>
      <c r="B35" s="251" t="n"/>
      <c r="C35" s="251" t="n"/>
      <c r="D35" s="251" t="n"/>
      <c r="E35" s="251" t="n"/>
      <c r="F35" s="248">
        <f>IF(D35="","",IFERROR(VLOOKUP(D35,'Master Inventory'!$A:$N,4,FALSE),0))</f>
        <v/>
      </c>
      <c r="G35" s="248">
        <f>IF(OR(E35="",F35=""),"",E35*F35)</f>
        <v/>
      </c>
      <c r="H35" s="251" t="n"/>
      <c r="I35">
        <f>IF(H35="","",12*(YEAR(H35)-YEAR(Inputs!$B$5))+MONTH(H35)-MONTH(Inputs!$B$5)+1)</f>
        <v/>
      </c>
      <c r="J35" s="251" t="n"/>
      <c r="K35" s="251" t="n"/>
      <c r="L35" s="251" t="n"/>
      <c r="M35">
        <f>IF(A35="","",IF(OR(L35="Received",L35="Closed"),"Actual",IF(OR(L35="Approved",L35="Open"),"Committed","Plan")))</f>
        <v/>
      </c>
      <c r="N35" s="251" t="n">
        <v>1</v>
      </c>
      <c r="O35" s="251" t="n"/>
      <c r="P35" s="251" t="n"/>
      <c r="Q35" s="251" t="inlineStr">
        <is>
          <t>No</t>
        </is>
      </c>
      <c r="R35" s="251" t="inlineStr">
        <is>
          <t>INR</t>
        </is>
      </c>
      <c r="S35" s="252" t="n"/>
      <c r="T35" s="251" t="n"/>
      <c r="U35">
        <f>IF(A35="","",SUMIFS('Goods Receipts'!$F:$F,'Goods Receipts'!$B:$B,A35,'Goods Receipts'!$L:$L,"Posted"))</f>
        <v/>
      </c>
      <c r="V35">
        <f>IF(A35="","",MAX(0,E35-U35))</f>
        <v/>
      </c>
    </row>
    <row r="36">
      <c r="A36" s="251" t="n"/>
      <c r="B36" s="251" t="n"/>
      <c r="C36" s="251" t="n"/>
      <c r="D36" s="251" t="n"/>
      <c r="E36" s="251" t="n"/>
      <c r="F36" s="248">
        <f>IF(D36="","",IFERROR(VLOOKUP(D36,'Master Inventory'!$A:$N,4,FALSE),0))</f>
        <v/>
      </c>
      <c r="G36" s="248">
        <f>IF(OR(E36="",F36=""),"",E36*F36)</f>
        <v/>
      </c>
      <c r="H36" s="251" t="n"/>
      <c r="I36">
        <f>IF(H36="","",12*(YEAR(H36)-YEAR(Inputs!$B$5))+MONTH(H36)-MONTH(Inputs!$B$5)+1)</f>
        <v/>
      </c>
      <c r="J36" s="251" t="n"/>
      <c r="K36" s="251" t="n"/>
      <c r="L36" s="251" t="n"/>
      <c r="M36">
        <f>IF(A36="","",IF(OR(L36="Received",L36="Closed"),"Actual",IF(OR(L36="Approved",L36="Open"),"Committed","Plan")))</f>
        <v/>
      </c>
      <c r="N36" s="251" t="n">
        <v>1</v>
      </c>
      <c r="O36" s="251" t="n"/>
      <c r="P36" s="251" t="n"/>
      <c r="Q36" s="251" t="inlineStr">
        <is>
          <t>No</t>
        </is>
      </c>
      <c r="R36" s="251" t="inlineStr">
        <is>
          <t>INR</t>
        </is>
      </c>
      <c r="S36" s="252" t="n"/>
      <c r="T36" s="251" t="n"/>
      <c r="U36">
        <f>IF(A36="","",SUMIFS('Goods Receipts'!$F:$F,'Goods Receipts'!$B:$B,A36,'Goods Receipts'!$L:$L,"Posted"))</f>
        <v/>
      </c>
      <c r="V36">
        <f>IF(A36="","",MAX(0,E36-U36))</f>
        <v/>
      </c>
    </row>
    <row r="37">
      <c r="A37" s="251" t="n"/>
      <c r="B37" s="251" t="n"/>
      <c r="C37" s="251" t="n"/>
      <c r="D37" s="251" t="n"/>
      <c r="E37" s="251" t="n"/>
      <c r="F37" s="248">
        <f>IF(D37="","",IFERROR(VLOOKUP(D37,'Master Inventory'!$A:$N,4,FALSE),0))</f>
        <v/>
      </c>
      <c r="G37" s="248">
        <f>IF(OR(E37="",F37=""),"",E37*F37)</f>
        <v/>
      </c>
      <c r="H37" s="251" t="n"/>
      <c r="I37">
        <f>IF(H37="","",12*(YEAR(H37)-YEAR(Inputs!$B$5))+MONTH(H37)-MONTH(Inputs!$B$5)+1)</f>
        <v/>
      </c>
      <c r="J37" s="251" t="n"/>
      <c r="K37" s="251" t="n"/>
      <c r="L37" s="251" t="n"/>
      <c r="M37">
        <f>IF(A37="","",IF(OR(L37="Received",L37="Closed"),"Actual",IF(OR(L37="Approved",L37="Open"),"Committed","Plan")))</f>
        <v/>
      </c>
      <c r="N37" s="251" t="n">
        <v>1</v>
      </c>
      <c r="O37" s="251" t="n"/>
      <c r="P37" s="251" t="n"/>
      <c r="Q37" s="251" t="inlineStr">
        <is>
          <t>No</t>
        </is>
      </c>
      <c r="R37" s="251" t="inlineStr">
        <is>
          <t>INR</t>
        </is>
      </c>
      <c r="S37" s="252" t="n"/>
      <c r="T37" s="251" t="n"/>
      <c r="U37">
        <f>IF(A37="","",SUMIFS('Goods Receipts'!$F:$F,'Goods Receipts'!$B:$B,A37,'Goods Receipts'!$L:$L,"Posted"))</f>
        <v/>
      </c>
      <c r="V37">
        <f>IF(A37="","",MAX(0,E37-U37))</f>
        <v/>
      </c>
    </row>
    <row r="38">
      <c r="A38" s="251" t="n"/>
      <c r="B38" s="251" t="n"/>
      <c r="C38" s="251" t="n"/>
      <c r="D38" s="251" t="n"/>
      <c r="E38" s="251" t="n"/>
      <c r="F38" s="248">
        <f>IF(D38="","",IFERROR(VLOOKUP(D38,'Master Inventory'!$A:$N,4,FALSE),0))</f>
        <v/>
      </c>
      <c r="G38" s="248">
        <f>IF(OR(E38="",F38=""),"",E38*F38)</f>
        <v/>
      </c>
      <c r="H38" s="251" t="n"/>
      <c r="I38">
        <f>IF(H38="","",12*(YEAR(H38)-YEAR(Inputs!$B$5))+MONTH(H38)-MONTH(Inputs!$B$5)+1)</f>
        <v/>
      </c>
      <c r="J38" s="251" t="n"/>
      <c r="K38" s="251" t="n"/>
      <c r="L38" s="251" t="n"/>
      <c r="M38">
        <f>IF(A38="","",IF(OR(L38="Received",L38="Closed"),"Actual",IF(OR(L38="Approved",L38="Open"),"Committed","Plan")))</f>
        <v/>
      </c>
      <c r="N38" s="251" t="n">
        <v>1</v>
      </c>
      <c r="O38" s="251" t="n"/>
      <c r="P38" s="251" t="n"/>
      <c r="Q38" s="251" t="inlineStr">
        <is>
          <t>No</t>
        </is>
      </c>
      <c r="R38" s="251" t="inlineStr">
        <is>
          <t>INR</t>
        </is>
      </c>
      <c r="S38" s="252" t="n"/>
      <c r="T38" s="251" t="n"/>
      <c r="U38">
        <f>IF(A38="","",SUMIFS('Goods Receipts'!$F:$F,'Goods Receipts'!$B:$B,A38,'Goods Receipts'!$L:$L,"Posted"))</f>
        <v/>
      </c>
      <c r="V38">
        <f>IF(A38="","",MAX(0,E38-U38))</f>
        <v/>
      </c>
    </row>
    <row r="39">
      <c r="A39" s="251" t="n"/>
      <c r="B39" s="251" t="n"/>
      <c r="C39" s="251" t="n"/>
      <c r="D39" s="251" t="n"/>
      <c r="E39" s="251" t="n"/>
      <c r="F39" s="248">
        <f>IF(D39="","",IFERROR(VLOOKUP(D39,'Master Inventory'!$A:$N,4,FALSE),0))</f>
        <v/>
      </c>
      <c r="G39" s="248">
        <f>IF(OR(E39="",F39=""),"",E39*F39)</f>
        <v/>
      </c>
      <c r="H39" s="251" t="n"/>
      <c r="I39">
        <f>IF(H39="","",12*(YEAR(H39)-YEAR(Inputs!$B$5))+MONTH(H39)-MONTH(Inputs!$B$5)+1)</f>
        <v/>
      </c>
      <c r="J39" s="251" t="n"/>
      <c r="K39" s="251" t="n"/>
      <c r="L39" s="251" t="n"/>
      <c r="M39">
        <f>IF(A39="","",IF(OR(L39="Received",L39="Closed"),"Actual",IF(OR(L39="Approved",L39="Open"),"Committed","Plan")))</f>
        <v/>
      </c>
      <c r="N39" s="251" t="n">
        <v>1</v>
      </c>
      <c r="O39" s="251" t="n"/>
      <c r="P39" s="251" t="n"/>
      <c r="Q39" s="251" t="inlineStr">
        <is>
          <t>No</t>
        </is>
      </c>
      <c r="R39" s="251" t="inlineStr">
        <is>
          <t>INR</t>
        </is>
      </c>
      <c r="S39" s="252" t="n"/>
      <c r="T39" s="251" t="n"/>
      <c r="U39">
        <f>IF(A39="","",SUMIFS('Goods Receipts'!$F:$F,'Goods Receipts'!$B:$B,A39,'Goods Receipts'!$L:$L,"Posted"))</f>
        <v/>
      </c>
      <c r="V39">
        <f>IF(A39="","",MAX(0,E39-U39))</f>
        <v/>
      </c>
    </row>
    <row r="40">
      <c r="A40" s="251" t="n"/>
      <c r="B40" s="251" t="n"/>
      <c r="C40" s="251" t="n"/>
      <c r="D40" s="251" t="n"/>
      <c r="E40" s="251" t="n"/>
      <c r="F40" s="248">
        <f>IF(D40="","",IFERROR(VLOOKUP(D40,'Master Inventory'!$A:$N,4,FALSE),0))</f>
        <v/>
      </c>
      <c r="G40" s="248">
        <f>IF(OR(E40="",F40=""),"",E40*F40)</f>
        <v/>
      </c>
      <c r="H40" s="251" t="n"/>
      <c r="I40">
        <f>IF(H40="","",12*(YEAR(H40)-YEAR(Inputs!$B$5))+MONTH(H40)-MONTH(Inputs!$B$5)+1)</f>
        <v/>
      </c>
      <c r="J40" s="251" t="n"/>
      <c r="K40" s="251" t="n"/>
      <c r="L40" s="251" t="n"/>
      <c r="M40">
        <f>IF(A40="","",IF(OR(L40="Received",L40="Closed"),"Actual",IF(OR(L40="Approved",L40="Open"),"Committed","Plan")))</f>
        <v/>
      </c>
      <c r="N40" s="251" t="n">
        <v>1</v>
      </c>
      <c r="O40" s="251" t="n"/>
      <c r="P40" s="251" t="n"/>
      <c r="Q40" s="251" t="inlineStr">
        <is>
          <t>No</t>
        </is>
      </c>
      <c r="R40" s="251" t="inlineStr">
        <is>
          <t>INR</t>
        </is>
      </c>
      <c r="S40" s="252" t="n"/>
      <c r="T40" s="251" t="n"/>
      <c r="U40">
        <f>IF(A40="","",SUMIFS('Goods Receipts'!$F:$F,'Goods Receipts'!$B:$B,A40,'Goods Receipts'!$L:$L,"Posted"))</f>
        <v/>
      </c>
      <c r="V40">
        <f>IF(A40="","",MAX(0,E40-U40))</f>
        <v/>
      </c>
    </row>
    <row r="41">
      <c r="A41" s="251" t="n"/>
      <c r="B41" s="251" t="n"/>
      <c r="C41" s="251" t="n"/>
      <c r="D41" s="251" t="n"/>
      <c r="E41" s="251" t="n"/>
      <c r="F41" s="248">
        <f>IF(D41="","",IFERROR(VLOOKUP(D41,'Master Inventory'!$A:$N,4,FALSE),0))</f>
        <v/>
      </c>
      <c r="G41" s="248">
        <f>IF(OR(E41="",F41=""),"",E41*F41)</f>
        <v/>
      </c>
      <c r="H41" s="251" t="n"/>
      <c r="I41">
        <f>IF(H41="","",12*(YEAR(H41)-YEAR(Inputs!$B$5))+MONTH(H41)-MONTH(Inputs!$B$5)+1)</f>
        <v/>
      </c>
      <c r="J41" s="251" t="n"/>
      <c r="K41" s="251" t="n"/>
      <c r="L41" s="251" t="n"/>
      <c r="M41">
        <f>IF(A41="","",IF(OR(L41="Received",L41="Closed"),"Actual",IF(OR(L41="Approved",L41="Open"),"Committed","Plan")))</f>
        <v/>
      </c>
      <c r="N41" s="251" t="n">
        <v>1</v>
      </c>
      <c r="O41" s="251" t="n"/>
      <c r="P41" s="251" t="n"/>
      <c r="Q41" s="251" t="inlineStr">
        <is>
          <t>No</t>
        </is>
      </c>
      <c r="R41" s="251" t="inlineStr">
        <is>
          <t>INR</t>
        </is>
      </c>
      <c r="S41" s="252" t="n"/>
      <c r="T41" s="251" t="n"/>
      <c r="U41">
        <f>IF(A41="","",SUMIFS('Goods Receipts'!$F:$F,'Goods Receipts'!$B:$B,A41,'Goods Receipts'!$L:$L,"Posted"))</f>
        <v/>
      </c>
      <c r="V41">
        <f>IF(A41="","",MAX(0,E41-U41))</f>
        <v/>
      </c>
    </row>
    <row r="42">
      <c r="A42" s="251" t="n"/>
      <c r="B42" s="251" t="n"/>
      <c r="C42" s="251" t="n"/>
      <c r="D42" s="251" t="n"/>
      <c r="E42" s="251" t="n"/>
      <c r="F42" s="248">
        <f>IF(D42="","",IFERROR(VLOOKUP(D42,'Master Inventory'!$A:$N,4,FALSE),0))</f>
        <v/>
      </c>
      <c r="G42" s="248">
        <f>IF(OR(E42="",F42=""),"",E42*F42)</f>
        <v/>
      </c>
      <c r="H42" s="251" t="n"/>
      <c r="I42">
        <f>IF(H42="","",12*(YEAR(H42)-YEAR(Inputs!$B$5))+MONTH(H42)-MONTH(Inputs!$B$5)+1)</f>
        <v/>
      </c>
      <c r="J42" s="251" t="n"/>
      <c r="K42" s="251" t="n"/>
      <c r="L42" s="251" t="n"/>
      <c r="M42">
        <f>IF(A42="","",IF(OR(L42="Received",L42="Closed"),"Actual",IF(OR(L42="Approved",L42="Open"),"Committed","Plan")))</f>
        <v/>
      </c>
      <c r="N42" s="251" t="n">
        <v>1</v>
      </c>
      <c r="O42" s="251" t="n"/>
      <c r="P42" s="251" t="n"/>
      <c r="Q42" s="251" t="inlineStr">
        <is>
          <t>No</t>
        </is>
      </c>
      <c r="R42" s="251" t="inlineStr">
        <is>
          <t>INR</t>
        </is>
      </c>
      <c r="S42" s="252" t="n"/>
      <c r="T42" s="251" t="n"/>
      <c r="U42">
        <f>IF(A42="","",SUMIFS('Goods Receipts'!$F:$F,'Goods Receipts'!$B:$B,A42,'Goods Receipts'!$L:$L,"Posted"))</f>
        <v/>
      </c>
      <c r="V42">
        <f>IF(A42="","",MAX(0,E42-U42))</f>
        <v/>
      </c>
    </row>
    <row r="43">
      <c r="A43" s="251" t="n"/>
      <c r="B43" s="251" t="n"/>
      <c r="C43" s="251" t="n"/>
      <c r="D43" s="251" t="n"/>
      <c r="E43" s="251" t="n"/>
      <c r="F43" s="248">
        <f>IF(D43="","",IFERROR(VLOOKUP(D43,'Master Inventory'!$A:$N,4,FALSE),0))</f>
        <v/>
      </c>
      <c r="G43" s="248">
        <f>IF(OR(E43="",F43=""),"",E43*F43)</f>
        <v/>
      </c>
      <c r="H43" s="251" t="n"/>
      <c r="I43">
        <f>IF(H43="","",12*(YEAR(H43)-YEAR(Inputs!$B$5))+MONTH(H43)-MONTH(Inputs!$B$5)+1)</f>
        <v/>
      </c>
      <c r="J43" s="251" t="n"/>
      <c r="K43" s="251" t="n"/>
      <c r="L43" s="251" t="n"/>
      <c r="M43">
        <f>IF(A43="","",IF(OR(L43="Received",L43="Closed"),"Actual",IF(OR(L43="Approved",L43="Open"),"Committed","Plan")))</f>
        <v/>
      </c>
      <c r="N43" s="251" t="n">
        <v>1</v>
      </c>
      <c r="O43" s="251" t="n"/>
      <c r="P43" s="251" t="n"/>
      <c r="Q43" s="251" t="inlineStr">
        <is>
          <t>No</t>
        </is>
      </c>
      <c r="R43" s="251" t="inlineStr">
        <is>
          <t>INR</t>
        </is>
      </c>
      <c r="S43" s="252" t="n"/>
      <c r="T43" s="251" t="n"/>
      <c r="U43">
        <f>IF(A43="","",SUMIFS('Goods Receipts'!$F:$F,'Goods Receipts'!$B:$B,A43,'Goods Receipts'!$L:$L,"Posted"))</f>
        <v/>
      </c>
      <c r="V43">
        <f>IF(A43="","",MAX(0,E43-U43))</f>
        <v/>
      </c>
    </row>
    <row r="44">
      <c r="A44" s="251" t="n"/>
      <c r="B44" s="251" t="n"/>
      <c r="C44" s="251" t="n"/>
      <c r="D44" s="251" t="n"/>
      <c r="E44" s="251" t="n"/>
      <c r="F44" s="248">
        <f>IF(D44="","",IFERROR(VLOOKUP(D44,'Master Inventory'!$A:$N,4,FALSE),0))</f>
        <v/>
      </c>
      <c r="G44" s="248">
        <f>IF(OR(E44="",F44=""),"",E44*F44)</f>
        <v/>
      </c>
      <c r="H44" s="251" t="n"/>
      <c r="I44">
        <f>IF(H44="","",12*(YEAR(H44)-YEAR(Inputs!$B$5))+MONTH(H44)-MONTH(Inputs!$B$5)+1)</f>
        <v/>
      </c>
      <c r="J44" s="251" t="n"/>
      <c r="K44" s="251" t="n"/>
      <c r="L44" s="251" t="n"/>
      <c r="M44">
        <f>IF(A44="","",IF(OR(L44="Received",L44="Closed"),"Actual",IF(OR(L44="Approved",L44="Open"),"Committed","Plan")))</f>
        <v/>
      </c>
      <c r="N44" s="251" t="n">
        <v>1</v>
      </c>
      <c r="O44" s="251" t="n"/>
      <c r="P44" s="251" t="n"/>
      <c r="Q44" s="251" t="inlineStr">
        <is>
          <t>No</t>
        </is>
      </c>
      <c r="R44" s="251" t="inlineStr">
        <is>
          <t>INR</t>
        </is>
      </c>
      <c r="S44" s="252" t="n"/>
      <c r="T44" s="251" t="n"/>
      <c r="U44">
        <f>IF(A44="","",SUMIFS('Goods Receipts'!$F:$F,'Goods Receipts'!$B:$B,A44,'Goods Receipts'!$L:$L,"Posted"))</f>
        <v/>
      </c>
      <c r="V44">
        <f>IF(A44="","",MAX(0,E44-U44))</f>
        <v/>
      </c>
    </row>
    <row r="45">
      <c r="A45" s="251" t="n"/>
      <c r="B45" s="251" t="n"/>
      <c r="C45" s="251" t="n"/>
      <c r="D45" s="251" t="n"/>
      <c r="E45" s="251" t="n"/>
      <c r="F45" s="248">
        <f>IF(D45="","",IFERROR(VLOOKUP(D45,'Master Inventory'!$A:$N,4,FALSE),0))</f>
        <v/>
      </c>
      <c r="G45" s="248">
        <f>IF(OR(E45="",F45=""),"",E45*F45)</f>
        <v/>
      </c>
      <c r="H45" s="251" t="n"/>
      <c r="I45">
        <f>IF(H45="","",12*(YEAR(H45)-YEAR(Inputs!$B$5))+MONTH(H45)-MONTH(Inputs!$B$5)+1)</f>
        <v/>
      </c>
      <c r="J45" s="251" t="n"/>
      <c r="K45" s="251" t="n"/>
      <c r="L45" s="251" t="n"/>
      <c r="M45">
        <f>IF(A45="","",IF(OR(L45="Received",L45="Closed"),"Actual",IF(OR(L45="Approved",L45="Open"),"Committed","Plan")))</f>
        <v/>
      </c>
      <c r="N45" s="251" t="n">
        <v>1</v>
      </c>
      <c r="O45" s="251" t="n"/>
      <c r="P45" s="251" t="n"/>
      <c r="Q45" s="251" t="inlineStr">
        <is>
          <t>No</t>
        </is>
      </c>
      <c r="R45" s="251" t="inlineStr">
        <is>
          <t>INR</t>
        </is>
      </c>
      <c r="S45" s="252" t="n"/>
      <c r="T45" s="251" t="n"/>
      <c r="U45">
        <f>IF(A45="","",SUMIFS('Goods Receipts'!$F:$F,'Goods Receipts'!$B:$B,A45,'Goods Receipts'!$L:$L,"Posted"))</f>
        <v/>
      </c>
      <c r="V45">
        <f>IF(A45="","",MAX(0,E45-U45))</f>
        <v/>
      </c>
    </row>
    <row r="46">
      <c r="A46" s="251" t="n"/>
      <c r="B46" s="251" t="n"/>
      <c r="C46" s="251" t="n"/>
      <c r="D46" s="251" t="n"/>
      <c r="E46" s="251" t="n"/>
      <c r="F46" s="248">
        <f>IF(D46="","",IFERROR(VLOOKUP(D46,'Master Inventory'!$A:$N,4,FALSE),0))</f>
        <v/>
      </c>
      <c r="G46" s="248">
        <f>IF(OR(E46="",F46=""),"",E46*F46)</f>
        <v/>
      </c>
      <c r="H46" s="251" t="n"/>
      <c r="I46">
        <f>IF(H46="","",12*(YEAR(H46)-YEAR(Inputs!$B$5))+MONTH(H46)-MONTH(Inputs!$B$5)+1)</f>
        <v/>
      </c>
      <c r="J46" s="251" t="n"/>
      <c r="K46" s="251" t="n"/>
      <c r="L46" s="251" t="n"/>
      <c r="M46">
        <f>IF(A46="","",IF(OR(L46="Received",L46="Closed"),"Actual",IF(OR(L46="Approved",L46="Open"),"Committed","Plan")))</f>
        <v/>
      </c>
      <c r="N46" s="251" t="n">
        <v>1</v>
      </c>
      <c r="O46" s="251" t="n"/>
      <c r="P46" s="251" t="n"/>
      <c r="Q46" s="251" t="inlineStr">
        <is>
          <t>No</t>
        </is>
      </c>
      <c r="R46" s="251" t="inlineStr">
        <is>
          <t>INR</t>
        </is>
      </c>
      <c r="S46" s="252" t="n"/>
      <c r="T46" s="251" t="n"/>
      <c r="U46">
        <f>IF(A46="","",SUMIFS('Goods Receipts'!$F:$F,'Goods Receipts'!$B:$B,A46,'Goods Receipts'!$L:$L,"Posted"))</f>
        <v/>
      </c>
      <c r="V46">
        <f>IF(A46="","",MAX(0,E46-U46))</f>
        <v/>
      </c>
    </row>
    <row r="47">
      <c r="A47" s="251" t="n"/>
      <c r="B47" s="251" t="n"/>
      <c r="C47" s="251" t="n"/>
      <c r="D47" s="251" t="n"/>
      <c r="E47" s="251" t="n"/>
      <c r="F47" s="248">
        <f>IF(D47="","",IFERROR(VLOOKUP(D47,'Master Inventory'!$A:$N,4,FALSE),0))</f>
        <v/>
      </c>
      <c r="G47" s="248">
        <f>IF(OR(E47="",F47=""),"",E47*F47)</f>
        <v/>
      </c>
      <c r="H47" s="251" t="n"/>
      <c r="I47">
        <f>IF(H47="","",12*(YEAR(H47)-YEAR(Inputs!$B$5))+MONTH(H47)-MONTH(Inputs!$B$5)+1)</f>
        <v/>
      </c>
      <c r="J47" s="251" t="n"/>
      <c r="K47" s="251" t="n"/>
      <c r="L47" s="251" t="n"/>
      <c r="M47">
        <f>IF(A47="","",IF(OR(L47="Received",L47="Closed"),"Actual",IF(OR(L47="Approved",L47="Open"),"Committed","Plan")))</f>
        <v/>
      </c>
      <c r="N47" s="251" t="n">
        <v>1</v>
      </c>
      <c r="O47" s="251" t="n"/>
      <c r="P47" s="251" t="n"/>
      <c r="Q47" s="251" t="inlineStr">
        <is>
          <t>No</t>
        </is>
      </c>
      <c r="R47" s="251" t="inlineStr">
        <is>
          <t>INR</t>
        </is>
      </c>
      <c r="S47" s="252" t="n"/>
      <c r="T47" s="251" t="n"/>
      <c r="U47">
        <f>IF(A47="","",SUMIFS('Goods Receipts'!$F:$F,'Goods Receipts'!$B:$B,A47,'Goods Receipts'!$L:$L,"Posted"))</f>
        <v/>
      </c>
      <c r="V47">
        <f>IF(A47="","",MAX(0,E47-U47))</f>
        <v/>
      </c>
    </row>
    <row r="48">
      <c r="A48" s="251" t="n"/>
      <c r="B48" s="251" t="n"/>
      <c r="C48" s="251" t="n"/>
      <c r="D48" s="251" t="n"/>
      <c r="E48" s="251" t="n"/>
      <c r="F48" s="248">
        <f>IF(D48="","",IFERROR(VLOOKUP(D48,'Master Inventory'!$A:$N,4,FALSE),0))</f>
        <v/>
      </c>
      <c r="G48" s="248">
        <f>IF(OR(E48="",F48=""),"",E48*F48)</f>
        <v/>
      </c>
      <c r="H48" s="251" t="n"/>
      <c r="I48">
        <f>IF(H48="","",12*(YEAR(H48)-YEAR(Inputs!$B$5))+MONTH(H48)-MONTH(Inputs!$B$5)+1)</f>
        <v/>
      </c>
      <c r="J48" s="251" t="n"/>
      <c r="K48" s="251" t="n"/>
      <c r="L48" s="251" t="n"/>
      <c r="M48">
        <f>IF(A48="","",IF(OR(L48="Received",L48="Closed"),"Actual",IF(OR(L48="Approved",L48="Open"),"Committed","Plan")))</f>
        <v/>
      </c>
      <c r="N48" s="251" t="n">
        <v>1</v>
      </c>
      <c r="O48" s="251" t="n"/>
      <c r="P48" s="251" t="n"/>
      <c r="Q48" s="251" t="inlineStr">
        <is>
          <t>No</t>
        </is>
      </c>
      <c r="R48" s="251" t="inlineStr">
        <is>
          <t>INR</t>
        </is>
      </c>
      <c r="S48" s="252" t="n"/>
      <c r="T48" s="251" t="n"/>
      <c r="U48">
        <f>IF(A48="","",SUMIFS('Goods Receipts'!$F:$F,'Goods Receipts'!$B:$B,A48,'Goods Receipts'!$L:$L,"Posted"))</f>
        <v/>
      </c>
      <c r="V48">
        <f>IF(A48="","",MAX(0,E48-U48))</f>
        <v/>
      </c>
    </row>
    <row r="49">
      <c r="A49" s="251" t="n"/>
      <c r="B49" s="251" t="n"/>
      <c r="C49" s="251" t="n"/>
      <c r="D49" s="251" t="n"/>
      <c r="E49" s="251" t="n"/>
      <c r="F49" s="248">
        <f>IF(D49="","",IFERROR(VLOOKUP(D49,'Master Inventory'!$A:$N,4,FALSE),0))</f>
        <v/>
      </c>
      <c r="G49" s="248">
        <f>IF(OR(E49="",F49=""),"",E49*F49)</f>
        <v/>
      </c>
      <c r="H49" s="251" t="n"/>
      <c r="I49">
        <f>IF(H49="","",12*(YEAR(H49)-YEAR(Inputs!$B$5))+MONTH(H49)-MONTH(Inputs!$B$5)+1)</f>
        <v/>
      </c>
      <c r="J49" s="251" t="n"/>
      <c r="K49" s="251" t="n"/>
      <c r="L49" s="251" t="n"/>
      <c r="M49">
        <f>IF(A49="","",IF(OR(L49="Received",L49="Closed"),"Actual",IF(OR(L49="Approved",L49="Open"),"Committed","Plan")))</f>
        <v/>
      </c>
      <c r="N49" s="251" t="n">
        <v>1</v>
      </c>
      <c r="O49" s="251" t="n"/>
      <c r="P49" s="251" t="n"/>
      <c r="Q49" s="251" t="inlineStr">
        <is>
          <t>No</t>
        </is>
      </c>
      <c r="R49" s="251" t="inlineStr">
        <is>
          <t>INR</t>
        </is>
      </c>
      <c r="S49" s="252" t="n"/>
      <c r="T49" s="251" t="n"/>
      <c r="U49">
        <f>IF(A49="","",SUMIFS('Goods Receipts'!$F:$F,'Goods Receipts'!$B:$B,A49,'Goods Receipts'!$L:$L,"Posted"))</f>
        <v/>
      </c>
      <c r="V49">
        <f>IF(A49="","",MAX(0,E49-U49))</f>
        <v/>
      </c>
    </row>
    <row r="50">
      <c r="A50" s="251" t="n"/>
      <c r="B50" s="251" t="n"/>
      <c r="C50" s="251" t="n"/>
      <c r="D50" s="251" t="n"/>
      <c r="E50" s="251" t="n"/>
      <c r="F50" s="248">
        <f>IF(D50="","",IFERROR(VLOOKUP(D50,'Master Inventory'!$A:$N,4,FALSE),0))</f>
        <v/>
      </c>
      <c r="G50" s="248">
        <f>IF(OR(E50="",F50=""),"",E50*F50)</f>
        <v/>
      </c>
      <c r="H50" s="251" t="n"/>
      <c r="I50">
        <f>IF(H50="","",12*(YEAR(H50)-YEAR(Inputs!$B$5))+MONTH(H50)-MONTH(Inputs!$B$5)+1)</f>
        <v/>
      </c>
      <c r="J50" s="251" t="n"/>
      <c r="K50" s="251" t="n"/>
      <c r="L50" s="251" t="n"/>
      <c r="M50">
        <f>IF(A50="","",IF(OR(L50="Received",L50="Closed"),"Actual",IF(OR(L50="Approved",L50="Open"),"Committed","Plan")))</f>
        <v/>
      </c>
      <c r="N50" s="251" t="n">
        <v>1</v>
      </c>
      <c r="O50" s="251" t="n"/>
      <c r="P50" s="251" t="n"/>
      <c r="Q50" s="251" t="inlineStr">
        <is>
          <t>No</t>
        </is>
      </c>
      <c r="R50" s="251" t="inlineStr">
        <is>
          <t>INR</t>
        </is>
      </c>
      <c r="S50" s="252" t="n"/>
      <c r="T50" s="251" t="n"/>
      <c r="U50">
        <f>IF(A50="","",SUMIFS('Goods Receipts'!$F:$F,'Goods Receipts'!$B:$B,A50,'Goods Receipts'!$L:$L,"Posted"))</f>
        <v/>
      </c>
      <c r="V50">
        <f>IF(A50="","",MAX(0,E50-U50))</f>
        <v/>
      </c>
    </row>
    <row r="51">
      <c r="A51" s="251" t="n"/>
      <c r="B51" s="251" t="n"/>
      <c r="C51" s="251" t="n"/>
      <c r="D51" s="251" t="n"/>
      <c r="E51" s="251" t="n"/>
      <c r="F51" s="248">
        <f>IF(D51="","",IFERROR(VLOOKUP(D51,'Master Inventory'!$A:$N,4,FALSE),0))</f>
        <v/>
      </c>
      <c r="G51" s="248">
        <f>IF(OR(E51="",F51=""),"",E51*F51)</f>
        <v/>
      </c>
      <c r="H51" s="251" t="n"/>
      <c r="I51">
        <f>IF(H51="","",12*(YEAR(H51)-YEAR(Inputs!$B$5))+MONTH(H51)-MONTH(Inputs!$B$5)+1)</f>
        <v/>
      </c>
      <c r="J51" s="251" t="n"/>
      <c r="K51" s="251" t="n"/>
      <c r="L51" s="251" t="n"/>
      <c r="M51">
        <f>IF(A51="","",IF(OR(L51="Received",L51="Closed"),"Actual",IF(OR(L51="Approved",L51="Open"),"Committed","Plan")))</f>
        <v/>
      </c>
      <c r="N51" s="251" t="n">
        <v>1</v>
      </c>
      <c r="O51" s="251" t="n"/>
      <c r="P51" s="251" t="n"/>
      <c r="Q51" s="251" t="inlineStr">
        <is>
          <t>No</t>
        </is>
      </c>
      <c r="R51" s="251" t="inlineStr">
        <is>
          <t>INR</t>
        </is>
      </c>
      <c r="S51" s="252" t="n"/>
      <c r="T51" s="251" t="n"/>
      <c r="U51">
        <f>IF(A51="","",SUMIFS('Goods Receipts'!$F:$F,'Goods Receipts'!$B:$B,A51,'Goods Receipts'!$L:$L,"Posted"))</f>
        <v/>
      </c>
      <c r="V51">
        <f>IF(A51="","",MAX(0,E51-U51))</f>
        <v/>
      </c>
    </row>
    <row r="52">
      <c r="A52" s="251" t="n"/>
      <c r="B52" s="251" t="n"/>
      <c r="C52" s="251" t="n"/>
      <c r="D52" s="251" t="n"/>
      <c r="E52" s="251" t="n"/>
      <c r="F52" s="248">
        <f>IF(D52="","",IFERROR(VLOOKUP(D52,'Master Inventory'!$A:$N,4,FALSE),0))</f>
        <v/>
      </c>
      <c r="G52" s="248">
        <f>IF(OR(E52="",F52=""),"",E52*F52)</f>
        <v/>
      </c>
      <c r="H52" s="251" t="n"/>
      <c r="I52">
        <f>IF(H52="","",12*(YEAR(H52)-YEAR(Inputs!$B$5))+MONTH(H52)-MONTH(Inputs!$B$5)+1)</f>
        <v/>
      </c>
      <c r="J52" s="251" t="n"/>
      <c r="K52" s="251" t="n"/>
      <c r="L52" s="251" t="n"/>
      <c r="M52">
        <f>IF(A52="","",IF(OR(L52="Received",L52="Closed"),"Actual",IF(OR(L52="Approved",L52="Open"),"Committed","Plan")))</f>
        <v/>
      </c>
      <c r="N52" s="251" t="n">
        <v>1</v>
      </c>
      <c r="O52" s="251" t="n"/>
      <c r="P52" s="251" t="n"/>
      <c r="Q52" s="251" t="inlineStr">
        <is>
          <t>No</t>
        </is>
      </c>
      <c r="R52" s="251" t="inlineStr">
        <is>
          <t>INR</t>
        </is>
      </c>
      <c r="S52" s="252" t="n"/>
      <c r="T52" s="251" t="n"/>
      <c r="U52">
        <f>IF(A52="","",SUMIFS('Goods Receipts'!$F:$F,'Goods Receipts'!$B:$B,A52,'Goods Receipts'!$L:$L,"Posted"))</f>
        <v/>
      </c>
      <c r="V52">
        <f>IF(A52="","",MAX(0,E52-U52))</f>
        <v/>
      </c>
    </row>
    <row r="53">
      <c r="A53" s="251" t="n"/>
      <c r="B53" s="251" t="n"/>
      <c r="C53" s="251" t="n"/>
      <c r="D53" s="251" t="n"/>
      <c r="E53" s="251" t="n"/>
      <c r="F53" s="248">
        <f>IF(D53="","",IFERROR(VLOOKUP(D53,'Master Inventory'!$A:$N,4,FALSE),0))</f>
        <v/>
      </c>
      <c r="G53" s="248">
        <f>IF(OR(E53="",F53=""),"",E53*F53)</f>
        <v/>
      </c>
      <c r="H53" s="251" t="n"/>
      <c r="I53">
        <f>IF(H53="","",12*(YEAR(H53)-YEAR(Inputs!$B$5))+MONTH(H53)-MONTH(Inputs!$B$5)+1)</f>
        <v/>
      </c>
      <c r="J53" s="251" t="n"/>
      <c r="K53" s="251" t="n"/>
      <c r="L53" s="251" t="n"/>
      <c r="M53">
        <f>IF(A53="","",IF(OR(L53="Received",L53="Closed"),"Actual",IF(OR(L53="Approved",L53="Open"),"Committed","Plan")))</f>
        <v/>
      </c>
      <c r="N53" s="251" t="n">
        <v>1</v>
      </c>
      <c r="O53" s="251" t="n"/>
      <c r="P53" s="251" t="n"/>
      <c r="Q53" s="251" t="inlineStr">
        <is>
          <t>No</t>
        </is>
      </c>
      <c r="R53" s="251" t="inlineStr">
        <is>
          <t>INR</t>
        </is>
      </c>
      <c r="S53" s="252" t="n"/>
      <c r="T53" s="251" t="n"/>
      <c r="U53">
        <f>IF(A53="","",SUMIFS('Goods Receipts'!$F:$F,'Goods Receipts'!$B:$B,A53,'Goods Receipts'!$L:$L,"Posted"))</f>
        <v/>
      </c>
      <c r="V53">
        <f>IF(A53="","",MAX(0,E53-U53))</f>
        <v/>
      </c>
    </row>
  </sheetData>
  <mergeCells count="2">
    <mergeCell ref="A2:V2"/>
    <mergeCell ref="A1:V1"/>
  </mergeCells>
  <dataValidations count="2">
    <dataValidation sqref="L4:L53" showDropDown="0" showInputMessage="0" showErrorMessage="0" allowBlank="1" type="list">
      <formula1>"Draft,Approved,Open,Received,Closed,Cancelled"</formula1>
    </dataValidation>
    <dataValidation sqref="Q4:Q53" showDropDown="0" showInputMessage="0" showErrorMessage="0" allowBlank="1" type="list">
      <formula1>"No,Yes"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10" customWidth="1" style="88" min="2" max="2"/>
    <col width="14" customWidth="1" style="88" min="3" max="3"/>
    <col width="32" customWidth="1" style="88" min="4" max="4"/>
    <col width="14" customWidth="1" style="88" min="5" max="5"/>
    <col width="14" customWidth="1" style="88" min="6" max="6"/>
    <col width="16" customWidth="1" style="88" min="7" max="7"/>
    <col width="14" customWidth="1" style="88" min="8" max="8"/>
    <col width="32" customWidth="1" style="88" min="9" max="9"/>
    <col width="13" customWidth="1" style="88" min="10" max="10"/>
    <col width="16" customWidth="1" style="88" min="11" max="11"/>
    <col width="10" customWidth="1" style="88" min="12" max="12"/>
    <col width="32" customWidth="1" style="88" min="13" max="13"/>
    <col width="23" customWidth="1" style="88" min="14" max="14"/>
    <col width="13" customWidth="1" style="88" min="15" max="15"/>
    <col width="21" customWidth="1" style="88" min="16" max="16"/>
    <col width="10" customWidth="1" style="88" min="17" max="17"/>
  </cols>
  <sheetData>
    <row r="1">
      <c r="A1" s="249" t="inlineStr">
        <is>
          <t>Goods Receipts / GRN · posted receipt and quality-release evidence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</row>
    <row r="2">
      <c r="A2" s="250" t="inlineStr">
        <is>
          <t>Only Posted, Released accepted quantity is eligible for usable FIFO stock. Inventory Movement remains physical-stock truth.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</row>
    <row r="3">
      <c r="A3" s="231" t="inlineStr">
        <is>
          <t>GRN ID</t>
        </is>
      </c>
      <c r="B3" s="231" t="inlineStr">
        <is>
          <t>PO ID</t>
        </is>
      </c>
      <c r="C3" s="231" t="inlineStr">
        <is>
          <t>Receipt Date</t>
        </is>
      </c>
      <c r="D3" s="231" t="inlineStr">
        <is>
          <t>SKU</t>
        </is>
      </c>
      <c r="E3" s="231" t="inlineStr">
        <is>
          <t>Received Qty</t>
        </is>
      </c>
      <c r="F3" s="231" t="inlineStr">
        <is>
          <t>Accepted Qty</t>
        </is>
      </c>
      <c r="G3" s="231" t="inlineStr">
        <is>
          <t>Quarantine Qty</t>
        </is>
      </c>
      <c r="H3" s="231" t="inlineStr">
        <is>
          <t>Rejected Qty</t>
        </is>
      </c>
      <c r="I3" s="231" t="inlineStr">
        <is>
          <t>Unit Cost ₹</t>
        </is>
      </c>
      <c r="J3" s="231" t="inlineStr">
        <is>
          <t>Lot / Batch</t>
        </is>
      </c>
      <c r="K3" s="231" t="inlineStr">
        <is>
          <t>Quality Status</t>
        </is>
      </c>
      <c r="L3" s="231" t="inlineStr">
        <is>
          <t>Status</t>
        </is>
      </c>
      <c r="M3" s="231" t="inlineStr">
        <is>
          <t>Truth Class</t>
        </is>
      </c>
      <c r="N3" s="231" t="inlineStr">
        <is>
          <t>Inventory Movement ID</t>
        </is>
      </c>
      <c r="O3" s="231" t="inlineStr">
        <is>
          <t>Received By</t>
        </is>
      </c>
      <c r="P3" s="231" t="inlineStr">
        <is>
          <t>Evidence / Document</t>
        </is>
      </c>
      <c r="Q3" s="231" t="inlineStr">
        <is>
          <t>Notes</t>
        </is>
      </c>
    </row>
    <row r="4">
      <c r="A4" s="251" t="n"/>
      <c r="B4" s="251" t="n"/>
      <c r="C4" s="251" t="n"/>
      <c r="D4">
        <f>IF(B4="","",IFERROR(VLOOKUP(B4,'Purchase Orders'!$A:$D,4,FALSE),""))</f>
        <v/>
      </c>
      <c r="E4" s="251" t="n"/>
      <c r="F4" s="251" t="n"/>
      <c r="G4" s="251" t="n"/>
      <c r="H4" s="251" t="n"/>
      <c r="I4" s="248">
        <f>IF(D4="","",IFERROR(VLOOKUP(D4,'Master Inventory'!$A:$N,4,FALSE),0))</f>
        <v/>
      </c>
      <c r="J4" s="251" t="n"/>
      <c r="K4" s="251" t="n"/>
      <c r="L4" s="251" t="n"/>
      <c r="M4">
        <f>IF(A4="","",IF(L4="Posted","Actual","Plan"))</f>
        <v/>
      </c>
      <c r="N4" s="251" t="n"/>
      <c r="O4" s="251" t="n"/>
      <c r="P4" s="251" t="n"/>
      <c r="Q4" s="251" t="n"/>
    </row>
    <row r="5">
      <c r="A5" s="251" t="n"/>
      <c r="B5" s="251" t="n"/>
      <c r="C5" s="251" t="n"/>
      <c r="D5">
        <f>IF(B5="","",IFERROR(VLOOKUP(B5,'Purchase Orders'!$A:$D,4,FALSE),""))</f>
        <v/>
      </c>
      <c r="E5" s="251" t="n"/>
      <c r="F5" s="251" t="n"/>
      <c r="G5" s="251" t="n"/>
      <c r="H5" s="251" t="n"/>
      <c r="I5" s="248">
        <f>IF(D5="","",IFERROR(VLOOKUP(D5,'Master Inventory'!$A:$N,4,FALSE),0))</f>
        <v/>
      </c>
      <c r="J5" s="251" t="n"/>
      <c r="K5" s="251" t="n"/>
      <c r="L5" s="251" t="n"/>
      <c r="M5">
        <f>IF(A5="","",IF(L5="Posted","Actual","Plan"))</f>
        <v/>
      </c>
      <c r="N5" s="251" t="n"/>
      <c r="O5" s="251" t="n"/>
      <c r="P5" s="251" t="n"/>
      <c r="Q5" s="251" t="n"/>
    </row>
    <row r="6">
      <c r="A6" s="251" t="n"/>
      <c r="B6" s="251" t="n"/>
      <c r="C6" s="251" t="n"/>
      <c r="D6">
        <f>IF(B6="","",IFERROR(VLOOKUP(B6,'Purchase Orders'!$A:$D,4,FALSE),""))</f>
        <v/>
      </c>
      <c r="E6" s="251" t="n"/>
      <c r="F6" s="251" t="n"/>
      <c r="G6" s="251" t="n"/>
      <c r="H6" s="251" t="n"/>
      <c r="I6" s="248">
        <f>IF(D6="","",IFERROR(VLOOKUP(D6,'Master Inventory'!$A:$N,4,FALSE),0))</f>
        <v/>
      </c>
      <c r="J6" s="251" t="n"/>
      <c r="K6" s="251" t="n"/>
      <c r="L6" s="251" t="n"/>
      <c r="M6">
        <f>IF(A6="","",IF(L6="Posted","Actual","Plan"))</f>
        <v/>
      </c>
      <c r="N6" s="251" t="n"/>
      <c r="O6" s="251" t="n"/>
      <c r="P6" s="251" t="n"/>
      <c r="Q6" s="251" t="n"/>
    </row>
    <row r="7">
      <c r="A7" s="251" t="n"/>
      <c r="B7" s="251" t="n"/>
      <c r="C7" s="251" t="n"/>
      <c r="D7">
        <f>IF(B7="","",IFERROR(VLOOKUP(B7,'Purchase Orders'!$A:$D,4,FALSE),""))</f>
        <v/>
      </c>
      <c r="E7" s="251" t="n"/>
      <c r="F7" s="251" t="n"/>
      <c r="G7" s="251" t="n"/>
      <c r="H7" s="251" t="n"/>
      <c r="I7" s="248">
        <f>IF(D7="","",IFERROR(VLOOKUP(D7,'Master Inventory'!$A:$N,4,FALSE),0))</f>
        <v/>
      </c>
      <c r="J7" s="251" t="n"/>
      <c r="K7" s="251" t="n"/>
      <c r="L7" s="251" t="n"/>
      <c r="M7">
        <f>IF(A7="","",IF(L7="Posted","Actual","Plan"))</f>
        <v/>
      </c>
      <c r="N7" s="251" t="n"/>
      <c r="O7" s="251" t="n"/>
      <c r="P7" s="251" t="n"/>
      <c r="Q7" s="251" t="n"/>
    </row>
    <row r="8">
      <c r="A8" s="251" t="n"/>
      <c r="B8" s="251" t="n"/>
      <c r="C8" s="251" t="n"/>
      <c r="D8">
        <f>IF(B8="","",IFERROR(VLOOKUP(B8,'Purchase Orders'!$A:$D,4,FALSE),""))</f>
        <v/>
      </c>
      <c r="E8" s="251" t="n"/>
      <c r="F8" s="251" t="n"/>
      <c r="G8" s="251" t="n"/>
      <c r="H8" s="251" t="n"/>
      <c r="I8" s="248">
        <f>IF(D8="","",IFERROR(VLOOKUP(D8,'Master Inventory'!$A:$N,4,FALSE),0))</f>
        <v/>
      </c>
      <c r="J8" s="251" t="n"/>
      <c r="K8" s="251" t="n"/>
      <c r="L8" s="251" t="n"/>
      <c r="M8">
        <f>IF(A8="","",IF(L8="Posted","Actual","Plan"))</f>
        <v/>
      </c>
      <c r="N8" s="251" t="n"/>
      <c r="O8" s="251" t="n"/>
      <c r="P8" s="251" t="n"/>
      <c r="Q8" s="251" t="n"/>
    </row>
    <row r="9">
      <c r="A9" s="251" t="n"/>
      <c r="B9" s="251" t="n"/>
      <c r="C9" s="251" t="n"/>
      <c r="D9">
        <f>IF(B9="","",IFERROR(VLOOKUP(B9,'Purchase Orders'!$A:$D,4,FALSE),""))</f>
        <v/>
      </c>
      <c r="E9" s="251" t="n"/>
      <c r="F9" s="251" t="n"/>
      <c r="G9" s="251" t="n"/>
      <c r="H9" s="251" t="n"/>
      <c r="I9" s="248">
        <f>IF(D9="","",IFERROR(VLOOKUP(D9,'Master Inventory'!$A:$N,4,FALSE),0))</f>
        <v/>
      </c>
      <c r="J9" s="251" t="n"/>
      <c r="K9" s="251" t="n"/>
      <c r="L9" s="251" t="n"/>
      <c r="M9">
        <f>IF(A9="","",IF(L9="Posted","Actual","Plan"))</f>
        <v/>
      </c>
      <c r="N9" s="251" t="n"/>
      <c r="O9" s="251" t="n"/>
      <c r="P9" s="251" t="n"/>
      <c r="Q9" s="251" t="n"/>
    </row>
    <row r="10">
      <c r="A10" s="251" t="n"/>
      <c r="B10" s="251" t="n"/>
      <c r="C10" s="251" t="n"/>
      <c r="D10">
        <f>IF(B10="","",IFERROR(VLOOKUP(B10,'Purchase Orders'!$A:$D,4,FALSE),""))</f>
        <v/>
      </c>
      <c r="E10" s="251" t="n"/>
      <c r="F10" s="251" t="n"/>
      <c r="G10" s="251" t="n"/>
      <c r="H10" s="251" t="n"/>
      <c r="I10" s="248">
        <f>IF(D10="","",IFERROR(VLOOKUP(D10,'Master Inventory'!$A:$N,4,FALSE),0))</f>
        <v/>
      </c>
      <c r="J10" s="251" t="n"/>
      <c r="K10" s="251" t="n"/>
      <c r="L10" s="251" t="n"/>
      <c r="M10">
        <f>IF(A10="","",IF(L10="Posted","Actual","Plan"))</f>
        <v/>
      </c>
      <c r="N10" s="251" t="n"/>
      <c r="O10" s="251" t="n"/>
      <c r="P10" s="251" t="n"/>
      <c r="Q10" s="251" t="n"/>
    </row>
    <row r="11">
      <c r="A11" s="251" t="n"/>
      <c r="B11" s="251" t="n"/>
      <c r="C11" s="251" t="n"/>
      <c r="D11">
        <f>IF(B11="","",IFERROR(VLOOKUP(B11,'Purchase Orders'!$A:$D,4,FALSE),""))</f>
        <v/>
      </c>
      <c r="E11" s="251" t="n"/>
      <c r="F11" s="251" t="n"/>
      <c r="G11" s="251" t="n"/>
      <c r="H11" s="251" t="n"/>
      <c r="I11" s="248">
        <f>IF(D11="","",IFERROR(VLOOKUP(D11,'Master Inventory'!$A:$N,4,FALSE),0))</f>
        <v/>
      </c>
      <c r="J11" s="251" t="n"/>
      <c r="K11" s="251" t="n"/>
      <c r="L11" s="251" t="n"/>
      <c r="M11">
        <f>IF(A11="","",IF(L11="Posted","Actual","Plan"))</f>
        <v/>
      </c>
      <c r="N11" s="251" t="n"/>
      <c r="O11" s="251" t="n"/>
      <c r="P11" s="251" t="n"/>
      <c r="Q11" s="251" t="n"/>
    </row>
    <row r="12">
      <c r="A12" s="251" t="n"/>
      <c r="B12" s="251" t="n"/>
      <c r="C12" s="251" t="n"/>
      <c r="D12">
        <f>IF(B12="","",IFERROR(VLOOKUP(B12,'Purchase Orders'!$A:$D,4,FALSE),""))</f>
        <v/>
      </c>
      <c r="E12" s="251" t="n"/>
      <c r="F12" s="251" t="n"/>
      <c r="G12" s="251" t="n"/>
      <c r="H12" s="251" t="n"/>
      <c r="I12" s="248">
        <f>IF(D12="","",IFERROR(VLOOKUP(D12,'Master Inventory'!$A:$N,4,FALSE),0))</f>
        <v/>
      </c>
      <c r="J12" s="251" t="n"/>
      <c r="K12" s="251" t="n"/>
      <c r="L12" s="251" t="n"/>
      <c r="M12">
        <f>IF(A12="","",IF(L12="Posted","Actual","Plan"))</f>
        <v/>
      </c>
      <c r="N12" s="251" t="n"/>
      <c r="O12" s="251" t="n"/>
      <c r="P12" s="251" t="n"/>
      <c r="Q12" s="251" t="n"/>
    </row>
    <row r="13">
      <c r="A13" s="251" t="n"/>
      <c r="B13" s="251" t="n"/>
      <c r="C13" s="251" t="n"/>
      <c r="D13">
        <f>IF(B13="","",IFERROR(VLOOKUP(B13,'Purchase Orders'!$A:$D,4,FALSE),""))</f>
        <v/>
      </c>
      <c r="E13" s="251" t="n"/>
      <c r="F13" s="251" t="n"/>
      <c r="G13" s="251" t="n"/>
      <c r="H13" s="251" t="n"/>
      <c r="I13" s="248">
        <f>IF(D13="","",IFERROR(VLOOKUP(D13,'Master Inventory'!$A:$N,4,FALSE),0))</f>
        <v/>
      </c>
      <c r="J13" s="251" t="n"/>
      <c r="K13" s="251" t="n"/>
      <c r="L13" s="251" t="n"/>
      <c r="M13">
        <f>IF(A13="","",IF(L13="Posted","Actual","Plan"))</f>
        <v/>
      </c>
      <c r="N13" s="251" t="n"/>
      <c r="O13" s="251" t="n"/>
      <c r="P13" s="251" t="n"/>
      <c r="Q13" s="251" t="n"/>
    </row>
    <row r="14">
      <c r="A14" s="251" t="n"/>
      <c r="B14" s="251" t="n"/>
      <c r="C14" s="251" t="n"/>
      <c r="D14">
        <f>IF(B14="","",IFERROR(VLOOKUP(B14,'Purchase Orders'!$A:$D,4,FALSE),""))</f>
        <v/>
      </c>
      <c r="E14" s="251" t="n"/>
      <c r="F14" s="251" t="n"/>
      <c r="G14" s="251" t="n"/>
      <c r="H14" s="251" t="n"/>
      <c r="I14" s="248">
        <f>IF(D14="","",IFERROR(VLOOKUP(D14,'Master Inventory'!$A:$N,4,FALSE),0))</f>
        <v/>
      </c>
      <c r="J14" s="251" t="n"/>
      <c r="K14" s="251" t="n"/>
      <c r="L14" s="251" t="n"/>
      <c r="M14">
        <f>IF(A14="","",IF(L14="Posted","Actual","Plan"))</f>
        <v/>
      </c>
      <c r="N14" s="251" t="n"/>
      <c r="O14" s="251" t="n"/>
      <c r="P14" s="251" t="n"/>
      <c r="Q14" s="251" t="n"/>
    </row>
    <row r="15">
      <c r="A15" s="251" t="n"/>
      <c r="B15" s="251" t="n"/>
      <c r="C15" s="251" t="n"/>
      <c r="D15">
        <f>IF(B15="","",IFERROR(VLOOKUP(B15,'Purchase Orders'!$A:$D,4,FALSE),""))</f>
        <v/>
      </c>
      <c r="E15" s="251" t="n"/>
      <c r="F15" s="251" t="n"/>
      <c r="G15" s="251" t="n"/>
      <c r="H15" s="251" t="n"/>
      <c r="I15" s="248">
        <f>IF(D15="","",IFERROR(VLOOKUP(D15,'Master Inventory'!$A:$N,4,FALSE),0))</f>
        <v/>
      </c>
      <c r="J15" s="251" t="n"/>
      <c r="K15" s="251" t="n"/>
      <c r="L15" s="251" t="n"/>
      <c r="M15">
        <f>IF(A15="","",IF(L15="Posted","Actual","Plan"))</f>
        <v/>
      </c>
      <c r="N15" s="251" t="n"/>
      <c r="O15" s="251" t="n"/>
      <c r="P15" s="251" t="n"/>
      <c r="Q15" s="251" t="n"/>
    </row>
    <row r="16">
      <c r="A16" s="251" t="n"/>
      <c r="B16" s="251" t="n"/>
      <c r="C16" s="251" t="n"/>
      <c r="D16">
        <f>IF(B16="","",IFERROR(VLOOKUP(B16,'Purchase Orders'!$A:$D,4,FALSE),""))</f>
        <v/>
      </c>
      <c r="E16" s="251" t="n"/>
      <c r="F16" s="251" t="n"/>
      <c r="G16" s="251" t="n"/>
      <c r="H16" s="251" t="n"/>
      <c r="I16" s="248">
        <f>IF(D16="","",IFERROR(VLOOKUP(D16,'Master Inventory'!$A:$N,4,FALSE),0))</f>
        <v/>
      </c>
      <c r="J16" s="251" t="n"/>
      <c r="K16" s="251" t="n"/>
      <c r="L16" s="251" t="n"/>
      <c r="M16">
        <f>IF(A16="","",IF(L16="Posted","Actual","Plan"))</f>
        <v/>
      </c>
      <c r="N16" s="251" t="n"/>
      <c r="O16" s="251" t="n"/>
      <c r="P16" s="251" t="n"/>
      <c r="Q16" s="251" t="n"/>
    </row>
    <row r="17">
      <c r="A17" s="251" t="n"/>
      <c r="B17" s="251" t="n"/>
      <c r="C17" s="251" t="n"/>
      <c r="D17">
        <f>IF(B17="","",IFERROR(VLOOKUP(B17,'Purchase Orders'!$A:$D,4,FALSE),""))</f>
        <v/>
      </c>
      <c r="E17" s="251" t="n"/>
      <c r="F17" s="251" t="n"/>
      <c r="G17" s="251" t="n"/>
      <c r="H17" s="251" t="n"/>
      <c r="I17" s="248">
        <f>IF(D17="","",IFERROR(VLOOKUP(D17,'Master Inventory'!$A:$N,4,FALSE),0))</f>
        <v/>
      </c>
      <c r="J17" s="251" t="n"/>
      <c r="K17" s="251" t="n"/>
      <c r="L17" s="251" t="n"/>
      <c r="M17">
        <f>IF(A17="","",IF(L17="Posted","Actual","Plan"))</f>
        <v/>
      </c>
      <c r="N17" s="251" t="n"/>
      <c r="O17" s="251" t="n"/>
      <c r="P17" s="251" t="n"/>
      <c r="Q17" s="251" t="n"/>
    </row>
    <row r="18">
      <c r="A18" s="251" t="n"/>
      <c r="B18" s="251" t="n"/>
      <c r="C18" s="251" t="n"/>
      <c r="D18">
        <f>IF(B18="","",IFERROR(VLOOKUP(B18,'Purchase Orders'!$A:$D,4,FALSE),""))</f>
        <v/>
      </c>
      <c r="E18" s="251" t="n"/>
      <c r="F18" s="251" t="n"/>
      <c r="G18" s="251" t="n"/>
      <c r="H18" s="251" t="n"/>
      <c r="I18" s="248">
        <f>IF(D18="","",IFERROR(VLOOKUP(D18,'Master Inventory'!$A:$N,4,FALSE),0))</f>
        <v/>
      </c>
      <c r="J18" s="251" t="n"/>
      <c r="K18" s="251" t="n"/>
      <c r="L18" s="251" t="n"/>
      <c r="M18">
        <f>IF(A18="","",IF(L18="Posted","Actual","Plan"))</f>
        <v/>
      </c>
      <c r="N18" s="251" t="n"/>
      <c r="O18" s="251" t="n"/>
      <c r="P18" s="251" t="n"/>
      <c r="Q18" s="251" t="n"/>
    </row>
    <row r="19">
      <c r="A19" s="251" t="n"/>
      <c r="B19" s="251" t="n"/>
      <c r="C19" s="251" t="n"/>
      <c r="D19">
        <f>IF(B19="","",IFERROR(VLOOKUP(B19,'Purchase Orders'!$A:$D,4,FALSE),""))</f>
        <v/>
      </c>
      <c r="E19" s="251" t="n"/>
      <c r="F19" s="251" t="n"/>
      <c r="G19" s="251" t="n"/>
      <c r="H19" s="251" t="n"/>
      <c r="I19" s="248">
        <f>IF(D19="","",IFERROR(VLOOKUP(D19,'Master Inventory'!$A:$N,4,FALSE),0))</f>
        <v/>
      </c>
      <c r="J19" s="251" t="n"/>
      <c r="K19" s="251" t="n"/>
      <c r="L19" s="251" t="n"/>
      <c r="M19">
        <f>IF(A19="","",IF(L19="Posted","Actual","Plan"))</f>
        <v/>
      </c>
      <c r="N19" s="251" t="n"/>
      <c r="O19" s="251" t="n"/>
      <c r="P19" s="251" t="n"/>
      <c r="Q19" s="251" t="n"/>
    </row>
    <row r="20">
      <c r="A20" s="251" t="n"/>
      <c r="B20" s="251" t="n"/>
      <c r="C20" s="251" t="n"/>
      <c r="D20">
        <f>IF(B20="","",IFERROR(VLOOKUP(B20,'Purchase Orders'!$A:$D,4,FALSE),""))</f>
        <v/>
      </c>
      <c r="E20" s="251" t="n"/>
      <c r="F20" s="251" t="n"/>
      <c r="G20" s="251" t="n"/>
      <c r="H20" s="251" t="n"/>
      <c r="I20" s="248">
        <f>IF(D20="","",IFERROR(VLOOKUP(D20,'Master Inventory'!$A:$N,4,FALSE),0))</f>
        <v/>
      </c>
      <c r="J20" s="251" t="n"/>
      <c r="K20" s="251" t="n"/>
      <c r="L20" s="251" t="n"/>
      <c r="M20">
        <f>IF(A20="","",IF(L20="Posted","Actual","Plan"))</f>
        <v/>
      </c>
      <c r="N20" s="251" t="n"/>
      <c r="O20" s="251" t="n"/>
      <c r="P20" s="251" t="n"/>
      <c r="Q20" s="251" t="n"/>
    </row>
    <row r="21">
      <c r="A21" s="251" t="n"/>
      <c r="B21" s="251" t="n"/>
      <c r="C21" s="251" t="n"/>
      <c r="D21">
        <f>IF(B21="","",IFERROR(VLOOKUP(B21,'Purchase Orders'!$A:$D,4,FALSE),""))</f>
        <v/>
      </c>
      <c r="E21" s="251" t="n"/>
      <c r="F21" s="251" t="n"/>
      <c r="G21" s="251" t="n"/>
      <c r="H21" s="251" t="n"/>
      <c r="I21" s="248">
        <f>IF(D21="","",IFERROR(VLOOKUP(D21,'Master Inventory'!$A:$N,4,FALSE),0))</f>
        <v/>
      </c>
      <c r="J21" s="251" t="n"/>
      <c r="K21" s="251" t="n"/>
      <c r="L21" s="251" t="n"/>
      <c r="M21">
        <f>IF(A21="","",IF(L21="Posted","Actual","Plan"))</f>
        <v/>
      </c>
      <c r="N21" s="251" t="n"/>
      <c r="O21" s="251" t="n"/>
      <c r="P21" s="251" t="n"/>
      <c r="Q21" s="251" t="n"/>
    </row>
    <row r="22">
      <c r="A22" s="251" t="n"/>
      <c r="B22" s="251" t="n"/>
      <c r="C22" s="251" t="n"/>
      <c r="D22">
        <f>IF(B22="","",IFERROR(VLOOKUP(B22,'Purchase Orders'!$A:$D,4,FALSE),""))</f>
        <v/>
      </c>
      <c r="E22" s="251" t="n"/>
      <c r="F22" s="251" t="n"/>
      <c r="G22" s="251" t="n"/>
      <c r="H22" s="251" t="n"/>
      <c r="I22" s="248">
        <f>IF(D22="","",IFERROR(VLOOKUP(D22,'Master Inventory'!$A:$N,4,FALSE),0))</f>
        <v/>
      </c>
      <c r="J22" s="251" t="n"/>
      <c r="K22" s="251" t="n"/>
      <c r="L22" s="251" t="n"/>
      <c r="M22">
        <f>IF(A22="","",IF(L22="Posted","Actual","Plan"))</f>
        <v/>
      </c>
      <c r="N22" s="251" t="n"/>
      <c r="O22" s="251" t="n"/>
      <c r="P22" s="251" t="n"/>
      <c r="Q22" s="251" t="n"/>
    </row>
    <row r="23">
      <c r="A23" s="251" t="n"/>
      <c r="B23" s="251" t="n"/>
      <c r="C23" s="251" t="n"/>
      <c r="D23">
        <f>IF(B23="","",IFERROR(VLOOKUP(B23,'Purchase Orders'!$A:$D,4,FALSE),""))</f>
        <v/>
      </c>
      <c r="E23" s="251" t="n"/>
      <c r="F23" s="251" t="n"/>
      <c r="G23" s="251" t="n"/>
      <c r="H23" s="251" t="n"/>
      <c r="I23" s="248">
        <f>IF(D23="","",IFERROR(VLOOKUP(D23,'Master Inventory'!$A:$N,4,FALSE),0))</f>
        <v/>
      </c>
      <c r="J23" s="251" t="n"/>
      <c r="K23" s="251" t="n"/>
      <c r="L23" s="251" t="n"/>
      <c r="M23">
        <f>IF(A23="","",IF(L23="Posted","Actual","Plan"))</f>
        <v/>
      </c>
      <c r="N23" s="251" t="n"/>
      <c r="O23" s="251" t="n"/>
      <c r="P23" s="251" t="n"/>
      <c r="Q23" s="251" t="n"/>
    </row>
    <row r="24">
      <c r="A24" s="251" t="n"/>
      <c r="B24" s="251" t="n"/>
      <c r="C24" s="251" t="n"/>
      <c r="D24">
        <f>IF(B24="","",IFERROR(VLOOKUP(B24,'Purchase Orders'!$A:$D,4,FALSE),""))</f>
        <v/>
      </c>
      <c r="E24" s="251" t="n"/>
      <c r="F24" s="251" t="n"/>
      <c r="G24" s="251" t="n"/>
      <c r="H24" s="251" t="n"/>
      <c r="I24" s="248">
        <f>IF(D24="","",IFERROR(VLOOKUP(D24,'Master Inventory'!$A:$N,4,FALSE),0))</f>
        <v/>
      </c>
      <c r="J24" s="251" t="n"/>
      <c r="K24" s="251" t="n"/>
      <c r="L24" s="251" t="n"/>
      <c r="M24">
        <f>IF(A24="","",IF(L24="Posted","Actual","Plan"))</f>
        <v/>
      </c>
      <c r="N24" s="251" t="n"/>
      <c r="O24" s="251" t="n"/>
      <c r="P24" s="251" t="n"/>
      <c r="Q24" s="251" t="n"/>
    </row>
    <row r="25">
      <c r="A25" s="251" t="n"/>
      <c r="B25" s="251" t="n"/>
      <c r="C25" s="251" t="n"/>
      <c r="D25">
        <f>IF(B25="","",IFERROR(VLOOKUP(B25,'Purchase Orders'!$A:$D,4,FALSE),""))</f>
        <v/>
      </c>
      <c r="E25" s="251" t="n"/>
      <c r="F25" s="251" t="n"/>
      <c r="G25" s="251" t="n"/>
      <c r="H25" s="251" t="n"/>
      <c r="I25" s="248">
        <f>IF(D25="","",IFERROR(VLOOKUP(D25,'Master Inventory'!$A:$N,4,FALSE),0))</f>
        <v/>
      </c>
      <c r="J25" s="251" t="n"/>
      <c r="K25" s="251" t="n"/>
      <c r="L25" s="251" t="n"/>
      <c r="M25">
        <f>IF(A25="","",IF(L25="Posted","Actual","Plan"))</f>
        <v/>
      </c>
      <c r="N25" s="251" t="n"/>
      <c r="O25" s="251" t="n"/>
      <c r="P25" s="251" t="n"/>
      <c r="Q25" s="251" t="n"/>
    </row>
    <row r="26">
      <c r="A26" s="251" t="n"/>
      <c r="B26" s="251" t="n"/>
      <c r="C26" s="251" t="n"/>
      <c r="D26">
        <f>IF(B26="","",IFERROR(VLOOKUP(B26,'Purchase Orders'!$A:$D,4,FALSE),""))</f>
        <v/>
      </c>
      <c r="E26" s="251" t="n"/>
      <c r="F26" s="251" t="n"/>
      <c r="G26" s="251" t="n"/>
      <c r="H26" s="251" t="n"/>
      <c r="I26" s="248">
        <f>IF(D26="","",IFERROR(VLOOKUP(D26,'Master Inventory'!$A:$N,4,FALSE),0))</f>
        <v/>
      </c>
      <c r="J26" s="251" t="n"/>
      <c r="K26" s="251" t="n"/>
      <c r="L26" s="251" t="n"/>
      <c r="M26">
        <f>IF(A26="","",IF(L26="Posted","Actual","Plan"))</f>
        <v/>
      </c>
      <c r="N26" s="251" t="n"/>
      <c r="O26" s="251" t="n"/>
      <c r="P26" s="251" t="n"/>
      <c r="Q26" s="251" t="n"/>
    </row>
    <row r="27">
      <c r="A27" s="251" t="n"/>
      <c r="B27" s="251" t="n"/>
      <c r="C27" s="251" t="n"/>
      <c r="D27">
        <f>IF(B27="","",IFERROR(VLOOKUP(B27,'Purchase Orders'!$A:$D,4,FALSE),""))</f>
        <v/>
      </c>
      <c r="E27" s="251" t="n"/>
      <c r="F27" s="251" t="n"/>
      <c r="G27" s="251" t="n"/>
      <c r="H27" s="251" t="n"/>
      <c r="I27" s="248">
        <f>IF(D27="","",IFERROR(VLOOKUP(D27,'Master Inventory'!$A:$N,4,FALSE),0))</f>
        <v/>
      </c>
      <c r="J27" s="251" t="n"/>
      <c r="K27" s="251" t="n"/>
      <c r="L27" s="251" t="n"/>
      <c r="M27">
        <f>IF(A27="","",IF(L27="Posted","Actual","Plan"))</f>
        <v/>
      </c>
      <c r="N27" s="251" t="n"/>
      <c r="O27" s="251" t="n"/>
      <c r="P27" s="251" t="n"/>
      <c r="Q27" s="251" t="n"/>
    </row>
    <row r="28">
      <c r="A28" s="251" t="n"/>
      <c r="B28" s="251" t="n"/>
      <c r="C28" s="251" t="n"/>
      <c r="D28">
        <f>IF(B28="","",IFERROR(VLOOKUP(B28,'Purchase Orders'!$A:$D,4,FALSE),""))</f>
        <v/>
      </c>
      <c r="E28" s="251" t="n"/>
      <c r="F28" s="251" t="n"/>
      <c r="G28" s="251" t="n"/>
      <c r="H28" s="251" t="n"/>
      <c r="I28" s="248">
        <f>IF(D28="","",IFERROR(VLOOKUP(D28,'Master Inventory'!$A:$N,4,FALSE),0))</f>
        <v/>
      </c>
      <c r="J28" s="251" t="n"/>
      <c r="K28" s="251" t="n"/>
      <c r="L28" s="251" t="n"/>
      <c r="M28">
        <f>IF(A28="","",IF(L28="Posted","Actual","Plan"))</f>
        <v/>
      </c>
      <c r="N28" s="251" t="n"/>
      <c r="O28" s="251" t="n"/>
      <c r="P28" s="251" t="n"/>
      <c r="Q28" s="251" t="n"/>
    </row>
    <row r="29">
      <c r="A29" s="251" t="n"/>
      <c r="B29" s="251" t="n"/>
      <c r="C29" s="251" t="n"/>
      <c r="D29">
        <f>IF(B29="","",IFERROR(VLOOKUP(B29,'Purchase Orders'!$A:$D,4,FALSE),""))</f>
        <v/>
      </c>
      <c r="E29" s="251" t="n"/>
      <c r="F29" s="251" t="n"/>
      <c r="G29" s="251" t="n"/>
      <c r="H29" s="251" t="n"/>
      <c r="I29" s="248">
        <f>IF(D29="","",IFERROR(VLOOKUP(D29,'Master Inventory'!$A:$N,4,FALSE),0))</f>
        <v/>
      </c>
      <c r="J29" s="251" t="n"/>
      <c r="K29" s="251" t="n"/>
      <c r="L29" s="251" t="n"/>
      <c r="M29">
        <f>IF(A29="","",IF(L29="Posted","Actual","Plan"))</f>
        <v/>
      </c>
      <c r="N29" s="251" t="n"/>
      <c r="O29" s="251" t="n"/>
      <c r="P29" s="251" t="n"/>
      <c r="Q29" s="251" t="n"/>
    </row>
    <row r="30">
      <c r="A30" s="251" t="n"/>
      <c r="B30" s="251" t="n"/>
      <c r="C30" s="251" t="n"/>
      <c r="D30">
        <f>IF(B30="","",IFERROR(VLOOKUP(B30,'Purchase Orders'!$A:$D,4,FALSE),""))</f>
        <v/>
      </c>
      <c r="E30" s="251" t="n"/>
      <c r="F30" s="251" t="n"/>
      <c r="G30" s="251" t="n"/>
      <c r="H30" s="251" t="n"/>
      <c r="I30" s="248">
        <f>IF(D30="","",IFERROR(VLOOKUP(D30,'Master Inventory'!$A:$N,4,FALSE),0))</f>
        <v/>
      </c>
      <c r="J30" s="251" t="n"/>
      <c r="K30" s="251" t="n"/>
      <c r="L30" s="251" t="n"/>
      <c r="M30">
        <f>IF(A30="","",IF(L30="Posted","Actual","Plan"))</f>
        <v/>
      </c>
      <c r="N30" s="251" t="n"/>
      <c r="O30" s="251" t="n"/>
      <c r="P30" s="251" t="n"/>
      <c r="Q30" s="251" t="n"/>
    </row>
    <row r="31">
      <c r="A31" s="251" t="n"/>
      <c r="B31" s="251" t="n"/>
      <c r="C31" s="251" t="n"/>
      <c r="D31">
        <f>IF(B31="","",IFERROR(VLOOKUP(B31,'Purchase Orders'!$A:$D,4,FALSE),""))</f>
        <v/>
      </c>
      <c r="E31" s="251" t="n"/>
      <c r="F31" s="251" t="n"/>
      <c r="G31" s="251" t="n"/>
      <c r="H31" s="251" t="n"/>
      <c r="I31" s="248">
        <f>IF(D31="","",IFERROR(VLOOKUP(D31,'Master Inventory'!$A:$N,4,FALSE),0))</f>
        <v/>
      </c>
      <c r="J31" s="251" t="n"/>
      <c r="K31" s="251" t="n"/>
      <c r="L31" s="251" t="n"/>
      <c r="M31">
        <f>IF(A31="","",IF(L31="Posted","Actual","Plan"))</f>
        <v/>
      </c>
      <c r="N31" s="251" t="n"/>
      <c r="O31" s="251" t="n"/>
      <c r="P31" s="251" t="n"/>
      <c r="Q31" s="251" t="n"/>
    </row>
    <row r="32">
      <c r="A32" s="251" t="n"/>
      <c r="B32" s="251" t="n"/>
      <c r="C32" s="251" t="n"/>
      <c r="D32">
        <f>IF(B32="","",IFERROR(VLOOKUP(B32,'Purchase Orders'!$A:$D,4,FALSE),""))</f>
        <v/>
      </c>
      <c r="E32" s="251" t="n"/>
      <c r="F32" s="251" t="n"/>
      <c r="G32" s="251" t="n"/>
      <c r="H32" s="251" t="n"/>
      <c r="I32" s="248">
        <f>IF(D32="","",IFERROR(VLOOKUP(D32,'Master Inventory'!$A:$N,4,FALSE),0))</f>
        <v/>
      </c>
      <c r="J32" s="251" t="n"/>
      <c r="K32" s="251" t="n"/>
      <c r="L32" s="251" t="n"/>
      <c r="M32">
        <f>IF(A32="","",IF(L32="Posted","Actual","Plan"))</f>
        <v/>
      </c>
      <c r="N32" s="251" t="n"/>
      <c r="O32" s="251" t="n"/>
      <c r="P32" s="251" t="n"/>
      <c r="Q32" s="251" t="n"/>
    </row>
    <row r="33">
      <c r="A33" s="251" t="n"/>
      <c r="B33" s="251" t="n"/>
      <c r="C33" s="251" t="n"/>
      <c r="D33">
        <f>IF(B33="","",IFERROR(VLOOKUP(B33,'Purchase Orders'!$A:$D,4,FALSE),""))</f>
        <v/>
      </c>
      <c r="E33" s="251" t="n"/>
      <c r="F33" s="251" t="n"/>
      <c r="G33" s="251" t="n"/>
      <c r="H33" s="251" t="n"/>
      <c r="I33" s="248">
        <f>IF(D33="","",IFERROR(VLOOKUP(D33,'Master Inventory'!$A:$N,4,FALSE),0))</f>
        <v/>
      </c>
      <c r="J33" s="251" t="n"/>
      <c r="K33" s="251" t="n"/>
      <c r="L33" s="251" t="n"/>
      <c r="M33">
        <f>IF(A33="","",IF(L33="Posted","Actual","Plan"))</f>
        <v/>
      </c>
      <c r="N33" s="251" t="n"/>
      <c r="O33" s="251" t="n"/>
      <c r="P33" s="251" t="n"/>
      <c r="Q33" s="251" t="n"/>
    </row>
    <row r="34">
      <c r="A34" s="251" t="n"/>
      <c r="B34" s="251" t="n"/>
      <c r="C34" s="251" t="n"/>
      <c r="D34">
        <f>IF(B34="","",IFERROR(VLOOKUP(B34,'Purchase Orders'!$A:$D,4,FALSE),""))</f>
        <v/>
      </c>
      <c r="E34" s="251" t="n"/>
      <c r="F34" s="251" t="n"/>
      <c r="G34" s="251" t="n"/>
      <c r="H34" s="251" t="n"/>
      <c r="I34" s="248">
        <f>IF(D34="","",IFERROR(VLOOKUP(D34,'Master Inventory'!$A:$N,4,FALSE),0))</f>
        <v/>
      </c>
      <c r="J34" s="251" t="n"/>
      <c r="K34" s="251" t="n"/>
      <c r="L34" s="251" t="n"/>
      <c r="M34">
        <f>IF(A34="","",IF(L34="Posted","Actual","Plan"))</f>
        <v/>
      </c>
      <c r="N34" s="251" t="n"/>
      <c r="O34" s="251" t="n"/>
      <c r="P34" s="251" t="n"/>
      <c r="Q34" s="251" t="n"/>
    </row>
    <row r="35">
      <c r="A35" s="251" t="n"/>
      <c r="B35" s="251" t="n"/>
      <c r="C35" s="251" t="n"/>
      <c r="D35">
        <f>IF(B35="","",IFERROR(VLOOKUP(B35,'Purchase Orders'!$A:$D,4,FALSE),""))</f>
        <v/>
      </c>
      <c r="E35" s="251" t="n"/>
      <c r="F35" s="251" t="n"/>
      <c r="G35" s="251" t="n"/>
      <c r="H35" s="251" t="n"/>
      <c r="I35" s="248">
        <f>IF(D35="","",IFERROR(VLOOKUP(D35,'Master Inventory'!$A:$N,4,FALSE),0))</f>
        <v/>
      </c>
      <c r="J35" s="251" t="n"/>
      <c r="K35" s="251" t="n"/>
      <c r="L35" s="251" t="n"/>
      <c r="M35">
        <f>IF(A35="","",IF(L35="Posted","Actual","Plan"))</f>
        <v/>
      </c>
      <c r="N35" s="251" t="n"/>
      <c r="O35" s="251" t="n"/>
      <c r="P35" s="251" t="n"/>
      <c r="Q35" s="251" t="n"/>
    </row>
    <row r="36">
      <c r="A36" s="251" t="n"/>
      <c r="B36" s="251" t="n"/>
      <c r="C36" s="251" t="n"/>
      <c r="D36">
        <f>IF(B36="","",IFERROR(VLOOKUP(B36,'Purchase Orders'!$A:$D,4,FALSE),""))</f>
        <v/>
      </c>
      <c r="E36" s="251" t="n"/>
      <c r="F36" s="251" t="n"/>
      <c r="G36" s="251" t="n"/>
      <c r="H36" s="251" t="n"/>
      <c r="I36" s="248">
        <f>IF(D36="","",IFERROR(VLOOKUP(D36,'Master Inventory'!$A:$N,4,FALSE),0))</f>
        <v/>
      </c>
      <c r="J36" s="251" t="n"/>
      <c r="K36" s="251" t="n"/>
      <c r="L36" s="251" t="n"/>
      <c r="M36">
        <f>IF(A36="","",IF(L36="Posted","Actual","Plan"))</f>
        <v/>
      </c>
      <c r="N36" s="251" t="n"/>
      <c r="O36" s="251" t="n"/>
      <c r="P36" s="251" t="n"/>
      <c r="Q36" s="251" t="n"/>
    </row>
    <row r="37">
      <c r="A37" s="251" t="n"/>
      <c r="B37" s="251" t="n"/>
      <c r="C37" s="251" t="n"/>
      <c r="D37">
        <f>IF(B37="","",IFERROR(VLOOKUP(B37,'Purchase Orders'!$A:$D,4,FALSE),""))</f>
        <v/>
      </c>
      <c r="E37" s="251" t="n"/>
      <c r="F37" s="251" t="n"/>
      <c r="G37" s="251" t="n"/>
      <c r="H37" s="251" t="n"/>
      <c r="I37" s="248">
        <f>IF(D37="","",IFERROR(VLOOKUP(D37,'Master Inventory'!$A:$N,4,FALSE),0))</f>
        <v/>
      </c>
      <c r="J37" s="251" t="n"/>
      <c r="K37" s="251" t="n"/>
      <c r="L37" s="251" t="n"/>
      <c r="M37">
        <f>IF(A37="","",IF(L37="Posted","Actual","Plan"))</f>
        <v/>
      </c>
      <c r="N37" s="251" t="n"/>
      <c r="O37" s="251" t="n"/>
      <c r="P37" s="251" t="n"/>
      <c r="Q37" s="251" t="n"/>
    </row>
    <row r="38">
      <c r="A38" s="251" t="n"/>
      <c r="B38" s="251" t="n"/>
      <c r="C38" s="251" t="n"/>
      <c r="D38">
        <f>IF(B38="","",IFERROR(VLOOKUP(B38,'Purchase Orders'!$A:$D,4,FALSE),""))</f>
        <v/>
      </c>
      <c r="E38" s="251" t="n"/>
      <c r="F38" s="251" t="n"/>
      <c r="G38" s="251" t="n"/>
      <c r="H38" s="251" t="n"/>
      <c r="I38" s="248">
        <f>IF(D38="","",IFERROR(VLOOKUP(D38,'Master Inventory'!$A:$N,4,FALSE),0))</f>
        <v/>
      </c>
      <c r="J38" s="251" t="n"/>
      <c r="K38" s="251" t="n"/>
      <c r="L38" s="251" t="n"/>
      <c r="M38">
        <f>IF(A38="","",IF(L38="Posted","Actual","Plan"))</f>
        <v/>
      </c>
      <c r="N38" s="251" t="n"/>
      <c r="O38" s="251" t="n"/>
      <c r="P38" s="251" t="n"/>
      <c r="Q38" s="251" t="n"/>
    </row>
    <row r="39">
      <c r="A39" s="251" t="n"/>
      <c r="B39" s="251" t="n"/>
      <c r="C39" s="251" t="n"/>
      <c r="D39">
        <f>IF(B39="","",IFERROR(VLOOKUP(B39,'Purchase Orders'!$A:$D,4,FALSE),""))</f>
        <v/>
      </c>
      <c r="E39" s="251" t="n"/>
      <c r="F39" s="251" t="n"/>
      <c r="G39" s="251" t="n"/>
      <c r="H39" s="251" t="n"/>
      <c r="I39" s="248">
        <f>IF(D39="","",IFERROR(VLOOKUP(D39,'Master Inventory'!$A:$N,4,FALSE),0))</f>
        <v/>
      </c>
      <c r="J39" s="251" t="n"/>
      <c r="K39" s="251" t="n"/>
      <c r="L39" s="251" t="n"/>
      <c r="M39">
        <f>IF(A39="","",IF(L39="Posted","Actual","Plan"))</f>
        <v/>
      </c>
      <c r="N39" s="251" t="n"/>
      <c r="O39" s="251" t="n"/>
      <c r="P39" s="251" t="n"/>
      <c r="Q39" s="251" t="n"/>
    </row>
    <row r="40">
      <c r="A40" s="251" t="n"/>
      <c r="B40" s="251" t="n"/>
      <c r="C40" s="251" t="n"/>
      <c r="D40">
        <f>IF(B40="","",IFERROR(VLOOKUP(B40,'Purchase Orders'!$A:$D,4,FALSE),""))</f>
        <v/>
      </c>
      <c r="E40" s="251" t="n"/>
      <c r="F40" s="251" t="n"/>
      <c r="G40" s="251" t="n"/>
      <c r="H40" s="251" t="n"/>
      <c r="I40" s="248">
        <f>IF(D40="","",IFERROR(VLOOKUP(D40,'Master Inventory'!$A:$N,4,FALSE),0))</f>
        <v/>
      </c>
      <c r="J40" s="251" t="n"/>
      <c r="K40" s="251" t="n"/>
      <c r="L40" s="251" t="n"/>
      <c r="M40">
        <f>IF(A40="","",IF(L40="Posted","Actual","Plan"))</f>
        <v/>
      </c>
      <c r="N40" s="251" t="n"/>
      <c r="O40" s="251" t="n"/>
      <c r="P40" s="251" t="n"/>
      <c r="Q40" s="251" t="n"/>
    </row>
    <row r="41">
      <c r="A41" s="251" t="n"/>
      <c r="B41" s="251" t="n"/>
      <c r="C41" s="251" t="n"/>
      <c r="D41">
        <f>IF(B41="","",IFERROR(VLOOKUP(B41,'Purchase Orders'!$A:$D,4,FALSE),""))</f>
        <v/>
      </c>
      <c r="E41" s="251" t="n"/>
      <c r="F41" s="251" t="n"/>
      <c r="G41" s="251" t="n"/>
      <c r="H41" s="251" t="n"/>
      <c r="I41" s="248">
        <f>IF(D41="","",IFERROR(VLOOKUP(D41,'Master Inventory'!$A:$N,4,FALSE),0))</f>
        <v/>
      </c>
      <c r="J41" s="251" t="n"/>
      <c r="K41" s="251" t="n"/>
      <c r="L41" s="251" t="n"/>
      <c r="M41">
        <f>IF(A41="","",IF(L41="Posted","Actual","Plan"))</f>
        <v/>
      </c>
      <c r="N41" s="251" t="n"/>
      <c r="O41" s="251" t="n"/>
      <c r="P41" s="251" t="n"/>
      <c r="Q41" s="251" t="n"/>
    </row>
    <row r="42">
      <c r="A42" s="251" t="n"/>
      <c r="B42" s="251" t="n"/>
      <c r="C42" s="251" t="n"/>
      <c r="D42">
        <f>IF(B42="","",IFERROR(VLOOKUP(B42,'Purchase Orders'!$A:$D,4,FALSE),""))</f>
        <v/>
      </c>
      <c r="E42" s="251" t="n"/>
      <c r="F42" s="251" t="n"/>
      <c r="G42" s="251" t="n"/>
      <c r="H42" s="251" t="n"/>
      <c r="I42" s="248">
        <f>IF(D42="","",IFERROR(VLOOKUP(D42,'Master Inventory'!$A:$N,4,FALSE),0))</f>
        <v/>
      </c>
      <c r="J42" s="251" t="n"/>
      <c r="K42" s="251" t="n"/>
      <c r="L42" s="251" t="n"/>
      <c r="M42">
        <f>IF(A42="","",IF(L42="Posted","Actual","Plan"))</f>
        <v/>
      </c>
      <c r="N42" s="251" t="n"/>
      <c r="O42" s="251" t="n"/>
      <c r="P42" s="251" t="n"/>
      <c r="Q42" s="251" t="n"/>
    </row>
    <row r="43">
      <c r="A43" s="251" t="n"/>
      <c r="B43" s="251" t="n"/>
      <c r="C43" s="251" t="n"/>
      <c r="D43">
        <f>IF(B43="","",IFERROR(VLOOKUP(B43,'Purchase Orders'!$A:$D,4,FALSE),""))</f>
        <v/>
      </c>
      <c r="E43" s="251" t="n"/>
      <c r="F43" s="251" t="n"/>
      <c r="G43" s="251" t="n"/>
      <c r="H43" s="251" t="n"/>
      <c r="I43" s="248">
        <f>IF(D43="","",IFERROR(VLOOKUP(D43,'Master Inventory'!$A:$N,4,FALSE),0))</f>
        <v/>
      </c>
      <c r="J43" s="251" t="n"/>
      <c r="K43" s="251" t="n"/>
      <c r="L43" s="251" t="n"/>
      <c r="M43">
        <f>IF(A43="","",IF(L43="Posted","Actual","Plan"))</f>
        <v/>
      </c>
      <c r="N43" s="251" t="n"/>
      <c r="O43" s="251" t="n"/>
      <c r="P43" s="251" t="n"/>
      <c r="Q43" s="251" t="n"/>
    </row>
    <row r="44">
      <c r="A44" s="251" t="n"/>
      <c r="B44" s="251" t="n"/>
      <c r="C44" s="251" t="n"/>
      <c r="D44">
        <f>IF(B44="","",IFERROR(VLOOKUP(B44,'Purchase Orders'!$A:$D,4,FALSE),""))</f>
        <v/>
      </c>
      <c r="E44" s="251" t="n"/>
      <c r="F44" s="251" t="n"/>
      <c r="G44" s="251" t="n"/>
      <c r="H44" s="251" t="n"/>
      <c r="I44" s="248">
        <f>IF(D44="","",IFERROR(VLOOKUP(D44,'Master Inventory'!$A:$N,4,FALSE),0))</f>
        <v/>
      </c>
      <c r="J44" s="251" t="n"/>
      <c r="K44" s="251" t="n"/>
      <c r="L44" s="251" t="n"/>
      <c r="M44">
        <f>IF(A44="","",IF(L44="Posted","Actual","Plan"))</f>
        <v/>
      </c>
      <c r="N44" s="251" t="n"/>
      <c r="O44" s="251" t="n"/>
      <c r="P44" s="251" t="n"/>
      <c r="Q44" s="251" t="n"/>
    </row>
    <row r="45">
      <c r="A45" s="251" t="n"/>
      <c r="B45" s="251" t="n"/>
      <c r="C45" s="251" t="n"/>
      <c r="D45">
        <f>IF(B45="","",IFERROR(VLOOKUP(B45,'Purchase Orders'!$A:$D,4,FALSE),""))</f>
        <v/>
      </c>
      <c r="E45" s="251" t="n"/>
      <c r="F45" s="251" t="n"/>
      <c r="G45" s="251" t="n"/>
      <c r="H45" s="251" t="n"/>
      <c r="I45" s="248">
        <f>IF(D45="","",IFERROR(VLOOKUP(D45,'Master Inventory'!$A:$N,4,FALSE),0))</f>
        <v/>
      </c>
      <c r="J45" s="251" t="n"/>
      <c r="K45" s="251" t="n"/>
      <c r="L45" s="251" t="n"/>
      <c r="M45">
        <f>IF(A45="","",IF(L45="Posted","Actual","Plan"))</f>
        <v/>
      </c>
      <c r="N45" s="251" t="n"/>
      <c r="O45" s="251" t="n"/>
      <c r="P45" s="251" t="n"/>
      <c r="Q45" s="251" t="n"/>
    </row>
    <row r="46">
      <c r="A46" s="251" t="n"/>
      <c r="B46" s="251" t="n"/>
      <c r="C46" s="251" t="n"/>
      <c r="D46">
        <f>IF(B46="","",IFERROR(VLOOKUP(B46,'Purchase Orders'!$A:$D,4,FALSE),""))</f>
        <v/>
      </c>
      <c r="E46" s="251" t="n"/>
      <c r="F46" s="251" t="n"/>
      <c r="G46" s="251" t="n"/>
      <c r="H46" s="251" t="n"/>
      <c r="I46" s="248">
        <f>IF(D46="","",IFERROR(VLOOKUP(D46,'Master Inventory'!$A:$N,4,FALSE),0))</f>
        <v/>
      </c>
      <c r="J46" s="251" t="n"/>
      <c r="K46" s="251" t="n"/>
      <c r="L46" s="251" t="n"/>
      <c r="M46">
        <f>IF(A46="","",IF(L46="Posted","Actual","Plan"))</f>
        <v/>
      </c>
      <c r="N46" s="251" t="n"/>
      <c r="O46" s="251" t="n"/>
      <c r="P46" s="251" t="n"/>
      <c r="Q46" s="251" t="n"/>
    </row>
    <row r="47">
      <c r="A47" s="251" t="n"/>
      <c r="B47" s="251" t="n"/>
      <c r="C47" s="251" t="n"/>
      <c r="D47">
        <f>IF(B47="","",IFERROR(VLOOKUP(B47,'Purchase Orders'!$A:$D,4,FALSE),""))</f>
        <v/>
      </c>
      <c r="E47" s="251" t="n"/>
      <c r="F47" s="251" t="n"/>
      <c r="G47" s="251" t="n"/>
      <c r="H47" s="251" t="n"/>
      <c r="I47" s="248">
        <f>IF(D47="","",IFERROR(VLOOKUP(D47,'Master Inventory'!$A:$N,4,FALSE),0))</f>
        <v/>
      </c>
      <c r="J47" s="251" t="n"/>
      <c r="K47" s="251" t="n"/>
      <c r="L47" s="251" t="n"/>
      <c r="M47">
        <f>IF(A47="","",IF(L47="Posted","Actual","Plan"))</f>
        <v/>
      </c>
      <c r="N47" s="251" t="n"/>
      <c r="O47" s="251" t="n"/>
      <c r="P47" s="251" t="n"/>
      <c r="Q47" s="251" t="n"/>
    </row>
    <row r="48">
      <c r="A48" s="251" t="n"/>
      <c r="B48" s="251" t="n"/>
      <c r="C48" s="251" t="n"/>
      <c r="D48">
        <f>IF(B48="","",IFERROR(VLOOKUP(B48,'Purchase Orders'!$A:$D,4,FALSE),""))</f>
        <v/>
      </c>
      <c r="E48" s="251" t="n"/>
      <c r="F48" s="251" t="n"/>
      <c r="G48" s="251" t="n"/>
      <c r="H48" s="251" t="n"/>
      <c r="I48" s="248">
        <f>IF(D48="","",IFERROR(VLOOKUP(D48,'Master Inventory'!$A:$N,4,FALSE),0))</f>
        <v/>
      </c>
      <c r="J48" s="251" t="n"/>
      <c r="K48" s="251" t="n"/>
      <c r="L48" s="251" t="n"/>
      <c r="M48">
        <f>IF(A48="","",IF(L48="Posted","Actual","Plan"))</f>
        <v/>
      </c>
      <c r="N48" s="251" t="n"/>
      <c r="O48" s="251" t="n"/>
      <c r="P48" s="251" t="n"/>
      <c r="Q48" s="251" t="n"/>
    </row>
    <row r="49">
      <c r="A49" s="251" t="n"/>
      <c r="B49" s="251" t="n"/>
      <c r="C49" s="251" t="n"/>
      <c r="D49">
        <f>IF(B49="","",IFERROR(VLOOKUP(B49,'Purchase Orders'!$A:$D,4,FALSE),""))</f>
        <v/>
      </c>
      <c r="E49" s="251" t="n"/>
      <c r="F49" s="251" t="n"/>
      <c r="G49" s="251" t="n"/>
      <c r="H49" s="251" t="n"/>
      <c r="I49" s="248">
        <f>IF(D49="","",IFERROR(VLOOKUP(D49,'Master Inventory'!$A:$N,4,FALSE),0))</f>
        <v/>
      </c>
      <c r="J49" s="251" t="n"/>
      <c r="K49" s="251" t="n"/>
      <c r="L49" s="251" t="n"/>
      <c r="M49">
        <f>IF(A49="","",IF(L49="Posted","Actual","Plan"))</f>
        <v/>
      </c>
      <c r="N49" s="251" t="n"/>
      <c r="O49" s="251" t="n"/>
      <c r="P49" s="251" t="n"/>
      <c r="Q49" s="251" t="n"/>
    </row>
    <row r="50">
      <c r="A50" s="251" t="n"/>
      <c r="B50" s="251" t="n"/>
      <c r="C50" s="251" t="n"/>
      <c r="D50">
        <f>IF(B50="","",IFERROR(VLOOKUP(B50,'Purchase Orders'!$A:$D,4,FALSE),""))</f>
        <v/>
      </c>
      <c r="E50" s="251" t="n"/>
      <c r="F50" s="251" t="n"/>
      <c r="G50" s="251" t="n"/>
      <c r="H50" s="251" t="n"/>
      <c r="I50" s="248">
        <f>IF(D50="","",IFERROR(VLOOKUP(D50,'Master Inventory'!$A:$N,4,FALSE),0))</f>
        <v/>
      </c>
      <c r="J50" s="251" t="n"/>
      <c r="K50" s="251" t="n"/>
      <c r="L50" s="251" t="n"/>
      <c r="M50">
        <f>IF(A50="","",IF(L50="Posted","Actual","Plan"))</f>
        <v/>
      </c>
      <c r="N50" s="251" t="n"/>
      <c r="O50" s="251" t="n"/>
      <c r="P50" s="251" t="n"/>
      <c r="Q50" s="251" t="n"/>
    </row>
    <row r="51">
      <c r="A51" s="251" t="n"/>
      <c r="B51" s="251" t="n"/>
      <c r="C51" s="251" t="n"/>
      <c r="D51">
        <f>IF(B51="","",IFERROR(VLOOKUP(B51,'Purchase Orders'!$A:$D,4,FALSE),""))</f>
        <v/>
      </c>
      <c r="E51" s="251" t="n"/>
      <c r="F51" s="251" t="n"/>
      <c r="G51" s="251" t="n"/>
      <c r="H51" s="251" t="n"/>
      <c r="I51" s="248">
        <f>IF(D51="","",IFERROR(VLOOKUP(D51,'Master Inventory'!$A:$N,4,FALSE),0))</f>
        <v/>
      </c>
      <c r="J51" s="251" t="n"/>
      <c r="K51" s="251" t="n"/>
      <c r="L51" s="251" t="n"/>
      <c r="M51">
        <f>IF(A51="","",IF(L51="Posted","Actual","Plan"))</f>
        <v/>
      </c>
      <c r="N51" s="251" t="n"/>
      <c r="O51" s="251" t="n"/>
      <c r="P51" s="251" t="n"/>
      <c r="Q51" s="251" t="n"/>
    </row>
    <row r="52">
      <c r="A52" s="251" t="n"/>
      <c r="B52" s="251" t="n"/>
      <c r="C52" s="251" t="n"/>
      <c r="D52">
        <f>IF(B52="","",IFERROR(VLOOKUP(B52,'Purchase Orders'!$A:$D,4,FALSE),""))</f>
        <v/>
      </c>
      <c r="E52" s="251" t="n"/>
      <c r="F52" s="251" t="n"/>
      <c r="G52" s="251" t="n"/>
      <c r="H52" s="251" t="n"/>
      <c r="I52" s="248">
        <f>IF(D52="","",IFERROR(VLOOKUP(D52,'Master Inventory'!$A:$N,4,FALSE),0))</f>
        <v/>
      </c>
      <c r="J52" s="251" t="n"/>
      <c r="K52" s="251" t="n"/>
      <c r="L52" s="251" t="n"/>
      <c r="M52">
        <f>IF(A52="","",IF(L52="Posted","Actual","Plan"))</f>
        <v/>
      </c>
      <c r="N52" s="251" t="n"/>
      <c r="O52" s="251" t="n"/>
      <c r="P52" s="251" t="n"/>
      <c r="Q52" s="251" t="n"/>
    </row>
    <row r="53">
      <c r="A53" s="251" t="n"/>
      <c r="B53" s="251" t="n"/>
      <c r="C53" s="251" t="n"/>
      <c r="D53">
        <f>IF(B53="","",IFERROR(VLOOKUP(B53,'Purchase Orders'!$A:$D,4,FALSE),""))</f>
        <v/>
      </c>
      <c r="E53" s="251" t="n"/>
      <c r="F53" s="251" t="n"/>
      <c r="G53" s="251" t="n"/>
      <c r="H53" s="251" t="n"/>
      <c r="I53" s="248">
        <f>IF(D53="","",IFERROR(VLOOKUP(D53,'Master Inventory'!$A:$N,4,FALSE),0))</f>
        <v/>
      </c>
      <c r="J53" s="251" t="n"/>
      <c r="K53" s="251" t="n"/>
      <c r="L53" s="251" t="n"/>
      <c r="M53">
        <f>IF(A53="","",IF(L53="Posted","Actual","Plan"))</f>
        <v/>
      </c>
      <c r="N53" s="251" t="n"/>
      <c r="O53" s="251" t="n"/>
      <c r="P53" s="251" t="n"/>
      <c r="Q53" s="251" t="n"/>
    </row>
  </sheetData>
  <mergeCells count="2">
    <mergeCell ref="A2:Q2"/>
    <mergeCell ref="A1:Q1"/>
  </mergeCells>
  <dataValidations count="2">
    <dataValidation sqref="K4:K53" showDropDown="0" showInputMessage="0" showErrorMessage="0" allowBlank="1" type="list">
      <formula1>"Pending,Released,Quarantine,Rejected"</formula1>
    </dataValidation>
    <dataValidation sqref="L4:L53" showDropDown="0" showInputMessage="0" showErrorMessage="0" allowBlank="1" type="list">
      <formula1>"Draft,Posted,Reversed"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10" customWidth="1" style="88" min="2" max="2"/>
    <col width="32" customWidth="1" style="88" min="3" max="3"/>
    <col width="32" customWidth="1" style="88" min="4" max="4"/>
    <col width="32" customWidth="1" style="88" min="5" max="5"/>
    <col width="32" customWidth="1" style="88" min="6" max="6"/>
    <col width="32" customWidth="1" style="88" min="7" max="7"/>
    <col width="32" customWidth="1" style="88" min="8" max="8"/>
    <col width="31" customWidth="1" style="88" min="9" max="9"/>
    <col width="32" customWidth="1" style="88" min="10" max="10"/>
    <col width="24" customWidth="1" style="88" min="11" max="11"/>
    <col width="32" customWidth="1" style="88" min="12" max="12"/>
    <col width="32" customWidth="1" style="88" min="13" max="13"/>
    <col width="20" customWidth="1" style="88" min="14" max="14"/>
    <col width="32" customWidth="1" style="88" min="15" max="15"/>
  </cols>
  <sheetData>
    <row r="1">
      <c r="A1" s="249" t="inlineStr">
        <is>
          <t>FIFO Layers · lot-level inventory valuation and availability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</row>
    <row r="2">
      <c r="A2" s="250" t="inlineStr">
        <is>
          <t>Each posted, quality-released GRN forms a FIFO layer. Allocations reduce Remaining Qty; over-allocation is blocked.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</row>
    <row r="3">
      <c r="A3" s="231" t="inlineStr">
        <is>
          <t>FIFO Layer ID</t>
        </is>
      </c>
      <c r="B3" s="231" t="inlineStr">
        <is>
          <t>GRN ID</t>
        </is>
      </c>
      <c r="C3" s="231" t="inlineStr">
        <is>
          <t>PO ID</t>
        </is>
      </c>
      <c r="D3" s="231" t="inlineStr">
        <is>
          <t>Receipt Date</t>
        </is>
      </c>
      <c r="E3" s="231" t="inlineStr">
        <is>
          <t>SKU</t>
        </is>
      </c>
      <c r="F3" s="231" t="inlineStr">
        <is>
          <t>Lot / Batch</t>
        </is>
      </c>
      <c r="G3" s="231" t="inlineStr">
        <is>
          <t>Original Qty</t>
        </is>
      </c>
      <c r="H3" s="231" t="inlineStr">
        <is>
          <t>Allocated Qty</t>
        </is>
      </c>
      <c r="I3" s="231" t="inlineStr">
        <is>
          <t>Remaining Qty</t>
        </is>
      </c>
      <c r="J3" s="231" t="inlineStr">
        <is>
          <t>Unit Cost ₹</t>
        </is>
      </c>
      <c r="K3" s="231" t="inlineStr">
        <is>
          <t>Remaining Value ₹</t>
        </is>
      </c>
      <c r="L3" s="231" t="inlineStr">
        <is>
          <t>Quality Status</t>
        </is>
      </c>
      <c r="M3" s="231" t="inlineStr">
        <is>
          <t>FIFO Sequence</t>
        </is>
      </c>
      <c r="N3" s="231" t="inlineStr">
        <is>
          <t>Evidence / Source</t>
        </is>
      </c>
      <c r="O3" s="231" t="inlineStr">
        <is>
          <t>Control Status</t>
        </is>
      </c>
    </row>
    <row r="4">
      <c r="C4">
        <f>IF(B4="","",IFERROR(VLOOKUP(B4,'Goods Receipts'!$A:$Q,2,FALSE),""))</f>
        <v/>
      </c>
      <c r="D4">
        <f>IF(B4="","",IFERROR(VLOOKUP(B4,'Goods Receipts'!$A:$Q,3,FALSE),""))</f>
        <v/>
      </c>
      <c r="E4">
        <f>IF(B4="","",IFERROR(VLOOKUP(B4,'Goods Receipts'!$A:$Q,4,FALSE),""))</f>
        <v/>
      </c>
      <c r="F4">
        <f>IF(B4="","",IFERROR(VLOOKUP(B4,'Goods Receipts'!$A:$Q,10,FALSE),""))</f>
        <v/>
      </c>
      <c r="G4">
        <f>IF(B4="","",IF(AND(IFERROR(VLOOKUP(B4,'Goods Receipts'!$A:$Q,12,FALSE),"")="Posted",IFERROR(VLOOKUP(B4,'Goods Receipts'!$A:$Q,11,FALSE),"")="Released"),IFERROR(VLOOKUP(B4,'Goods Receipts'!$A:$Q,6,FALSE),0),0))</f>
        <v/>
      </c>
      <c r="H4">
        <f>IF(A4="","",SUMIFS('FIFO Allocations'!$F:$F,'FIFO Allocations'!$E:$E,A4,'FIFO Allocations'!$J:$J,"Posted"))</f>
        <v/>
      </c>
      <c r="I4">
        <f>IF(A4="","",MAX(0,G4-H4))</f>
        <v/>
      </c>
      <c r="J4" s="248">
        <f>IF(B4="","",IFERROR(VLOOKUP(B4,'Goods Receipts'!$A:$Q,9,FALSE),0))</f>
        <v/>
      </c>
      <c r="K4" s="248">
        <f>IF(A4="","",I4*J4)</f>
        <v/>
      </c>
      <c r="L4">
        <f>IF(B4="","",IFERROR(VLOOKUP(B4,'Goods Receipts'!$A:$Q,11,FALSE),""))</f>
        <v/>
      </c>
      <c r="M4">
        <f>IF(E4="","",COUNTIFS($E$4:$E$53,E4,$D$4:$D$53,"&lt;="&amp;D4))</f>
        <v/>
      </c>
      <c r="N4">
        <f>IF(B4="","",B4)</f>
        <v/>
      </c>
      <c r="O4">
        <f>IF(A4="","",IF(H4&gt;G4,"ERROR - OVERALLOCATED",IF(I4=0,"CONSUMED",IF(L4&lt;&gt;"Released","HOLD","AVAILABLE"))))</f>
        <v/>
      </c>
    </row>
    <row r="5">
      <c r="C5">
        <f>IF(B5="","",IFERROR(VLOOKUP(B5,'Goods Receipts'!$A:$Q,2,FALSE),""))</f>
        <v/>
      </c>
      <c r="D5">
        <f>IF(B5="","",IFERROR(VLOOKUP(B5,'Goods Receipts'!$A:$Q,3,FALSE),""))</f>
        <v/>
      </c>
      <c r="E5">
        <f>IF(B5="","",IFERROR(VLOOKUP(B5,'Goods Receipts'!$A:$Q,4,FALSE),""))</f>
        <v/>
      </c>
      <c r="F5">
        <f>IF(B5="","",IFERROR(VLOOKUP(B5,'Goods Receipts'!$A:$Q,10,FALSE),""))</f>
        <v/>
      </c>
      <c r="G5">
        <f>IF(B5="","",IF(AND(IFERROR(VLOOKUP(B5,'Goods Receipts'!$A:$Q,12,FALSE),"")="Posted",IFERROR(VLOOKUP(B5,'Goods Receipts'!$A:$Q,11,FALSE),"")="Released"),IFERROR(VLOOKUP(B5,'Goods Receipts'!$A:$Q,6,FALSE),0),0))</f>
        <v/>
      </c>
      <c r="H5">
        <f>IF(A5="","",SUMIFS('FIFO Allocations'!$F:$F,'FIFO Allocations'!$E:$E,A5,'FIFO Allocations'!$J:$J,"Posted"))</f>
        <v/>
      </c>
      <c r="I5">
        <f>IF(A5="","",MAX(0,G5-H5))</f>
        <v/>
      </c>
      <c r="J5" s="248">
        <f>IF(B5="","",IFERROR(VLOOKUP(B5,'Goods Receipts'!$A:$Q,9,FALSE),0))</f>
        <v/>
      </c>
      <c r="K5" s="248">
        <f>IF(A5="","",I5*J5)</f>
        <v/>
      </c>
      <c r="L5">
        <f>IF(B5="","",IFERROR(VLOOKUP(B5,'Goods Receipts'!$A:$Q,11,FALSE),""))</f>
        <v/>
      </c>
      <c r="M5">
        <f>IF(E5="","",COUNTIFS($E$4:$E$53,E5,$D$4:$D$53,"&lt;="&amp;D5))</f>
        <v/>
      </c>
      <c r="N5">
        <f>IF(B5="","",B5)</f>
        <v/>
      </c>
      <c r="O5">
        <f>IF(A5="","",IF(H5&gt;G5,"ERROR - OVERALLOCATED",IF(I5=0,"CONSUMED",IF(L5&lt;&gt;"Released","HOLD","AVAILABLE"))))</f>
        <v/>
      </c>
    </row>
    <row r="6">
      <c r="C6">
        <f>IF(B6="","",IFERROR(VLOOKUP(B6,'Goods Receipts'!$A:$Q,2,FALSE),""))</f>
        <v/>
      </c>
      <c r="D6">
        <f>IF(B6="","",IFERROR(VLOOKUP(B6,'Goods Receipts'!$A:$Q,3,FALSE),""))</f>
        <v/>
      </c>
      <c r="E6">
        <f>IF(B6="","",IFERROR(VLOOKUP(B6,'Goods Receipts'!$A:$Q,4,FALSE),""))</f>
        <v/>
      </c>
      <c r="F6">
        <f>IF(B6="","",IFERROR(VLOOKUP(B6,'Goods Receipts'!$A:$Q,10,FALSE),""))</f>
        <v/>
      </c>
      <c r="G6">
        <f>IF(B6="","",IF(AND(IFERROR(VLOOKUP(B6,'Goods Receipts'!$A:$Q,12,FALSE),"")="Posted",IFERROR(VLOOKUP(B6,'Goods Receipts'!$A:$Q,11,FALSE),"")="Released"),IFERROR(VLOOKUP(B6,'Goods Receipts'!$A:$Q,6,FALSE),0),0))</f>
        <v/>
      </c>
      <c r="H6">
        <f>IF(A6="","",SUMIFS('FIFO Allocations'!$F:$F,'FIFO Allocations'!$E:$E,A6,'FIFO Allocations'!$J:$J,"Posted"))</f>
        <v/>
      </c>
      <c r="I6">
        <f>IF(A6="","",MAX(0,G6-H6))</f>
        <v/>
      </c>
      <c r="J6" s="248">
        <f>IF(B6="","",IFERROR(VLOOKUP(B6,'Goods Receipts'!$A:$Q,9,FALSE),0))</f>
        <v/>
      </c>
      <c r="K6" s="248">
        <f>IF(A6="","",I6*J6)</f>
        <v/>
      </c>
      <c r="L6">
        <f>IF(B6="","",IFERROR(VLOOKUP(B6,'Goods Receipts'!$A:$Q,11,FALSE),""))</f>
        <v/>
      </c>
      <c r="M6">
        <f>IF(E6="","",COUNTIFS($E$4:$E$53,E6,$D$4:$D$53,"&lt;="&amp;D6))</f>
        <v/>
      </c>
      <c r="N6">
        <f>IF(B6="","",B6)</f>
        <v/>
      </c>
      <c r="O6">
        <f>IF(A6="","",IF(H6&gt;G6,"ERROR - OVERALLOCATED",IF(I6=0,"CONSUMED",IF(L6&lt;&gt;"Released","HOLD","AVAILABLE"))))</f>
        <v/>
      </c>
    </row>
    <row r="7">
      <c r="C7">
        <f>IF(B7="","",IFERROR(VLOOKUP(B7,'Goods Receipts'!$A:$Q,2,FALSE),""))</f>
        <v/>
      </c>
      <c r="D7">
        <f>IF(B7="","",IFERROR(VLOOKUP(B7,'Goods Receipts'!$A:$Q,3,FALSE),""))</f>
        <v/>
      </c>
      <c r="E7">
        <f>IF(B7="","",IFERROR(VLOOKUP(B7,'Goods Receipts'!$A:$Q,4,FALSE),""))</f>
        <v/>
      </c>
      <c r="F7">
        <f>IF(B7="","",IFERROR(VLOOKUP(B7,'Goods Receipts'!$A:$Q,10,FALSE),""))</f>
        <v/>
      </c>
      <c r="G7">
        <f>IF(B7="","",IF(AND(IFERROR(VLOOKUP(B7,'Goods Receipts'!$A:$Q,12,FALSE),"")="Posted",IFERROR(VLOOKUP(B7,'Goods Receipts'!$A:$Q,11,FALSE),"")="Released"),IFERROR(VLOOKUP(B7,'Goods Receipts'!$A:$Q,6,FALSE),0),0))</f>
        <v/>
      </c>
      <c r="H7">
        <f>IF(A7="","",SUMIFS('FIFO Allocations'!$F:$F,'FIFO Allocations'!$E:$E,A7,'FIFO Allocations'!$J:$J,"Posted"))</f>
        <v/>
      </c>
      <c r="I7">
        <f>IF(A7="","",MAX(0,G7-H7))</f>
        <v/>
      </c>
      <c r="J7" s="248">
        <f>IF(B7="","",IFERROR(VLOOKUP(B7,'Goods Receipts'!$A:$Q,9,FALSE),0))</f>
        <v/>
      </c>
      <c r="K7" s="248">
        <f>IF(A7="","",I7*J7)</f>
        <v/>
      </c>
      <c r="L7">
        <f>IF(B7="","",IFERROR(VLOOKUP(B7,'Goods Receipts'!$A:$Q,11,FALSE),""))</f>
        <v/>
      </c>
      <c r="M7">
        <f>IF(E7="","",COUNTIFS($E$4:$E$53,E7,$D$4:$D$53,"&lt;="&amp;D7))</f>
        <v/>
      </c>
      <c r="N7">
        <f>IF(B7="","",B7)</f>
        <v/>
      </c>
      <c r="O7">
        <f>IF(A7="","",IF(H7&gt;G7,"ERROR - OVERALLOCATED",IF(I7=0,"CONSUMED",IF(L7&lt;&gt;"Released","HOLD","AVAILABLE"))))</f>
        <v/>
      </c>
    </row>
    <row r="8">
      <c r="C8">
        <f>IF(B8="","",IFERROR(VLOOKUP(B8,'Goods Receipts'!$A:$Q,2,FALSE),""))</f>
        <v/>
      </c>
      <c r="D8">
        <f>IF(B8="","",IFERROR(VLOOKUP(B8,'Goods Receipts'!$A:$Q,3,FALSE),""))</f>
        <v/>
      </c>
      <c r="E8">
        <f>IF(B8="","",IFERROR(VLOOKUP(B8,'Goods Receipts'!$A:$Q,4,FALSE),""))</f>
        <v/>
      </c>
      <c r="F8">
        <f>IF(B8="","",IFERROR(VLOOKUP(B8,'Goods Receipts'!$A:$Q,10,FALSE),""))</f>
        <v/>
      </c>
      <c r="G8">
        <f>IF(B8="","",IF(AND(IFERROR(VLOOKUP(B8,'Goods Receipts'!$A:$Q,12,FALSE),"")="Posted",IFERROR(VLOOKUP(B8,'Goods Receipts'!$A:$Q,11,FALSE),"")="Released"),IFERROR(VLOOKUP(B8,'Goods Receipts'!$A:$Q,6,FALSE),0),0))</f>
        <v/>
      </c>
      <c r="H8">
        <f>IF(A8="","",SUMIFS('FIFO Allocations'!$F:$F,'FIFO Allocations'!$E:$E,A8,'FIFO Allocations'!$J:$J,"Posted"))</f>
        <v/>
      </c>
      <c r="I8">
        <f>IF(A8="","",MAX(0,G8-H8))</f>
        <v/>
      </c>
      <c r="J8" s="248">
        <f>IF(B8="","",IFERROR(VLOOKUP(B8,'Goods Receipts'!$A:$Q,9,FALSE),0))</f>
        <v/>
      </c>
      <c r="K8" s="248">
        <f>IF(A8="","",I8*J8)</f>
        <v/>
      </c>
      <c r="L8">
        <f>IF(B8="","",IFERROR(VLOOKUP(B8,'Goods Receipts'!$A:$Q,11,FALSE),""))</f>
        <v/>
      </c>
      <c r="M8">
        <f>IF(E8="","",COUNTIFS($E$4:$E$53,E8,$D$4:$D$53,"&lt;="&amp;D8))</f>
        <v/>
      </c>
      <c r="N8">
        <f>IF(B8="","",B8)</f>
        <v/>
      </c>
      <c r="O8">
        <f>IF(A8="","",IF(H8&gt;G8,"ERROR - OVERALLOCATED",IF(I8=0,"CONSUMED",IF(L8&lt;&gt;"Released","HOLD","AVAILABLE"))))</f>
        <v/>
      </c>
    </row>
    <row r="9">
      <c r="C9">
        <f>IF(B9="","",IFERROR(VLOOKUP(B9,'Goods Receipts'!$A:$Q,2,FALSE),""))</f>
        <v/>
      </c>
      <c r="D9">
        <f>IF(B9="","",IFERROR(VLOOKUP(B9,'Goods Receipts'!$A:$Q,3,FALSE),""))</f>
        <v/>
      </c>
      <c r="E9">
        <f>IF(B9="","",IFERROR(VLOOKUP(B9,'Goods Receipts'!$A:$Q,4,FALSE),""))</f>
        <v/>
      </c>
      <c r="F9">
        <f>IF(B9="","",IFERROR(VLOOKUP(B9,'Goods Receipts'!$A:$Q,10,FALSE),""))</f>
        <v/>
      </c>
      <c r="G9">
        <f>IF(B9="","",IF(AND(IFERROR(VLOOKUP(B9,'Goods Receipts'!$A:$Q,12,FALSE),"")="Posted",IFERROR(VLOOKUP(B9,'Goods Receipts'!$A:$Q,11,FALSE),"")="Released"),IFERROR(VLOOKUP(B9,'Goods Receipts'!$A:$Q,6,FALSE),0),0))</f>
        <v/>
      </c>
      <c r="H9">
        <f>IF(A9="","",SUMIFS('FIFO Allocations'!$F:$F,'FIFO Allocations'!$E:$E,A9,'FIFO Allocations'!$J:$J,"Posted"))</f>
        <v/>
      </c>
      <c r="I9">
        <f>IF(A9="","",MAX(0,G9-H9))</f>
        <v/>
      </c>
      <c r="J9" s="248">
        <f>IF(B9="","",IFERROR(VLOOKUP(B9,'Goods Receipts'!$A:$Q,9,FALSE),0))</f>
        <v/>
      </c>
      <c r="K9" s="248">
        <f>IF(A9="","",I9*J9)</f>
        <v/>
      </c>
      <c r="L9">
        <f>IF(B9="","",IFERROR(VLOOKUP(B9,'Goods Receipts'!$A:$Q,11,FALSE),""))</f>
        <v/>
      </c>
      <c r="M9">
        <f>IF(E9="","",COUNTIFS($E$4:$E$53,E9,$D$4:$D$53,"&lt;="&amp;D9))</f>
        <v/>
      </c>
      <c r="N9">
        <f>IF(B9="","",B9)</f>
        <v/>
      </c>
      <c r="O9">
        <f>IF(A9="","",IF(H9&gt;G9,"ERROR - OVERALLOCATED",IF(I9=0,"CONSUMED",IF(L9&lt;&gt;"Released","HOLD","AVAILABLE"))))</f>
        <v/>
      </c>
    </row>
    <row r="10">
      <c r="C10">
        <f>IF(B10="","",IFERROR(VLOOKUP(B10,'Goods Receipts'!$A:$Q,2,FALSE),""))</f>
        <v/>
      </c>
      <c r="D10">
        <f>IF(B10="","",IFERROR(VLOOKUP(B10,'Goods Receipts'!$A:$Q,3,FALSE),""))</f>
        <v/>
      </c>
      <c r="E10">
        <f>IF(B10="","",IFERROR(VLOOKUP(B10,'Goods Receipts'!$A:$Q,4,FALSE),""))</f>
        <v/>
      </c>
      <c r="F10">
        <f>IF(B10="","",IFERROR(VLOOKUP(B10,'Goods Receipts'!$A:$Q,10,FALSE),""))</f>
        <v/>
      </c>
      <c r="G10">
        <f>IF(B10="","",IF(AND(IFERROR(VLOOKUP(B10,'Goods Receipts'!$A:$Q,12,FALSE),"")="Posted",IFERROR(VLOOKUP(B10,'Goods Receipts'!$A:$Q,11,FALSE),"")="Released"),IFERROR(VLOOKUP(B10,'Goods Receipts'!$A:$Q,6,FALSE),0),0))</f>
        <v/>
      </c>
      <c r="H10">
        <f>IF(A10="","",SUMIFS('FIFO Allocations'!$F:$F,'FIFO Allocations'!$E:$E,A10,'FIFO Allocations'!$J:$J,"Posted"))</f>
        <v/>
      </c>
      <c r="I10">
        <f>IF(A10="","",MAX(0,G10-H10))</f>
        <v/>
      </c>
      <c r="J10" s="248">
        <f>IF(B10="","",IFERROR(VLOOKUP(B10,'Goods Receipts'!$A:$Q,9,FALSE),0))</f>
        <v/>
      </c>
      <c r="K10" s="248">
        <f>IF(A10="","",I10*J10)</f>
        <v/>
      </c>
      <c r="L10">
        <f>IF(B10="","",IFERROR(VLOOKUP(B10,'Goods Receipts'!$A:$Q,11,FALSE),""))</f>
        <v/>
      </c>
      <c r="M10">
        <f>IF(E10="","",COUNTIFS($E$4:$E$53,E10,$D$4:$D$53,"&lt;="&amp;D10))</f>
        <v/>
      </c>
      <c r="N10">
        <f>IF(B10="","",B10)</f>
        <v/>
      </c>
      <c r="O10">
        <f>IF(A10="","",IF(H10&gt;G10,"ERROR - OVERALLOCATED",IF(I10=0,"CONSUMED",IF(L10&lt;&gt;"Released","HOLD","AVAILABLE"))))</f>
        <v/>
      </c>
    </row>
    <row r="11">
      <c r="C11">
        <f>IF(B11="","",IFERROR(VLOOKUP(B11,'Goods Receipts'!$A:$Q,2,FALSE),""))</f>
        <v/>
      </c>
      <c r="D11">
        <f>IF(B11="","",IFERROR(VLOOKUP(B11,'Goods Receipts'!$A:$Q,3,FALSE),""))</f>
        <v/>
      </c>
      <c r="E11">
        <f>IF(B11="","",IFERROR(VLOOKUP(B11,'Goods Receipts'!$A:$Q,4,FALSE),""))</f>
        <v/>
      </c>
      <c r="F11">
        <f>IF(B11="","",IFERROR(VLOOKUP(B11,'Goods Receipts'!$A:$Q,10,FALSE),""))</f>
        <v/>
      </c>
      <c r="G11">
        <f>IF(B11="","",IF(AND(IFERROR(VLOOKUP(B11,'Goods Receipts'!$A:$Q,12,FALSE),"")="Posted",IFERROR(VLOOKUP(B11,'Goods Receipts'!$A:$Q,11,FALSE),"")="Released"),IFERROR(VLOOKUP(B11,'Goods Receipts'!$A:$Q,6,FALSE),0),0))</f>
        <v/>
      </c>
      <c r="H11">
        <f>IF(A11="","",SUMIFS('FIFO Allocations'!$F:$F,'FIFO Allocations'!$E:$E,A11,'FIFO Allocations'!$J:$J,"Posted"))</f>
        <v/>
      </c>
      <c r="I11">
        <f>IF(A11="","",MAX(0,G11-H11))</f>
        <v/>
      </c>
      <c r="J11" s="248">
        <f>IF(B11="","",IFERROR(VLOOKUP(B11,'Goods Receipts'!$A:$Q,9,FALSE),0))</f>
        <v/>
      </c>
      <c r="K11" s="248">
        <f>IF(A11="","",I11*J11)</f>
        <v/>
      </c>
      <c r="L11">
        <f>IF(B11="","",IFERROR(VLOOKUP(B11,'Goods Receipts'!$A:$Q,11,FALSE),""))</f>
        <v/>
      </c>
      <c r="M11">
        <f>IF(E11="","",COUNTIFS($E$4:$E$53,E11,$D$4:$D$53,"&lt;="&amp;D11))</f>
        <v/>
      </c>
      <c r="N11">
        <f>IF(B11="","",B11)</f>
        <v/>
      </c>
      <c r="O11">
        <f>IF(A11="","",IF(H11&gt;G11,"ERROR - OVERALLOCATED",IF(I11=0,"CONSUMED",IF(L11&lt;&gt;"Released","HOLD","AVAILABLE"))))</f>
        <v/>
      </c>
    </row>
    <row r="12">
      <c r="C12">
        <f>IF(B12="","",IFERROR(VLOOKUP(B12,'Goods Receipts'!$A:$Q,2,FALSE),""))</f>
        <v/>
      </c>
      <c r="D12">
        <f>IF(B12="","",IFERROR(VLOOKUP(B12,'Goods Receipts'!$A:$Q,3,FALSE),""))</f>
        <v/>
      </c>
      <c r="E12">
        <f>IF(B12="","",IFERROR(VLOOKUP(B12,'Goods Receipts'!$A:$Q,4,FALSE),""))</f>
        <v/>
      </c>
      <c r="F12">
        <f>IF(B12="","",IFERROR(VLOOKUP(B12,'Goods Receipts'!$A:$Q,10,FALSE),""))</f>
        <v/>
      </c>
      <c r="G12">
        <f>IF(B12="","",IF(AND(IFERROR(VLOOKUP(B12,'Goods Receipts'!$A:$Q,12,FALSE),"")="Posted",IFERROR(VLOOKUP(B12,'Goods Receipts'!$A:$Q,11,FALSE),"")="Released"),IFERROR(VLOOKUP(B12,'Goods Receipts'!$A:$Q,6,FALSE),0),0))</f>
        <v/>
      </c>
      <c r="H12">
        <f>IF(A12="","",SUMIFS('FIFO Allocations'!$F:$F,'FIFO Allocations'!$E:$E,A12,'FIFO Allocations'!$J:$J,"Posted"))</f>
        <v/>
      </c>
      <c r="I12">
        <f>IF(A12="","",MAX(0,G12-H12))</f>
        <v/>
      </c>
      <c r="J12" s="248">
        <f>IF(B12="","",IFERROR(VLOOKUP(B12,'Goods Receipts'!$A:$Q,9,FALSE),0))</f>
        <v/>
      </c>
      <c r="K12" s="248">
        <f>IF(A12="","",I12*J12)</f>
        <v/>
      </c>
      <c r="L12">
        <f>IF(B12="","",IFERROR(VLOOKUP(B12,'Goods Receipts'!$A:$Q,11,FALSE),""))</f>
        <v/>
      </c>
      <c r="M12">
        <f>IF(E12="","",COUNTIFS($E$4:$E$53,E12,$D$4:$D$53,"&lt;="&amp;D12))</f>
        <v/>
      </c>
      <c r="N12">
        <f>IF(B12="","",B12)</f>
        <v/>
      </c>
      <c r="O12">
        <f>IF(A12="","",IF(H12&gt;G12,"ERROR - OVERALLOCATED",IF(I12=0,"CONSUMED",IF(L12&lt;&gt;"Released","HOLD","AVAILABLE"))))</f>
        <v/>
      </c>
    </row>
    <row r="13">
      <c r="C13">
        <f>IF(B13="","",IFERROR(VLOOKUP(B13,'Goods Receipts'!$A:$Q,2,FALSE),""))</f>
        <v/>
      </c>
      <c r="D13">
        <f>IF(B13="","",IFERROR(VLOOKUP(B13,'Goods Receipts'!$A:$Q,3,FALSE),""))</f>
        <v/>
      </c>
      <c r="E13">
        <f>IF(B13="","",IFERROR(VLOOKUP(B13,'Goods Receipts'!$A:$Q,4,FALSE),""))</f>
        <v/>
      </c>
      <c r="F13">
        <f>IF(B13="","",IFERROR(VLOOKUP(B13,'Goods Receipts'!$A:$Q,10,FALSE),""))</f>
        <v/>
      </c>
      <c r="G13">
        <f>IF(B13="","",IF(AND(IFERROR(VLOOKUP(B13,'Goods Receipts'!$A:$Q,12,FALSE),"")="Posted",IFERROR(VLOOKUP(B13,'Goods Receipts'!$A:$Q,11,FALSE),"")="Released"),IFERROR(VLOOKUP(B13,'Goods Receipts'!$A:$Q,6,FALSE),0),0))</f>
        <v/>
      </c>
      <c r="H13">
        <f>IF(A13="","",SUMIFS('FIFO Allocations'!$F:$F,'FIFO Allocations'!$E:$E,A13,'FIFO Allocations'!$J:$J,"Posted"))</f>
        <v/>
      </c>
      <c r="I13">
        <f>IF(A13="","",MAX(0,G13-H13))</f>
        <v/>
      </c>
      <c r="J13" s="248">
        <f>IF(B13="","",IFERROR(VLOOKUP(B13,'Goods Receipts'!$A:$Q,9,FALSE),0))</f>
        <v/>
      </c>
      <c r="K13" s="248">
        <f>IF(A13="","",I13*J13)</f>
        <v/>
      </c>
      <c r="L13">
        <f>IF(B13="","",IFERROR(VLOOKUP(B13,'Goods Receipts'!$A:$Q,11,FALSE),""))</f>
        <v/>
      </c>
      <c r="M13">
        <f>IF(E13="","",COUNTIFS($E$4:$E$53,E13,$D$4:$D$53,"&lt;="&amp;D13))</f>
        <v/>
      </c>
      <c r="N13">
        <f>IF(B13="","",B13)</f>
        <v/>
      </c>
      <c r="O13">
        <f>IF(A13="","",IF(H13&gt;G13,"ERROR - OVERALLOCATED",IF(I13=0,"CONSUMED",IF(L13&lt;&gt;"Released","HOLD","AVAILABLE"))))</f>
        <v/>
      </c>
    </row>
    <row r="14">
      <c r="C14">
        <f>IF(B14="","",IFERROR(VLOOKUP(B14,'Goods Receipts'!$A:$Q,2,FALSE),""))</f>
        <v/>
      </c>
      <c r="D14">
        <f>IF(B14="","",IFERROR(VLOOKUP(B14,'Goods Receipts'!$A:$Q,3,FALSE),""))</f>
        <v/>
      </c>
      <c r="E14">
        <f>IF(B14="","",IFERROR(VLOOKUP(B14,'Goods Receipts'!$A:$Q,4,FALSE),""))</f>
        <v/>
      </c>
      <c r="F14">
        <f>IF(B14="","",IFERROR(VLOOKUP(B14,'Goods Receipts'!$A:$Q,10,FALSE),""))</f>
        <v/>
      </c>
      <c r="G14">
        <f>IF(B14="","",IF(AND(IFERROR(VLOOKUP(B14,'Goods Receipts'!$A:$Q,12,FALSE),"")="Posted",IFERROR(VLOOKUP(B14,'Goods Receipts'!$A:$Q,11,FALSE),"")="Released"),IFERROR(VLOOKUP(B14,'Goods Receipts'!$A:$Q,6,FALSE),0),0))</f>
        <v/>
      </c>
      <c r="H14">
        <f>IF(A14="","",SUMIFS('FIFO Allocations'!$F:$F,'FIFO Allocations'!$E:$E,A14,'FIFO Allocations'!$J:$J,"Posted"))</f>
        <v/>
      </c>
      <c r="I14">
        <f>IF(A14="","",MAX(0,G14-H14))</f>
        <v/>
      </c>
      <c r="J14" s="248">
        <f>IF(B14="","",IFERROR(VLOOKUP(B14,'Goods Receipts'!$A:$Q,9,FALSE),0))</f>
        <v/>
      </c>
      <c r="K14" s="248">
        <f>IF(A14="","",I14*J14)</f>
        <v/>
      </c>
      <c r="L14">
        <f>IF(B14="","",IFERROR(VLOOKUP(B14,'Goods Receipts'!$A:$Q,11,FALSE),""))</f>
        <v/>
      </c>
      <c r="M14">
        <f>IF(E14="","",COUNTIFS($E$4:$E$53,E14,$D$4:$D$53,"&lt;="&amp;D14))</f>
        <v/>
      </c>
      <c r="N14">
        <f>IF(B14="","",B14)</f>
        <v/>
      </c>
      <c r="O14">
        <f>IF(A14="","",IF(H14&gt;G14,"ERROR - OVERALLOCATED",IF(I14=0,"CONSUMED",IF(L14&lt;&gt;"Released","HOLD","AVAILABLE"))))</f>
        <v/>
      </c>
    </row>
    <row r="15">
      <c r="C15">
        <f>IF(B15="","",IFERROR(VLOOKUP(B15,'Goods Receipts'!$A:$Q,2,FALSE),""))</f>
        <v/>
      </c>
      <c r="D15">
        <f>IF(B15="","",IFERROR(VLOOKUP(B15,'Goods Receipts'!$A:$Q,3,FALSE),""))</f>
        <v/>
      </c>
      <c r="E15">
        <f>IF(B15="","",IFERROR(VLOOKUP(B15,'Goods Receipts'!$A:$Q,4,FALSE),""))</f>
        <v/>
      </c>
      <c r="F15">
        <f>IF(B15="","",IFERROR(VLOOKUP(B15,'Goods Receipts'!$A:$Q,10,FALSE),""))</f>
        <v/>
      </c>
      <c r="G15">
        <f>IF(B15="","",IF(AND(IFERROR(VLOOKUP(B15,'Goods Receipts'!$A:$Q,12,FALSE),"")="Posted",IFERROR(VLOOKUP(B15,'Goods Receipts'!$A:$Q,11,FALSE),"")="Released"),IFERROR(VLOOKUP(B15,'Goods Receipts'!$A:$Q,6,FALSE),0),0))</f>
        <v/>
      </c>
      <c r="H15">
        <f>IF(A15="","",SUMIFS('FIFO Allocations'!$F:$F,'FIFO Allocations'!$E:$E,A15,'FIFO Allocations'!$J:$J,"Posted"))</f>
        <v/>
      </c>
      <c r="I15">
        <f>IF(A15="","",MAX(0,G15-H15))</f>
        <v/>
      </c>
      <c r="J15" s="248">
        <f>IF(B15="","",IFERROR(VLOOKUP(B15,'Goods Receipts'!$A:$Q,9,FALSE),0))</f>
        <v/>
      </c>
      <c r="K15" s="248">
        <f>IF(A15="","",I15*J15)</f>
        <v/>
      </c>
      <c r="L15">
        <f>IF(B15="","",IFERROR(VLOOKUP(B15,'Goods Receipts'!$A:$Q,11,FALSE),""))</f>
        <v/>
      </c>
      <c r="M15">
        <f>IF(E15="","",COUNTIFS($E$4:$E$53,E15,$D$4:$D$53,"&lt;="&amp;D15))</f>
        <v/>
      </c>
      <c r="N15">
        <f>IF(B15="","",B15)</f>
        <v/>
      </c>
      <c r="O15">
        <f>IF(A15="","",IF(H15&gt;G15,"ERROR - OVERALLOCATED",IF(I15=0,"CONSUMED",IF(L15&lt;&gt;"Released","HOLD","AVAILABLE"))))</f>
        <v/>
      </c>
    </row>
    <row r="16">
      <c r="C16">
        <f>IF(B16="","",IFERROR(VLOOKUP(B16,'Goods Receipts'!$A:$Q,2,FALSE),""))</f>
        <v/>
      </c>
      <c r="D16">
        <f>IF(B16="","",IFERROR(VLOOKUP(B16,'Goods Receipts'!$A:$Q,3,FALSE),""))</f>
        <v/>
      </c>
      <c r="E16">
        <f>IF(B16="","",IFERROR(VLOOKUP(B16,'Goods Receipts'!$A:$Q,4,FALSE),""))</f>
        <v/>
      </c>
      <c r="F16">
        <f>IF(B16="","",IFERROR(VLOOKUP(B16,'Goods Receipts'!$A:$Q,10,FALSE),""))</f>
        <v/>
      </c>
      <c r="G16">
        <f>IF(B16="","",IF(AND(IFERROR(VLOOKUP(B16,'Goods Receipts'!$A:$Q,12,FALSE),"")="Posted",IFERROR(VLOOKUP(B16,'Goods Receipts'!$A:$Q,11,FALSE),"")="Released"),IFERROR(VLOOKUP(B16,'Goods Receipts'!$A:$Q,6,FALSE),0),0))</f>
        <v/>
      </c>
      <c r="H16">
        <f>IF(A16="","",SUMIFS('FIFO Allocations'!$F:$F,'FIFO Allocations'!$E:$E,A16,'FIFO Allocations'!$J:$J,"Posted"))</f>
        <v/>
      </c>
      <c r="I16">
        <f>IF(A16="","",MAX(0,G16-H16))</f>
        <v/>
      </c>
      <c r="J16" s="248">
        <f>IF(B16="","",IFERROR(VLOOKUP(B16,'Goods Receipts'!$A:$Q,9,FALSE),0))</f>
        <v/>
      </c>
      <c r="K16" s="248">
        <f>IF(A16="","",I16*J16)</f>
        <v/>
      </c>
      <c r="L16">
        <f>IF(B16="","",IFERROR(VLOOKUP(B16,'Goods Receipts'!$A:$Q,11,FALSE),""))</f>
        <v/>
      </c>
      <c r="M16">
        <f>IF(E16="","",COUNTIFS($E$4:$E$53,E16,$D$4:$D$53,"&lt;="&amp;D16))</f>
        <v/>
      </c>
      <c r="N16">
        <f>IF(B16="","",B16)</f>
        <v/>
      </c>
      <c r="O16">
        <f>IF(A16="","",IF(H16&gt;G16,"ERROR - OVERALLOCATED",IF(I16=0,"CONSUMED",IF(L16&lt;&gt;"Released","HOLD","AVAILABLE"))))</f>
        <v/>
      </c>
    </row>
    <row r="17">
      <c r="C17">
        <f>IF(B17="","",IFERROR(VLOOKUP(B17,'Goods Receipts'!$A:$Q,2,FALSE),""))</f>
        <v/>
      </c>
      <c r="D17">
        <f>IF(B17="","",IFERROR(VLOOKUP(B17,'Goods Receipts'!$A:$Q,3,FALSE),""))</f>
        <v/>
      </c>
      <c r="E17">
        <f>IF(B17="","",IFERROR(VLOOKUP(B17,'Goods Receipts'!$A:$Q,4,FALSE),""))</f>
        <v/>
      </c>
      <c r="F17">
        <f>IF(B17="","",IFERROR(VLOOKUP(B17,'Goods Receipts'!$A:$Q,10,FALSE),""))</f>
        <v/>
      </c>
      <c r="G17">
        <f>IF(B17="","",IF(AND(IFERROR(VLOOKUP(B17,'Goods Receipts'!$A:$Q,12,FALSE),"")="Posted",IFERROR(VLOOKUP(B17,'Goods Receipts'!$A:$Q,11,FALSE),"")="Released"),IFERROR(VLOOKUP(B17,'Goods Receipts'!$A:$Q,6,FALSE),0),0))</f>
        <v/>
      </c>
      <c r="H17">
        <f>IF(A17="","",SUMIFS('FIFO Allocations'!$F:$F,'FIFO Allocations'!$E:$E,A17,'FIFO Allocations'!$J:$J,"Posted"))</f>
        <v/>
      </c>
      <c r="I17">
        <f>IF(A17="","",MAX(0,G17-H17))</f>
        <v/>
      </c>
      <c r="J17" s="248">
        <f>IF(B17="","",IFERROR(VLOOKUP(B17,'Goods Receipts'!$A:$Q,9,FALSE),0))</f>
        <v/>
      </c>
      <c r="K17" s="248">
        <f>IF(A17="","",I17*J17)</f>
        <v/>
      </c>
      <c r="L17">
        <f>IF(B17="","",IFERROR(VLOOKUP(B17,'Goods Receipts'!$A:$Q,11,FALSE),""))</f>
        <v/>
      </c>
      <c r="M17">
        <f>IF(E17="","",COUNTIFS($E$4:$E$53,E17,$D$4:$D$53,"&lt;="&amp;D17))</f>
        <v/>
      </c>
      <c r="N17">
        <f>IF(B17="","",B17)</f>
        <v/>
      </c>
      <c r="O17">
        <f>IF(A17="","",IF(H17&gt;G17,"ERROR - OVERALLOCATED",IF(I17=0,"CONSUMED",IF(L17&lt;&gt;"Released","HOLD","AVAILABLE"))))</f>
        <v/>
      </c>
    </row>
    <row r="18">
      <c r="C18">
        <f>IF(B18="","",IFERROR(VLOOKUP(B18,'Goods Receipts'!$A:$Q,2,FALSE),""))</f>
        <v/>
      </c>
      <c r="D18">
        <f>IF(B18="","",IFERROR(VLOOKUP(B18,'Goods Receipts'!$A:$Q,3,FALSE),""))</f>
        <v/>
      </c>
      <c r="E18">
        <f>IF(B18="","",IFERROR(VLOOKUP(B18,'Goods Receipts'!$A:$Q,4,FALSE),""))</f>
        <v/>
      </c>
      <c r="F18">
        <f>IF(B18="","",IFERROR(VLOOKUP(B18,'Goods Receipts'!$A:$Q,10,FALSE),""))</f>
        <v/>
      </c>
      <c r="G18">
        <f>IF(B18="","",IF(AND(IFERROR(VLOOKUP(B18,'Goods Receipts'!$A:$Q,12,FALSE),"")="Posted",IFERROR(VLOOKUP(B18,'Goods Receipts'!$A:$Q,11,FALSE),"")="Released"),IFERROR(VLOOKUP(B18,'Goods Receipts'!$A:$Q,6,FALSE),0),0))</f>
        <v/>
      </c>
      <c r="H18">
        <f>IF(A18="","",SUMIFS('FIFO Allocations'!$F:$F,'FIFO Allocations'!$E:$E,A18,'FIFO Allocations'!$J:$J,"Posted"))</f>
        <v/>
      </c>
      <c r="I18">
        <f>IF(A18="","",MAX(0,G18-H18))</f>
        <v/>
      </c>
      <c r="J18" s="248">
        <f>IF(B18="","",IFERROR(VLOOKUP(B18,'Goods Receipts'!$A:$Q,9,FALSE),0))</f>
        <v/>
      </c>
      <c r="K18" s="248">
        <f>IF(A18="","",I18*J18)</f>
        <v/>
      </c>
      <c r="L18">
        <f>IF(B18="","",IFERROR(VLOOKUP(B18,'Goods Receipts'!$A:$Q,11,FALSE),""))</f>
        <v/>
      </c>
      <c r="M18">
        <f>IF(E18="","",COUNTIFS($E$4:$E$53,E18,$D$4:$D$53,"&lt;="&amp;D18))</f>
        <v/>
      </c>
      <c r="N18">
        <f>IF(B18="","",B18)</f>
        <v/>
      </c>
      <c r="O18">
        <f>IF(A18="","",IF(H18&gt;G18,"ERROR - OVERALLOCATED",IF(I18=0,"CONSUMED",IF(L18&lt;&gt;"Released","HOLD","AVAILABLE"))))</f>
        <v/>
      </c>
    </row>
    <row r="19">
      <c r="C19">
        <f>IF(B19="","",IFERROR(VLOOKUP(B19,'Goods Receipts'!$A:$Q,2,FALSE),""))</f>
        <v/>
      </c>
      <c r="D19">
        <f>IF(B19="","",IFERROR(VLOOKUP(B19,'Goods Receipts'!$A:$Q,3,FALSE),""))</f>
        <v/>
      </c>
      <c r="E19">
        <f>IF(B19="","",IFERROR(VLOOKUP(B19,'Goods Receipts'!$A:$Q,4,FALSE),""))</f>
        <v/>
      </c>
      <c r="F19">
        <f>IF(B19="","",IFERROR(VLOOKUP(B19,'Goods Receipts'!$A:$Q,10,FALSE),""))</f>
        <v/>
      </c>
      <c r="G19">
        <f>IF(B19="","",IF(AND(IFERROR(VLOOKUP(B19,'Goods Receipts'!$A:$Q,12,FALSE),"")="Posted",IFERROR(VLOOKUP(B19,'Goods Receipts'!$A:$Q,11,FALSE),"")="Released"),IFERROR(VLOOKUP(B19,'Goods Receipts'!$A:$Q,6,FALSE),0),0))</f>
        <v/>
      </c>
      <c r="H19">
        <f>IF(A19="","",SUMIFS('FIFO Allocations'!$F:$F,'FIFO Allocations'!$E:$E,A19,'FIFO Allocations'!$J:$J,"Posted"))</f>
        <v/>
      </c>
      <c r="I19">
        <f>IF(A19="","",MAX(0,G19-H19))</f>
        <v/>
      </c>
      <c r="J19" s="248">
        <f>IF(B19="","",IFERROR(VLOOKUP(B19,'Goods Receipts'!$A:$Q,9,FALSE),0))</f>
        <v/>
      </c>
      <c r="K19" s="248">
        <f>IF(A19="","",I19*J19)</f>
        <v/>
      </c>
      <c r="L19">
        <f>IF(B19="","",IFERROR(VLOOKUP(B19,'Goods Receipts'!$A:$Q,11,FALSE),""))</f>
        <v/>
      </c>
      <c r="M19">
        <f>IF(E19="","",COUNTIFS($E$4:$E$53,E19,$D$4:$D$53,"&lt;="&amp;D19))</f>
        <v/>
      </c>
      <c r="N19">
        <f>IF(B19="","",B19)</f>
        <v/>
      </c>
      <c r="O19">
        <f>IF(A19="","",IF(H19&gt;G19,"ERROR - OVERALLOCATED",IF(I19=0,"CONSUMED",IF(L19&lt;&gt;"Released","HOLD","AVAILABLE"))))</f>
        <v/>
      </c>
    </row>
    <row r="20">
      <c r="C20">
        <f>IF(B20="","",IFERROR(VLOOKUP(B20,'Goods Receipts'!$A:$Q,2,FALSE),""))</f>
        <v/>
      </c>
      <c r="D20">
        <f>IF(B20="","",IFERROR(VLOOKUP(B20,'Goods Receipts'!$A:$Q,3,FALSE),""))</f>
        <v/>
      </c>
      <c r="E20">
        <f>IF(B20="","",IFERROR(VLOOKUP(B20,'Goods Receipts'!$A:$Q,4,FALSE),""))</f>
        <v/>
      </c>
      <c r="F20">
        <f>IF(B20="","",IFERROR(VLOOKUP(B20,'Goods Receipts'!$A:$Q,10,FALSE),""))</f>
        <v/>
      </c>
      <c r="G20">
        <f>IF(B20="","",IF(AND(IFERROR(VLOOKUP(B20,'Goods Receipts'!$A:$Q,12,FALSE),"")="Posted",IFERROR(VLOOKUP(B20,'Goods Receipts'!$A:$Q,11,FALSE),"")="Released"),IFERROR(VLOOKUP(B20,'Goods Receipts'!$A:$Q,6,FALSE),0),0))</f>
        <v/>
      </c>
      <c r="H20">
        <f>IF(A20="","",SUMIFS('FIFO Allocations'!$F:$F,'FIFO Allocations'!$E:$E,A20,'FIFO Allocations'!$J:$J,"Posted"))</f>
        <v/>
      </c>
      <c r="I20">
        <f>IF(A20="","",MAX(0,G20-H20))</f>
        <v/>
      </c>
      <c r="J20" s="248">
        <f>IF(B20="","",IFERROR(VLOOKUP(B20,'Goods Receipts'!$A:$Q,9,FALSE),0))</f>
        <v/>
      </c>
      <c r="K20" s="248">
        <f>IF(A20="","",I20*J20)</f>
        <v/>
      </c>
      <c r="L20">
        <f>IF(B20="","",IFERROR(VLOOKUP(B20,'Goods Receipts'!$A:$Q,11,FALSE),""))</f>
        <v/>
      </c>
      <c r="M20">
        <f>IF(E20="","",COUNTIFS($E$4:$E$53,E20,$D$4:$D$53,"&lt;="&amp;D20))</f>
        <v/>
      </c>
      <c r="N20">
        <f>IF(B20="","",B20)</f>
        <v/>
      </c>
      <c r="O20">
        <f>IF(A20="","",IF(H20&gt;G20,"ERROR - OVERALLOCATED",IF(I20=0,"CONSUMED",IF(L20&lt;&gt;"Released","HOLD","AVAILABLE"))))</f>
        <v/>
      </c>
    </row>
    <row r="21">
      <c r="C21">
        <f>IF(B21="","",IFERROR(VLOOKUP(B21,'Goods Receipts'!$A:$Q,2,FALSE),""))</f>
        <v/>
      </c>
      <c r="D21">
        <f>IF(B21="","",IFERROR(VLOOKUP(B21,'Goods Receipts'!$A:$Q,3,FALSE),""))</f>
        <v/>
      </c>
      <c r="E21">
        <f>IF(B21="","",IFERROR(VLOOKUP(B21,'Goods Receipts'!$A:$Q,4,FALSE),""))</f>
        <v/>
      </c>
      <c r="F21">
        <f>IF(B21="","",IFERROR(VLOOKUP(B21,'Goods Receipts'!$A:$Q,10,FALSE),""))</f>
        <v/>
      </c>
      <c r="G21">
        <f>IF(B21="","",IF(AND(IFERROR(VLOOKUP(B21,'Goods Receipts'!$A:$Q,12,FALSE),"")="Posted",IFERROR(VLOOKUP(B21,'Goods Receipts'!$A:$Q,11,FALSE),"")="Released"),IFERROR(VLOOKUP(B21,'Goods Receipts'!$A:$Q,6,FALSE),0),0))</f>
        <v/>
      </c>
      <c r="H21">
        <f>IF(A21="","",SUMIFS('FIFO Allocations'!$F:$F,'FIFO Allocations'!$E:$E,A21,'FIFO Allocations'!$J:$J,"Posted"))</f>
        <v/>
      </c>
      <c r="I21">
        <f>IF(A21="","",MAX(0,G21-H21))</f>
        <v/>
      </c>
      <c r="J21" s="248">
        <f>IF(B21="","",IFERROR(VLOOKUP(B21,'Goods Receipts'!$A:$Q,9,FALSE),0))</f>
        <v/>
      </c>
      <c r="K21" s="248">
        <f>IF(A21="","",I21*J21)</f>
        <v/>
      </c>
      <c r="L21">
        <f>IF(B21="","",IFERROR(VLOOKUP(B21,'Goods Receipts'!$A:$Q,11,FALSE),""))</f>
        <v/>
      </c>
      <c r="M21">
        <f>IF(E21="","",COUNTIFS($E$4:$E$53,E21,$D$4:$D$53,"&lt;="&amp;D21))</f>
        <v/>
      </c>
      <c r="N21">
        <f>IF(B21="","",B21)</f>
        <v/>
      </c>
      <c r="O21">
        <f>IF(A21="","",IF(H21&gt;G21,"ERROR - OVERALLOCATED",IF(I21=0,"CONSUMED",IF(L21&lt;&gt;"Released","HOLD","AVAILABLE"))))</f>
        <v/>
      </c>
    </row>
    <row r="22">
      <c r="C22">
        <f>IF(B22="","",IFERROR(VLOOKUP(B22,'Goods Receipts'!$A:$Q,2,FALSE),""))</f>
        <v/>
      </c>
      <c r="D22">
        <f>IF(B22="","",IFERROR(VLOOKUP(B22,'Goods Receipts'!$A:$Q,3,FALSE),""))</f>
        <v/>
      </c>
      <c r="E22">
        <f>IF(B22="","",IFERROR(VLOOKUP(B22,'Goods Receipts'!$A:$Q,4,FALSE),""))</f>
        <v/>
      </c>
      <c r="F22">
        <f>IF(B22="","",IFERROR(VLOOKUP(B22,'Goods Receipts'!$A:$Q,10,FALSE),""))</f>
        <v/>
      </c>
      <c r="G22">
        <f>IF(B22="","",IF(AND(IFERROR(VLOOKUP(B22,'Goods Receipts'!$A:$Q,12,FALSE),"")="Posted",IFERROR(VLOOKUP(B22,'Goods Receipts'!$A:$Q,11,FALSE),"")="Released"),IFERROR(VLOOKUP(B22,'Goods Receipts'!$A:$Q,6,FALSE),0),0))</f>
        <v/>
      </c>
      <c r="H22">
        <f>IF(A22="","",SUMIFS('FIFO Allocations'!$F:$F,'FIFO Allocations'!$E:$E,A22,'FIFO Allocations'!$J:$J,"Posted"))</f>
        <v/>
      </c>
      <c r="I22">
        <f>IF(A22="","",MAX(0,G22-H22))</f>
        <v/>
      </c>
      <c r="J22" s="248">
        <f>IF(B22="","",IFERROR(VLOOKUP(B22,'Goods Receipts'!$A:$Q,9,FALSE),0))</f>
        <v/>
      </c>
      <c r="K22" s="248">
        <f>IF(A22="","",I22*J22)</f>
        <v/>
      </c>
      <c r="L22">
        <f>IF(B22="","",IFERROR(VLOOKUP(B22,'Goods Receipts'!$A:$Q,11,FALSE),""))</f>
        <v/>
      </c>
      <c r="M22">
        <f>IF(E22="","",COUNTIFS($E$4:$E$53,E22,$D$4:$D$53,"&lt;="&amp;D22))</f>
        <v/>
      </c>
      <c r="N22">
        <f>IF(B22="","",B22)</f>
        <v/>
      </c>
      <c r="O22">
        <f>IF(A22="","",IF(H22&gt;G22,"ERROR - OVERALLOCATED",IF(I22=0,"CONSUMED",IF(L22&lt;&gt;"Released","HOLD","AVAILABLE"))))</f>
        <v/>
      </c>
    </row>
    <row r="23">
      <c r="C23">
        <f>IF(B23="","",IFERROR(VLOOKUP(B23,'Goods Receipts'!$A:$Q,2,FALSE),""))</f>
        <v/>
      </c>
      <c r="D23">
        <f>IF(B23="","",IFERROR(VLOOKUP(B23,'Goods Receipts'!$A:$Q,3,FALSE),""))</f>
        <v/>
      </c>
      <c r="E23">
        <f>IF(B23="","",IFERROR(VLOOKUP(B23,'Goods Receipts'!$A:$Q,4,FALSE),""))</f>
        <v/>
      </c>
      <c r="F23">
        <f>IF(B23="","",IFERROR(VLOOKUP(B23,'Goods Receipts'!$A:$Q,10,FALSE),""))</f>
        <v/>
      </c>
      <c r="G23">
        <f>IF(B23="","",IF(AND(IFERROR(VLOOKUP(B23,'Goods Receipts'!$A:$Q,12,FALSE),"")="Posted",IFERROR(VLOOKUP(B23,'Goods Receipts'!$A:$Q,11,FALSE),"")="Released"),IFERROR(VLOOKUP(B23,'Goods Receipts'!$A:$Q,6,FALSE),0),0))</f>
        <v/>
      </c>
      <c r="H23">
        <f>IF(A23="","",SUMIFS('FIFO Allocations'!$F:$F,'FIFO Allocations'!$E:$E,A23,'FIFO Allocations'!$J:$J,"Posted"))</f>
        <v/>
      </c>
      <c r="I23">
        <f>IF(A23="","",MAX(0,G23-H23))</f>
        <v/>
      </c>
      <c r="J23" s="248">
        <f>IF(B23="","",IFERROR(VLOOKUP(B23,'Goods Receipts'!$A:$Q,9,FALSE),0))</f>
        <v/>
      </c>
      <c r="K23" s="248">
        <f>IF(A23="","",I23*J23)</f>
        <v/>
      </c>
      <c r="L23">
        <f>IF(B23="","",IFERROR(VLOOKUP(B23,'Goods Receipts'!$A:$Q,11,FALSE),""))</f>
        <v/>
      </c>
      <c r="M23">
        <f>IF(E23="","",COUNTIFS($E$4:$E$53,E23,$D$4:$D$53,"&lt;="&amp;D23))</f>
        <v/>
      </c>
      <c r="N23">
        <f>IF(B23="","",B23)</f>
        <v/>
      </c>
      <c r="O23">
        <f>IF(A23="","",IF(H23&gt;G23,"ERROR - OVERALLOCATED",IF(I23=0,"CONSUMED",IF(L23&lt;&gt;"Released","HOLD","AVAILABLE"))))</f>
        <v/>
      </c>
    </row>
    <row r="24">
      <c r="C24">
        <f>IF(B24="","",IFERROR(VLOOKUP(B24,'Goods Receipts'!$A:$Q,2,FALSE),""))</f>
        <v/>
      </c>
      <c r="D24">
        <f>IF(B24="","",IFERROR(VLOOKUP(B24,'Goods Receipts'!$A:$Q,3,FALSE),""))</f>
        <v/>
      </c>
      <c r="E24">
        <f>IF(B24="","",IFERROR(VLOOKUP(B24,'Goods Receipts'!$A:$Q,4,FALSE),""))</f>
        <v/>
      </c>
      <c r="F24">
        <f>IF(B24="","",IFERROR(VLOOKUP(B24,'Goods Receipts'!$A:$Q,10,FALSE),""))</f>
        <v/>
      </c>
      <c r="G24">
        <f>IF(B24="","",IF(AND(IFERROR(VLOOKUP(B24,'Goods Receipts'!$A:$Q,12,FALSE),"")="Posted",IFERROR(VLOOKUP(B24,'Goods Receipts'!$A:$Q,11,FALSE),"")="Released"),IFERROR(VLOOKUP(B24,'Goods Receipts'!$A:$Q,6,FALSE),0),0))</f>
        <v/>
      </c>
      <c r="H24">
        <f>IF(A24="","",SUMIFS('FIFO Allocations'!$F:$F,'FIFO Allocations'!$E:$E,A24,'FIFO Allocations'!$J:$J,"Posted"))</f>
        <v/>
      </c>
      <c r="I24">
        <f>IF(A24="","",MAX(0,G24-H24))</f>
        <v/>
      </c>
      <c r="J24" s="248">
        <f>IF(B24="","",IFERROR(VLOOKUP(B24,'Goods Receipts'!$A:$Q,9,FALSE),0))</f>
        <v/>
      </c>
      <c r="K24" s="248">
        <f>IF(A24="","",I24*J24)</f>
        <v/>
      </c>
      <c r="L24">
        <f>IF(B24="","",IFERROR(VLOOKUP(B24,'Goods Receipts'!$A:$Q,11,FALSE),""))</f>
        <v/>
      </c>
      <c r="M24">
        <f>IF(E24="","",COUNTIFS($E$4:$E$53,E24,$D$4:$D$53,"&lt;="&amp;D24))</f>
        <v/>
      </c>
      <c r="N24">
        <f>IF(B24="","",B24)</f>
        <v/>
      </c>
      <c r="O24">
        <f>IF(A24="","",IF(H24&gt;G24,"ERROR - OVERALLOCATED",IF(I24=0,"CONSUMED",IF(L24&lt;&gt;"Released","HOLD","AVAILABLE"))))</f>
        <v/>
      </c>
    </row>
    <row r="25">
      <c r="C25">
        <f>IF(B25="","",IFERROR(VLOOKUP(B25,'Goods Receipts'!$A:$Q,2,FALSE),""))</f>
        <v/>
      </c>
      <c r="D25">
        <f>IF(B25="","",IFERROR(VLOOKUP(B25,'Goods Receipts'!$A:$Q,3,FALSE),""))</f>
        <v/>
      </c>
      <c r="E25">
        <f>IF(B25="","",IFERROR(VLOOKUP(B25,'Goods Receipts'!$A:$Q,4,FALSE),""))</f>
        <v/>
      </c>
      <c r="F25">
        <f>IF(B25="","",IFERROR(VLOOKUP(B25,'Goods Receipts'!$A:$Q,10,FALSE),""))</f>
        <v/>
      </c>
      <c r="G25">
        <f>IF(B25="","",IF(AND(IFERROR(VLOOKUP(B25,'Goods Receipts'!$A:$Q,12,FALSE),"")="Posted",IFERROR(VLOOKUP(B25,'Goods Receipts'!$A:$Q,11,FALSE),"")="Released"),IFERROR(VLOOKUP(B25,'Goods Receipts'!$A:$Q,6,FALSE),0),0))</f>
        <v/>
      </c>
      <c r="H25">
        <f>IF(A25="","",SUMIFS('FIFO Allocations'!$F:$F,'FIFO Allocations'!$E:$E,A25,'FIFO Allocations'!$J:$J,"Posted"))</f>
        <v/>
      </c>
      <c r="I25">
        <f>IF(A25="","",MAX(0,G25-H25))</f>
        <v/>
      </c>
      <c r="J25" s="248">
        <f>IF(B25="","",IFERROR(VLOOKUP(B25,'Goods Receipts'!$A:$Q,9,FALSE),0))</f>
        <v/>
      </c>
      <c r="K25" s="248">
        <f>IF(A25="","",I25*J25)</f>
        <v/>
      </c>
      <c r="L25">
        <f>IF(B25="","",IFERROR(VLOOKUP(B25,'Goods Receipts'!$A:$Q,11,FALSE),""))</f>
        <v/>
      </c>
      <c r="M25">
        <f>IF(E25="","",COUNTIFS($E$4:$E$53,E25,$D$4:$D$53,"&lt;="&amp;D25))</f>
        <v/>
      </c>
      <c r="N25">
        <f>IF(B25="","",B25)</f>
        <v/>
      </c>
      <c r="O25">
        <f>IF(A25="","",IF(H25&gt;G25,"ERROR - OVERALLOCATED",IF(I25=0,"CONSUMED",IF(L25&lt;&gt;"Released","HOLD","AVAILABLE"))))</f>
        <v/>
      </c>
    </row>
    <row r="26">
      <c r="C26">
        <f>IF(B26="","",IFERROR(VLOOKUP(B26,'Goods Receipts'!$A:$Q,2,FALSE),""))</f>
        <v/>
      </c>
      <c r="D26">
        <f>IF(B26="","",IFERROR(VLOOKUP(B26,'Goods Receipts'!$A:$Q,3,FALSE),""))</f>
        <v/>
      </c>
      <c r="E26">
        <f>IF(B26="","",IFERROR(VLOOKUP(B26,'Goods Receipts'!$A:$Q,4,FALSE),""))</f>
        <v/>
      </c>
      <c r="F26">
        <f>IF(B26="","",IFERROR(VLOOKUP(B26,'Goods Receipts'!$A:$Q,10,FALSE),""))</f>
        <v/>
      </c>
      <c r="G26">
        <f>IF(B26="","",IF(AND(IFERROR(VLOOKUP(B26,'Goods Receipts'!$A:$Q,12,FALSE),"")="Posted",IFERROR(VLOOKUP(B26,'Goods Receipts'!$A:$Q,11,FALSE),"")="Released"),IFERROR(VLOOKUP(B26,'Goods Receipts'!$A:$Q,6,FALSE),0),0))</f>
        <v/>
      </c>
      <c r="H26">
        <f>IF(A26="","",SUMIFS('FIFO Allocations'!$F:$F,'FIFO Allocations'!$E:$E,A26,'FIFO Allocations'!$J:$J,"Posted"))</f>
        <v/>
      </c>
      <c r="I26">
        <f>IF(A26="","",MAX(0,G26-H26))</f>
        <v/>
      </c>
      <c r="J26" s="248">
        <f>IF(B26="","",IFERROR(VLOOKUP(B26,'Goods Receipts'!$A:$Q,9,FALSE),0))</f>
        <v/>
      </c>
      <c r="K26" s="248">
        <f>IF(A26="","",I26*J26)</f>
        <v/>
      </c>
      <c r="L26">
        <f>IF(B26="","",IFERROR(VLOOKUP(B26,'Goods Receipts'!$A:$Q,11,FALSE),""))</f>
        <v/>
      </c>
      <c r="M26">
        <f>IF(E26="","",COUNTIFS($E$4:$E$53,E26,$D$4:$D$53,"&lt;="&amp;D26))</f>
        <v/>
      </c>
      <c r="N26">
        <f>IF(B26="","",B26)</f>
        <v/>
      </c>
      <c r="O26">
        <f>IF(A26="","",IF(H26&gt;G26,"ERROR - OVERALLOCATED",IF(I26=0,"CONSUMED",IF(L26&lt;&gt;"Released","HOLD","AVAILABLE"))))</f>
        <v/>
      </c>
    </row>
    <row r="27">
      <c r="C27">
        <f>IF(B27="","",IFERROR(VLOOKUP(B27,'Goods Receipts'!$A:$Q,2,FALSE),""))</f>
        <v/>
      </c>
      <c r="D27">
        <f>IF(B27="","",IFERROR(VLOOKUP(B27,'Goods Receipts'!$A:$Q,3,FALSE),""))</f>
        <v/>
      </c>
      <c r="E27">
        <f>IF(B27="","",IFERROR(VLOOKUP(B27,'Goods Receipts'!$A:$Q,4,FALSE),""))</f>
        <v/>
      </c>
      <c r="F27">
        <f>IF(B27="","",IFERROR(VLOOKUP(B27,'Goods Receipts'!$A:$Q,10,FALSE),""))</f>
        <v/>
      </c>
      <c r="G27">
        <f>IF(B27="","",IF(AND(IFERROR(VLOOKUP(B27,'Goods Receipts'!$A:$Q,12,FALSE),"")="Posted",IFERROR(VLOOKUP(B27,'Goods Receipts'!$A:$Q,11,FALSE),"")="Released"),IFERROR(VLOOKUP(B27,'Goods Receipts'!$A:$Q,6,FALSE),0),0))</f>
        <v/>
      </c>
      <c r="H27">
        <f>IF(A27="","",SUMIFS('FIFO Allocations'!$F:$F,'FIFO Allocations'!$E:$E,A27,'FIFO Allocations'!$J:$J,"Posted"))</f>
        <v/>
      </c>
      <c r="I27">
        <f>IF(A27="","",MAX(0,G27-H27))</f>
        <v/>
      </c>
      <c r="J27" s="248">
        <f>IF(B27="","",IFERROR(VLOOKUP(B27,'Goods Receipts'!$A:$Q,9,FALSE),0))</f>
        <v/>
      </c>
      <c r="K27" s="248">
        <f>IF(A27="","",I27*J27)</f>
        <v/>
      </c>
      <c r="L27">
        <f>IF(B27="","",IFERROR(VLOOKUP(B27,'Goods Receipts'!$A:$Q,11,FALSE),""))</f>
        <v/>
      </c>
      <c r="M27">
        <f>IF(E27="","",COUNTIFS($E$4:$E$53,E27,$D$4:$D$53,"&lt;="&amp;D27))</f>
        <v/>
      </c>
      <c r="N27">
        <f>IF(B27="","",B27)</f>
        <v/>
      </c>
      <c r="O27">
        <f>IF(A27="","",IF(H27&gt;G27,"ERROR - OVERALLOCATED",IF(I27=0,"CONSUMED",IF(L27&lt;&gt;"Released","HOLD","AVAILABLE"))))</f>
        <v/>
      </c>
    </row>
    <row r="28">
      <c r="C28">
        <f>IF(B28="","",IFERROR(VLOOKUP(B28,'Goods Receipts'!$A:$Q,2,FALSE),""))</f>
        <v/>
      </c>
      <c r="D28">
        <f>IF(B28="","",IFERROR(VLOOKUP(B28,'Goods Receipts'!$A:$Q,3,FALSE),""))</f>
        <v/>
      </c>
      <c r="E28">
        <f>IF(B28="","",IFERROR(VLOOKUP(B28,'Goods Receipts'!$A:$Q,4,FALSE),""))</f>
        <v/>
      </c>
      <c r="F28">
        <f>IF(B28="","",IFERROR(VLOOKUP(B28,'Goods Receipts'!$A:$Q,10,FALSE),""))</f>
        <v/>
      </c>
      <c r="G28">
        <f>IF(B28="","",IF(AND(IFERROR(VLOOKUP(B28,'Goods Receipts'!$A:$Q,12,FALSE),"")="Posted",IFERROR(VLOOKUP(B28,'Goods Receipts'!$A:$Q,11,FALSE),"")="Released"),IFERROR(VLOOKUP(B28,'Goods Receipts'!$A:$Q,6,FALSE),0),0))</f>
        <v/>
      </c>
      <c r="H28">
        <f>IF(A28="","",SUMIFS('FIFO Allocations'!$F:$F,'FIFO Allocations'!$E:$E,A28,'FIFO Allocations'!$J:$J,"Posted"))</f>
        <v/>
      </c>
      <c r="I28">
        <f>IF(A28="","",MAX(0,G28-H28))</f>
        <v/>
      </c>
      <c r="J28" s="248">
        <f>IF(B28="","",IFERROR(VLOOKUP(B28,'Goods Receipts'!$A:$Q,9,FALSE),0))</f>
        <v/>
      </c>
      <c r="K28" s="248">
        <f>IF(A28="","",I28*J28)</f>
        <v/>
      </c>
      <c r="L28">
        <f>IF(B28="","",IFERROR(VLOOKUP(B28,'Goods Receipts'!$A:$Q,11,FALSE),""))</f>
        <v/>
      </c>
      <c r="M28">
        <f>IF(E28="","",COUNTIFS($E$4:$E$53,E28,$D$4:$D$53,"&lt;="&amp;D28))</f>
        <v/>
      </c>
      <c r="N28">
        <f>IF(B28="","",B28)</f>
        <v/>
      </c>
      <c r="O28">
        <f>IF(A28="","",IF(H28&gt;G28,"ERROR - OVERALLOCATED",IF(I28=0,"CONSUMED",IF(L28&lt;&gt;"Released","HOLD","AVAILABLE"))))</f>
        <v/>
      </c>
    </row>
    <row r="29">
      <c r="C29">
        <f>IF(B29="","",IFERROR(VLOOKUP(B29,'Goods Receipts'!$A:$Q,2,FALSE),""))</f>
        <v/>
      </c>
      <c r="D29">
        <f>IF(B29="","",IFERROR(VLOOKUP(B29,'Goods Receipts'!$A:$Q,3,FALSE),""))</f>
        <v/>
      </c>
      <c r="E29">
        <f>IF(B29="","",IFERROR(VLOOKUP(B29,'Goods Receipts'!$A:$Q,4,FALSE),""))</f>
        <v/>
      </c>
      <c r="F29">
        <f>IF(B29="","",IFERROR(VLOOKUP(B29,'Goods Receipts'!$A:$Q,10,FALSE),""))</f>
        <v/>
      </c>
      <c r="G29">
        <f>IF(B29="","",IF(AND(IFERROR(VLOOKUP(B29,'Goods Receipts'!$A:$Q,12,FALSE),"")="Posted",IFERROR(VLOOKUP(B29,'Goods Receipts'!$A:$Q,11,FALSE),"")="Released"),IFERROR(VLOOKUP(B29,'Goods Receipts'!$A:$Q,6,FALSE),0),0))</f>
        <v/>
      </c>
      <c r="H29">
        <f>IF(A29="","",SUMIFS('FIFO Allocations'!$F:$F,'FIFO Allocations'!$E:$E,A29,'FIFO Allocations'!$J:$J,"Posted"))</f>
        <v/>
      </c>
      <c r="I29">
        <f>IF(A29="","",MAX(0,G29-H29))</f>
        <v/>
      </c>
      <c r="J29" s="248">
        <f>IF(B29="","",IFERROR(VLOOKUP(B29,'Goods Receipts'!$A:$Q,9,FALSE),0))</f>
        <v/>
      </c>
      <c r="K29" s="248">
        <f>IF(A29="","",I29*J29)</f>
        <v/>
      </c>
      <c r="L29">
        <f>IF(B29="","",IFERROR(VLOOKUP(B29,'Goods Receipts'!$A:$Q,11,FALSE),""))</f>
        <v/>
      </c>
      <c r="M29">
        <f>IF(E29="","",COUNTIFS($E$4:$E$53,E29,$D$4:$D$53,"&lt;="&amp;D29))</f>
        <v/>
      </c>
      <c r="N29">
        <f>IF(B29="","",B29)</f>
        <v/>
      </c>
      <c r="O29">
        <f>IF(A29="","",IF(H29&gt;G29,"ERROR - OVERALLOCATED",IF(I29=0,"CONSUMED",IF(L29&lt;&gt;"Released","HOLD","AVAILABLE"))))</f>
        <v/>
      </c>
    </row>
    <row r="30">
      <c r="C30">
        <f>IF(B30="","",IFERROR(VLOOKUP(B30,'Goods Receipts'!$A:$Q,2,FALSE),""))</f>
        <v/>
      </c>
      <c r="D30">
        <f>IF(B30="","",IFERROR(VLOOKUP(B30,'Goods Receipts'!$A:$Q,3,FALSE),""))</f>
        <v/>
      </c>
      <c r="E30">
        <f>IF(B30="","",IFERROR(VLOOKUP(B30,'Goods Receipts'!$A:$Q,4,FALSE),""))</f>
        <v/>
      </c>
      <c r="F30">
        <f>IF(B30="","",IFERROR(VLOOKUP(B30,'Goods Receipts'!$A:$Q,10,FALSE),""))</f>
        <v/>
      </c>
      <c r="G30">
        <f>IF(B30="","",IF(AND(IFERROR(VLOOKUP(B30,'Goods Receipts'!$A:$Q,12,FALSE),"")="Posted",IFERROR(VLOOKUP(B30,'Goods Receipts'!$A:$Q,11,FALSE),"")="Released"),IFERROR(VLOOKUP(B30,'Goods Receipts'!$A:$Q,6,FALSE),0),0))</f>
        <v/>
      </c>
      <c r="H30">
        <f>IF(A30="","",SUMIFS('FIFO Allocations'!$F:$F,'FIFO Allocations'!$E:$E,A30,'FIFO Allocations'!$J:$J,"Posted"))</f>
        <v/>
      </c>
      <c r="I30">
        <f>IF(A30="","",MAX(0,G30-H30))</f>
        <v/>
      </c>
      <c r="J30" s="248">
        <f>IF(B30="","",IFERROR(VLOOKUP(B30,'Goods Receipts'!$A:$Q,9,FALSE),0))</f>
        <v/>
      </c>
      <c r="K30" s="248">
        <f>IF(A30="","",I30*J30)</f>
        <v/>
      </c>
      <c r="L30">
        <f>IF(B30="","",IFERROR(VLOOKUP(B30,'Goods Receipts'!$A:$Q,11,FALSE),""))</f>
        <v/>
      </c>
      <c r="M30">
        <f>IF(E30="","",COUNTIFS($E$4:$E$53,E30,$D$4:$D$53,"&lt;="&amp;D30))</f>
        <v/>
      </c>
      <c r="N30">
        <f>IF(B30="","",B30)</f>
        <v/>
      </c>
      <c r="O30">
        <f>IF(A30="","",IF(H30&gt;G30,"ERROR - OVERALLOCATED",IF(I30=0,"CONSUMED",IF(L30&lt;&gt;"Released","HOLD","AVAILABLE"))))</f>
        <v/>
      </c>
    </row>
    <row r="31">
      <c r="C31">
        <f>IF(B31="","",IFERROR(VLOOKUP(B31,'Goods Receipts'!$A:$Q,2,FALSE),""))</f>
        <v/>
      </c>
      <c r="D31">
        <f>IF(B31="","",IFERROR(VLOOKUP(B31,'Goods Receipts'!$A:$Q,3,FALSE),""))</f>
        <v/>
      </c>
      <c r="E31">
        <f>IF(B31="","",IFERROR(VLOOKUP(B31,'Goods Receipts'!$A:$Q,4,FALSE),""))</f>
        <v/>
      </c>
      <c r="F31">
        <f>IF(B31="","",IFERROR(VLOOKUP(B31,'Goods Receipts'!$A:$Q,10,FALSE),""))</f>
        <v/>
      </c>
      <c r="G31">
        <f>IF(B31="","",IF(AND(IFERROR(VLOOKUP(B31,'Goods Receipts'!$A:$Q,12,FALSE),"")="Posted",IFERROR(VLOOKUP(B31,'Goods Receipts'!$A:$Q,11,FALSE),"")="Released"),IFERROR(VLOOKUP(B31,'Goods Receipts'!$A:$Q,6,FALSE),0),0))</f>
        <v/>
      </c>
      <c r="H31">
        <f>IF(A31="","",SUMIFS('FIFO Allocations'!$F:$F,'FIFO Allocations'!$E:$E,A31,'FIFO Allocations'!$J:$J,"Posted"))</f>
        <v/>
      </c>
      <c r="I31">
        <f>IF(A31="","",MAX(0,G31-H31))</f>
        <v/>
      </c>
      <c r="J31" s="248">
        <f>IF(B31="","",IFERROR(VLOOKUP(B31,'Goods Receipts'!$A:$Q,9,FALSE),0))</f>
        <v/>
      </c>
      <c r="K31" s="248">
        <f>IF(A31="","",I31*J31)</f>
        <v/>
      </c>
      <c r="L31">
        <f>IF(B31="","",IFERROR(VLOOKUP(B31,'Goods Receipts'!$A:$Q,11,FALSE),""))</f>
        <v/>
      </c>
      <c r="M31">
        <f>IF(E31="","",COUNTIFS($E$4:$E$53,E31,$D$4:$D$53,"&lt;="&amp;D31))</f>
        <v/>
      </c>
      <c r="N31">
        <f>IF(B31="","",B31)</f>
        <v/>
      </c>
      <c r="O31">
        <f>IF(A31="","",IF(H31&gt;G31,"ERROR - OVERALLOCATED",IF(I31=0,"CONSUMED",IF(L31&lt;&gt;"Released","HOLD","AVAILABLE"))))</f>
        <v/>
      </c>
    </row>
    <row r="32">
      <c r="C32">
        <f>IF(B32="","",IFERROR(VLOOKUP(B32,'Goods Receipts'!$A:$Q,2,FALSE),""))</f>
        <v/>
      </c>
      <c r="D32">
        <f>IF(B32="","",IFERROR(VLOOKUP(B32,'Goods Receipts'!$A:$Q,3,FALSE),""))</f>
        <v/>
      </c>
      <c r="E32">
        <f>IF(B32="","",IFERROR(VLOOKUP(B32,'Goods Receipts'!$A:$Q,4,FALSE),""))</f>
        <v/>
      </c>
      <c r="F32">
        <f>IF(B32="","",IFERROR(VLOOKUP(B32,'Goods Receipts'!$A:$Q,10,FALSE),""))</f>
        <v/>
      </c>
      <c r="G32">
        <f>IF(B32="","",IF(AND(IFERROR(VLOOKUP(B32,'Goods Receipts'!$A:$Q,12,FALSE),"")="Posted",IFERROR(VLOOKUP(B32,'Goods Receipts'!$A:$Q,11,FALSE),"")="Released"),IFERROR(VLOOKUP(B32,'Goods Receipts'!$A:$Q,6,FALSE),0),0))</f>
        <v/>
      </c>
      <c r="H32">
        <f>IF(A32="","",SUMIFS('FIFO Allocations'!$F:$F,'FIFO Allocations'!$E:$E,A32,'FIFO Allocations'!$J:$J,"Posted"))</f>
        <v/>
      </c>
      <c r="I32">
        <f>IF(A32="","",MAX(0,G32-H32))</f>
        <v/>
      </c>
      <c r="J32" s="248">
        <f>IF(B32="","",IFERROR(VLOOKUP(B32,'Goods Receipts'!$A:$Q,9,FALSE),0))</f>
        <v/>
      </c>
      <c r="K32" s="248">
        <f>IF(A32="","",I32*J32)</f>
        <v/>
      </c>
      <c r="L32">
        <f>IF(B32="","",IFERROR(VLOOKUP(B32,'Goods Receipts'!$A:$Q,11,FALSE),""))</f>
        <v/>
      </c>
      <c r="M32">
        <f>IF(E32="","",COUNTIFS($E$4:$E$53,E32,$D$4:$D$53,"&lt;="&amp;D32))</f>
        <v/>
      </c>
      <c r="N32">
        <f>IF(B32="","",B32)</f>
        <v/>
      </c>
      <c r="O32">
        <f>IF(A32="","",IF(H32&gt;G32,"ERROR - OVERALLOCATED",IF(I32=0,"CONSUMED",IF(L32&lt;&gt;"Released","HOLD","AVAILABLE"))))</f>
        <v/>
      </c>
    </row>
    <row r="33">
      <c r="C33">
        <f>IF(B33="","",IFERROR(VLOOKUP(B33,'Goods Receipts'!$A:$Q,2,FALSE),""))</f>
        <v/>
      </c>
      <c r="D33">
        <f>IF(B33="","",IFERROR(VLOOKUP(B33,'Goods Receipts'!$A:$Q,3,FALSE),""))</f>
        <v/>
      </c>
      <c r="E33">
        <f>IF(B33="","",IFERROR(VLOOKUP(B33,'Goods Receipts'!$A:$Q,4,FALSE),""))</f>
        <v/>
      </c>
      <c r="F33">
        <f>IF(B33="","",IFERROR(VLOOKUP(B33,'Goods Receipts'!$A:$Q,10,FALSE),""))</f>
        <v/>
      </c>
      <c r="G33">
        <f>IF(B33="","",IF(AND(IFERROR(VLOOKUP(B33,'Goods Receipts'!$A:$Q,12,FALSE),"")="Posted",IFERROR(VLOOKUP(B33,'Goods Receipts'!$A:$Q,11,FALSE),"")="Released"),IFERROR(VLOOKUP(B33,'Goods Receipts'!$A:$Q,6,FALSE),0),0))</f>
        <v/>
      </c>
      <c r="H33">
        <f>IF(A33="","",SUMIFS('FIFO Allocations'!$F:$F,'FIFO Allocations'!$E:$E,A33,'FIFO Allocations'!$J:$J,"Posted"))</f>
        <v/>
      </c>
      <c r="I33">
        <f>IF(A33="","",MAX(0,G33-H33))</f>
        <v/>
      </c>
      <c r="J33" s="248">
        <f>IF(B33="","",IFERROR(VLOOKUP(B33,'Goods Receipts'!$A:$Q,9,FALSE),0))</f>
        <v/>
      </c>
      <c r="K33" s="248">
        <f>IF(A33="","",I33*J33)</f>
        <v/>
      </c>
      <c r="L33">
        <f>IF(B33="","",IFERROR(VLOOKUP(B33,'Goods Receipts'!$A:$Q,11,FALSE),""))</f>
        <v/>
      </c>
      <c r="M33">
        <f>IF(E33="","",COUNTIFS($E$4:$E$53,E33,$D$4:$D$53,"&lt;="&amp;D33))</f>
        <v/>
      </c>
      <c r="N33">
        <f>IF(B33="","",B33)</f>
        <v/>
      </c>
      <c r="O33">
        <f>IF(A33="","",IF(H33&gt;G33,"ERROR - OVERALLOCATED",IF(I33=0,"CONSUMED",IF(L33&lt;&gt;"Released","HOLD","AVAILABLE"))))</f>
        <v/>
      </c>
    </row>
    <row r="34">
      <c r="C34">
        <f>IF(B34="","",IFERROR(VLOOKUP(B34,'Goods Receipts'!$A:$Q,2,FALSE),""))</f>
        <v/>
      </c>
      <c r="D34">
        <f>IF(B34="","",IFERROR(VLOOKUP(B34,'Goods Receipts'!$A:$Q,3,FALSE),""))</f>
        <v/>
      </c>
      <c r="E34">
        <f>IF(B34="","",IFERROR(VLOOKUP(B34,'Goods Receipts'!$A:$Q,4,FALSE),""))</f>
        <v/>
      </c>
      <c r="F34">
        <f>IF(B34="","",IFERROR(VLOOKUP(B34,'Goods Receipts'!$A:$Q,10,FALSE),""))</f>
        <v/>
      </c>
      <c r="G34">
        <f>IF(B34="","",IF(AND(IFERROR(VLOOKUP(B34,'Goods Receipts'!$A:$Q,12,FALSE),"")="Posted",IFERROR(VLOOKUP(B34,'Goods Receipts'!$A:$Q,11,FALSE),"")="Released"),IFERROR(VLOOKUP(B34,'Goods Receipts'!$A:$Q,6,FALSE),0),0))</f>
        <v/>
      </c>
      <c r="H34">
        <f>IF(A34="","",SUMIFS('FIFO Allocations'!$F:$F,'FIFO Allocations'!$E:$E,A34,'FIFO Allocations'!$J:$J,"Posted"))</f>
        <v/>
      </c>
      <c r="I34">
        <f>IF(A34="","",MAX(0,G34-H34))</f>
        <v/>
      </c>
      <c r="J34" s="248">
        <f>IF(B34="","",IFERROR(VLOOKUP(B34,'Goods Receipts'!$A:$Q,9,FALSE),0))</f>
        <v/>
      </c>
      <c r="K34" s="248">
        <f>IF(A34="","",I34*J34)</f>
        <v/>
      </c>
      <c r="L34">
        <f>IF(B34="","",IFERROR(VLOOKUP(B34,'Goods Receipts'!$A:$Q,11,FALSE),""))</f>
        <v/>
      </c>
      <c r="M34">
        <f>IF(E34="","",COUNTIFS($E$4:$E$53,E34,$D$4:$D$53,"&lt;="&amp;D34))</f>
        <v/>
      </c>
      <c r="N34">
        <f>IF(B34="","",B34)</f>
        <v/>
      </c>
      <c r="O34">
        <f>IF(A34="","",IF(H34&gt;G34,"ERROR - OVERALLOCATED",IF(I34=0,"CONSUMED",IF(L34&lt;&gt;"Released","HOLD","AVAILABLE"))))</f>
        <v/>
      </c>
    </row>
    <row r="35">
      <c r="C35">
        <f>IF(B35="","",IFERROR(VLOOKUP(B35,'Goods Receipts'!$A:$Q,2,FALSE),""))</f>
        <v/>
      </c>
      <c r="D35">
        <f>IF(B35="","",IFERROR(VLOOKUP(B35,'Goods Receipts'!$A:$Q,3,FALSE),""))</f>
        <v/>
      </c>
      <c r="E35">
        <f>IF(B35="","",IFERROR(VLOOKUP(B35,'Goods Receipts'!$A:$Q,4,FALSE),""))</f>
        <v/>
      </c>
      <c r="F35">
        <f>IF(B35="","",IFERROR(VLOOKUP(B35,'Goods Receipts'!$A:$Q,10,FALSE),""))</f>
        <v/>
      </c>
      <c r="G35">
        <f>IF(B35="","",IF(AND(IFERROR(VLOOKUP(B35,'Goods Receipts'!$A:$Q,12,FALSE),"")="Posted",IFERROR(VLOOKUP(B35,'Goods Receipts'!$A:$Q,11,FALSE),"")="Released"),IFERROR(VLOOKUP(B35,'Goods Receipts'!$A:$Q,6,FALSE),0),0))</f>
        <v/>
      </c>
      <c r="H35">
        <f>IF(A35="","",SUMIFS('FIFO Allocations'!$F:$F,'FIFO Allocations'!$E:$E,A35,'FIFO Allocations'!$J:$J,"Posted"))</f>
        <v/>
      </c>
      <c r="I35">
        <f>IF(A35="","",MAX(0,G35-H35))</f>
        <v/>
      </c>
      <c r="J35" s="248">
        <f>IF(B35="","",IFERROR(VLOOKUP(B35,'Goods Receipts'!$A:$Q,9,FALSE),0))</f>
        <v/>
      </c>
      <c r="K35" s="248">
        <f>IF(A35="","",I35*J35)</f>
        <v/>
      </c>
      <c r="L35">
        <f>IF(B35="","",IFERROR(VLOOKUP(B35,'Goods Receipts'!$A:$Q,11,FALSE),""))</f>
        <v/>
      </c>
      <c r="M35">
        <f>IF(E35="","",COUNTIFS($E$4:$E$53,E35,$D$4:$D$53,"&lt;="&amp;D35))</f>
        <v/>
      </c>
      <c r="N35">
        <f>IF(B35="","",B35)</f>
        <v/>
      </c>
      <c r="O35">
        <f>IF(A35="","",IF(H35&gt;G35,"ERROR - OVERALLOCATED",IF(I35=0,"CONSUMED",IF(L35&lt;&gt;"Released","HOLD","AVAILABLE"))))</f>
        <v/>
      </c>
    </row>
    <row r="36">
      <c r="C36">
        <f>IF(B36="","",IFERROR(VLOOKUP(B36,'Goods Receipts'!$A:$Q,2,FALSE),""))</f>
        <v/>
      </c>
      <c r="D36">
        <f>IF(B36="","",IFERROR(VLOOKUP(B36,'Goods Receipts'!$A:$Q,3,FALSE),""))</f>
        <v/>
      </c>
      <c r="E36">
        <f>IF(B36="","",IFERROR(VLOOKUP(B36,'Goods Receipts'!$A:$Q,4,FALSE),""))</f>
        <v/>
      </c>
      <c r="F36">
        <f>IF(B36="","",IFERROR(VLOOKUP(B36,'Goods Receipts'!$A:$Q,10,FALSE),""))</f>
        <v/>
      </c>
      <c r="G36">
        <f>IF(B36="","",IF(AND(IFERROR(VLOOKUP(B36,'Goods Receipts'!$A:$Q,12,FALSE),"")="Posted",IFERROR(VLOOKUP(B36,'Goods Receipts'!$A:$Q,11,FALSE),"")="Released"),IFERROR(VLOOKUP(B36,'Goods Receipts'!$A:$Q,6,FALSE),0),0))</f>
        <v/>
      </c>
      <c r="H36">
        <f>IF(A36="","",SUMIFS('FIFO Allocations'!$F:$F,'FIFO Allocations'!$E:$E,A36,'FIFO Allocations'!$J:$J,"Posted"))</f>
        <v/>
      </c>
      <c r="I36">
        <f>IF(A36="","",MAX(0,G36-H36))</f>
        <v/>
      </c>
      <c r="J36" s="248">
        <f>IF(B36="","",IFERROR(VLOOKUP(B36,'Goods Receipts'!$A:$Q,9,FALSE),0))</f>
        <v/>
      </c>
      <c r="K36" s="248">
        <f>IF(A36="","",I36*J36)</f>
        <v/>
      </c>
      <c r="L36">
        <f>IF(B36="","",IFERROR(VLOOKUP(B36,'Goods Receipts'!$A:$Q,11,FALSE),""))</f>
        <v/>
      </c>
      <c r="M36">
        <f>IF(E36="","",COUNTIFS($E$4:$E$53,E36,$D$4:$D$53,"&lt;="&amp;D36))</f>
        <v/>
      </c>
      <c r="N36">
        <f>IF(B36="","",B36)</f>
        <v/>
      </c>
      <c r="O36">
        <f>IF(A36="","",IF(H36&gt;G36,"ERROR - OVERALLOCATED",IF(I36=0,"CONSUMED",IF(L36&lt;&gt;"Released","HOLD","AVAILABLE"))))</f>
        <v/>
      </c>
    </row>
    <row r="37">
      <c r="C37">
        <f>IF(B37="","",IFERROR(VLOOKUP(B37,'Goods Receipts'!$A:$Q,2,FALSE),""))</f>
        <v/>
      </c>
      <c r="D37">
        <f>IF(B37="","",IFERROR(VLOOKUP(B37,'Goods Receipts'!$A:$Q,3,FALSE),""))</f>
        <v/>
      </c>
      <c r="E37">
        <f>IF(B37="","",IFERROR(VLOOKUP(B37,'Goods Receipts'!$A:$Q,4,FALSE),""))</f>
        <v/>
      </c>
      <c r="F37">
        <f>IF(B37="","",IFERROR(VLOOKUP(B37,'Goods Receipts'!$A:$Q,10,FALSE),""))</f>
        <v/>
      </c>
      <c r="G37">
        <f>IF(B37="","",IF(AND(IFERROR(VLOOKUP(B37,'Goods Receipts'!$A:$Q,12,FALSE),"")="Posted",IFERROR(VLOOKUP(B37,'Goods Receipts'!$A:$Q,11,FALSE),"")="Released"),IFERROR(VLOOKUP(B37,'Goods Receipts'!$A:$Q,6,FALSE),0),0))</f>
        <v/>
      </c>
      <c r="H37">
        <f>IF(A37="","",SUMIFS('FIFO Allocations'!$F:$F,'FIFO Allocations'!$E:$E,A37,'FIFO Allocations'!$J:$J,"Posted"))</f>
        <v/>
      </c>
      <c r="I37">
        <f>IF(A37="","",MAX(0,G37-H37))</f>
        <v/>
      </c>
      <c r="J37" s="248">
        <f>IF(B37="","",IFERROR(VLOOKUP(B37,'Goods Receipts'!$A:$Q,9,FALSE),0))</f>
        <v/>
      </c>
      <c r="K37" s="248">
        <f>IF(A37="","",I37*J37)</f>
        <v/>
      </c>
      <c r="L37">
        <f>IF(B37="","",IFERROR(VLOOKUP(B37,'Goods Receipts'!$A:$Q,11,FALSE),""))</f>
        <v/>
      </c>
      <c r="M37">
        <f>IF(E37="","",COUNTIFS($E$4:$E$53,E37,$D$4:$D$53,"&lt;="&amp;D37))</f>
        <v/>
      </c>
      <c r="N37">
        <f>IF(B37="","",B37)</f>
        <v/>
      </c>
      <c r="O37">
        <f>IF(A37="","",IF(H37&gt;G37,"ERROR - OVERALLOCATED",IF(I37=0,"CONSUMED",IF(L37&lt;&gt;"Released","HOLD","AVAILABLE"))))</f>
        <v/>
      </c>
    </row>
    <row r="38">
      <c r="C38">
        <f>IF(B38="","",IFERROR(VLOOKUP(B38,'Goods Receipts'!$A:$Q,2,FALSE),""))</f>
        <v/>
      </c>
      <c r="D38">
        <f>IF(B38="","",IFERROR(VLOOKUP(B38,'Goods Receipts'!$A:$Q,3,FALSE),""))</f>
        <v/>
      </c>
      <c r="E38">
        <f>IF(B38="","",IFERROR(VLOOKUP(B38,'Goods Receipts'!$A:$Q,4,FALSE),""))</f>
        <v/>
      </c>
      <c r="F38">
        <f>IF(B38="","",IFERROR(VLOOKUP(B38,'Goods Receipts'!$A:$Q,10,FALSE),""))</f>
        <v/>
      </c>
      <c r="G38">
        <f>IF(B38="","",IF(AND(IFERROR(VLOOKUP(B38,'Goods Receipts'!$A:$Q,12,FALSE),"")="Posted",IFERROR(VLOOKUP(B38,'Goods Receipts'!$A:$Q,11,FALSE),"")="Released"),IFERROR(VLOOKUP(B38,'Goods Receipts'!$A:$Q,6,FALSE),0),0))</f>
        <v/>
      </c>
      <c r="H38">
        <f>IF(A38="","",SUMIFS('FIFO Allocations'!$F:$F,'FIFO Allocations'!$E:$E,A38,'FIFO Allocations'!$J:$J,"Posted"))</f>
        <v/>
      </c>
      <c r="I38">
        <f>IF(A38="","",MAX(0,G38-H38))</f>
        <v/>
      </c>
      <c r="J38" s="248">
        <f>IF(B38="","",IFERROR(VLOOKUP(B38,'Goods Receipts'!$A:$Q,9,FALSE),0))</f>
        <v/>
      </c>
      <c r="K38" s="248">
        <f>IF(A38="","",I38*J38)</f>
        <v/>
      </c>
      <c r="L38">
        <f>IF(B38="","",IFERROR(VLOOKUP(B38,'Goods Receipts'!$A:$Q,11,FALSE),""))</f>
        <v/>
      </c>
      <c r="M38">
        <f>IF(E38="","",COUNTIFS($E$4:$E$53,E38,$D$4:$D$53,"&lt;="&amp;D38))</f>
        <v/>
      </c>
      <c r="N38">
        <f>IF(B38="","",B38)</f>
        <v/>
      </c>
      <c r="O38">
        <f>IF(A38="","",IF(H38&gt;G38,"ERROR - OVERALLOCATED",IF(I38=0,"CONSUMED",IF(L38&lt;&gt;"Released","HOLD","AVAILABLE"))))</f>
        <v/>
      </c>
    </row>
    <row r="39">
      <c r="C39">
        <f>IF(B39="","",IFERROR(VLOOKUP(B39,'Goods Receipts'!$A:$Q,2,FALSE),""))</f>
        <v/>
      </c>
      <c r="D39">
        <f>IF(B39="","",IFERROR(VLOOKUP(B39,'Goods Receipts'!$A:$Q,3,FALSE),""))</f>
        <v/>
      </c>
      <c r="E39">
        <f>IF(B39="","",IFERROR(VLOOKUP(B39,'Goods Receipts'!$A:$Q,4,FALSE),""))</f>
        <v/>
      </c>
      <c r="F39">
        <f>IF(B39="","",IFERROR(VLOOKUP(B39,'Goods Receipts'!$A:$Q,10,FALSE),""))</f>
        <v/>
      </c>
      <c r="G39">
        <f>IF(B39="","",IF(AND(IFERROR(VLOOKUP(B39,'Goods Receipts'!$A:$Q,12,FALSE),"")="Posted",IFERROR(VLOOKUP(B39,'Goods Receipts'!$A:$Q,11,FALSE),"")="Released"),IFERROR(VLOOKUP(B39,'Goods Receipts'!$A:$Q,6,FALSE),0),0))</f>
        <v/>
      </c>
      <c r="H39">
        <f>IF(A39="","",SUMIFS('FIFO Allocations'!$F:$F,'FIFO Allocations'!$E:$E,A39,'FIFO Allocations'!$J:$J,"Posted"))</f>
        <v/>
      </c>
      <c r="I39">
        <f>IF(A39="","",MAX(0,G39-H39))</f>
        <v/>
      </c>
      <c r="J39" s="248">
        <f>IF(B39="","",IFERROR(VLOOKUP(B39,'Goods Receipts'!$A:$Q,9,FALSE),0))</f>
        <v/>
      </c>
      <c r="K39" s="248">
        <f>IF(A39="","",I39*J39)</f>
        <v/>
      </c>
      <c r="L39">
        <f>IF(B39="","",IFERROR(VLOOKUP(B39,'Goods Receipts'!$A:$Q,11,FALSE),""))</f>
        <v/>
      </c>
      <c r="M39">
        <f>IF(E39="","",COUNTIFS($E$4:$E$53,E39,$D$4:$D$53,"&lt;="&amp;D39))</f>
        <v/>
      </c>
      <c r="N39">
        <f>IF(B39="","",B39)</f>
        <v/>
      </c>
      <c r="O39">
        <f>IF(A39="","",IF(H39&gt;G39,"ERROR - OVERALLOCATED",IF(I39=0,"CONSUMED",IF(L39&lt;&gt;"Released","HOLD","AVAILABLE"))))</f>
        <v/>
      </c>
    </row>
    <row r="40">
      <c r="C40">
        <f>IF(B40="","",IFERROR(VLOOKUP(B40,'Goods Receipts'!$A:$Q,2,FALSE),""))</f>
        <v/>
      </c>
      <c r="D40">
        <f>IF(B40="","",IFERROR(VLOOKUP(B40,'Goods Receipts'!$A:$Q,3,FALSE),""))</f>
        <v/>
      </c>
      <c r="E40">
        <f>IF(B40="","",IFERROR(VLOOKUP(B40,'Goods Receipts'!$A:$Q,4,FALSE),""))</f>
        <v/>
      </c>
      <c r="F40">
        <f>IF(B40="","",IFERROR(VLOOKUP(B40,'Goods Receipts'!$A:$Q,10,FALSE),""))</f>
        <v/>
      </c>
      <c r="G40">
        <f>IF(B40="","",IF(AND(IFERROR(VLOOKUP(B40,'Goods Receipts'!$A:$Q,12,FALSE),"")="Posted",IFERROR(VLOOKUP(B40,'Goods Receipts'!$A:$Q,11,FALSE),"")="Released"),IFERROR(VLOOKUP(B40,'Goods Receipts'!$A:$Q,6,FALSE),0),0))</f>
        <v/>
      </c>
      <c r="H40">
        <f>IF(A40="","",SUMIFS('FIFO Allocations'!$F:$F,'FIFO Allocations'!$E:$E,A40,'FIFO Allocations'!$J:$J,"Posted"))</f>
        <v/>
      </c>
      <c r="I40">
        <f>IF(A40="","",MAX(0,G40-H40))</f>
        <v/>
      </c>
      <c r="J40" s="248">
        <f>IF(B40="","",IFERROR(VLOOKUP(B40,'Goods Receipts'!$A:$Q,9,FALSE),0))</f>
        <v/>
      </c>
      <c r="K40" s="248">
        <f>IF(A40="","",I40*J40)</f>
        <v/>
      </c>
      <c r="L40">
        <f>IF(B40="","",IFERROR(VLOOKUP(B40,'Goods Receipts'!$A:$Q,11,FALSE),""))</f>
        <v/>
      </c>
      <c r="M40">
        <f>IF(E40="","",COUNTIFS($E$4:$E$53,E40,$D$4:$D$53,"&lt;="&amp;D40))</f>
        <v/>
      </c>
      <c r="N40">
        <f>IF(B40="","",B40)</f>
        <v/>
      </c>
      <c r="O40">
        <f>IF(A40="","",IF(H40&gt;G40,"ERROR - OVERALLOCATED",IF(I40=0,"CONSUMED",IF(L40&lt;&gt;"Released","HOLD","AVAILABLE"))))</f>
        <v/>
      </c>
    </row>
    <row r="41">
      <c r="C41">
        <f>IF(B41="","",IFERROR(VLOOKUP(B41,'Goods Receipts'!$A:$Q,2,FALSE),""))</f>
        <v/>
      </c>
      <c r="D41">
        <f>IF(B41="","",IFERROR(VLOOKUP(B41,'Goods Receipts'!$A:$Q,3,FALSE),""))</f>
        <v/>
      </c>
      <c r="E41">
        <f>IF(B41="","",IFERROR(VLOOKUP(B41,'Goods Receipts'!$A:$Q,4,FALSE),""))</f>
        <v/>
      </c>
      <c r="F41">
        <f>IF(B41="","",IFERROR(VLOOKUP(B41,'Goods Receipts'!$A:$Q,10,FALSE),""))</f>
        <v/>
      </c>
      <c r="G41">
        <f>IF(B41="","",IF(AND(IFERROR(VLOOKUP(B41,'Goods Receipts'!$A:$Q,12,FALSE),"")="Posted",IFERROR(VLOOKUP(B41,'Goods Receipts'!$A:$Q,11,FALSE),"")="Released"),IFERROR(VLOOKUP(B41,'Goods Receipts'!$A:$Q,6,FALSE),0),0))</f>
        <v/>
      </c>
      <c r="H41">
        <f>IF(A41="","",SUMIFS('FIFO Allocations'!$F:$F,'FIFO Allocations'!$E:$E,A41,'FIFO Allocations'!$J:$J,"Posted"))</f>
        <v/>
      </c>
      <c r="I41">
        <f>IF(A41="","",MAX(0,G41-H41))</f>
        <v/>
      </c>
      <c r="J41" s="248">
        <f>IF(B41="","",IFERROR(VLOOKUP(B41,'Goods Receipts'!$A:$Q,9,FALSE),0))</f>
        <v/>
      </c>
      <c r="K41" s="248">
        <f>IF(A41="","",I41*J41)</f>
        <v/>
      </c>
      <c r="L41">
        <f>IF(B41="","",IFERROR(VLOOKUP(B41,'Goods Receipts'!$A:$Q,11,FALSE),""))</f>
        <v/>
      </c>
      <c r="M41">
        <f>IF(E41="","",COUNTIFS($E$4:$E$53,E41,$D$4:$D$53,"&lt;="&amp;D41))</f>
        <v/>
      </c>
      <c r="N41">
        <f>IF(B41="","",B41)</f>
        <v/>
      </c>
      <c r="O41">
        <f>IF(A41="","",IF(H41&gt;G41,"ERROR - OVERALLOCATED",IF(I41=0,"CONSUMED",IF(L41&lt;&gt;"Released","HOLD","AVAILABLE"))))</f>
        <v/>
      </c>
    </row>
    <row r="42">
      <c r="C42">
        <f>IF(B42="","",IFERROR(VLOOKUP(B42,'Goods Receipts'!$A:$Q,2,FALSE),""))</f>
        <v/>
      </c>
      <c r="D42">
        <f>IF(B42="","",IFERROR(VLOOKUP(B42,'Goods Receipts'!$A:$Q,3,FALSE),""))</f>
        <v/>
      </c>
      <c r="E42">
        <f>IF(B42="","",IFERROR(VLOOKUP(B42,'Goods Receipts'!$A:$Q,4,FALSE),""))</f>
        <v/>
      </c>
      <c r="F42">
        <f>IF(B42="","",IFERROR(VLOOKUP(B42,'Goods Receipts'!$A:$Q,10,FALSE),""))</f>
        <v/>
      </c>
      <c r="G42">
        <f>IF(B42="","",IF(AND(IFERROR(VLOOKUP(B42,'Goods Receipts'!$A:$Q,12,FALSE),"")="Posted",IFERROR(VLOOKUP(B42,'Goods Receipts'!$A:$Q,11,FALSE),"")="Released"),IFERROR(VLOOKUP(B42,'Goods Receipts'!$A:$Q,6,FALSE),0),0))</f>
        <v/>
      </c>
      <c r="H42">
        <f>IF(A42="","",SUMIFS('FIFO Allocations'!$F:$F,'FIFO Allocations'!$E:$E,A42,'FIFO Allocations'!$J:$J,"Posted"))</f>
        <v/>
      </c>
      <c r="I42">
        <f>IF(A42="","",MAX(0,G42-H42))</f>
        <v/>
      </c>
      <c r="J42" s="248">
        <f>IF(B42="","",IFERROR(VLOOKUP(B42,'Goods Receipts'!$A:$Q,9,FALSE),0))</f>
        <v/>
      </c>
      <c r="K42" s="248">
        <f>IF(A42="","",I42*J42)</f>
        <v/>
      </c>
      <c r="L42">
        <f>IF(B42="","",IFERROR(VLOOKUP(B42,'Goods Receipts'!$A:$Q,11,FALSE),""))</f>
        <v/>
      </c>
      <c r="M42">
        <f>IF(E42="","",COUNTIFS($E$4:$E$53,E42,$D$4:$D$53,"&lt;="&amp;D42))</f>
        <v/>
      </c>
      <c r="N42">
        <f>IF(B42="","",B42)</f>
        <v/>
      </c>
      <c r="O42">
        <f>IF(A42="","",IF(H42&gt;G42,"ERROR - OVERALLOCATED",IF(I42=0,"CONSUMED",IF(L42&lt;&gt;"Released","HOLD","AVAILABLE"))))</f>
        <v/>
      </c>
    </row>
    <row r="43">
      <c r="C43">
        <f>IF(B43="","",IFERROR(VLOOKUP(B43,'Goods Receipts'!$A:$Q,2,FALSE),""))</f>
        <v/>
      </c>
      <c r="D43">
        <f>IF(B43="","",IFERROR(VLOOKUP(B43,'Goods Receipts'!$A:$Q,3,FALSE),""))</f>
        <v/>
      </c>
      <c r="E43">
        <f>IF(B43="","",IFERROR(VLOOKUP(B43,'Goods Receipts'!$A:$Q,4,FALSE),""))</f>
        <v/>
      </c>
      <c r="F43">
        <f>IF(B43="","",IFERROR(VLOOKUP(B43,'Goods Receipts'!$A:$Q,10,FALSE),""))</f>
        <v/>
      </c>
      <c r="G43">
        <f>IF(B43="","",IF(AND(IFERROR(VLOOKUP(B43,'Goods Receipts'!$A:$Q,12,FALSE),"")="Posted",IFERROR(VLOOKUP(B43,'Goods Receipts'!$A:$Q,11,FALSE),"")="Released"),IFERROR(VLOOKUP(B43,'Goods Receipts'!$A:$Q,6,FALSE),0),0))</f>
        <v/>
      </c>
      <c r="H43">
        <f>IF(A43="","",SUMIFS('FIFO Allocations'!$F:$F,'FIFO Allocations'!$E:$E,A43,'FIFO Allocations'!$J:$J,"Posted"))</f>
        <v/>
      </c>
      <c r="I43">
        <f>IF(A43="","",MAX(0,G43-H43))</f>
        <v/>
      </c>
      <c r="J43" s="248">
        <f>IF(B43="","",IFERROR(VLOOKUP(B43,'Goods Receipts'!$A:$Q,9,FALSE),0))</f>
        <v/>
      </c>
      <c r="K43" s="248">
        <f>IF(A43="","",I43*J43)</f>
        <v/>
      </c>
      <c r="L43">
        <f>IF(B43="","",IFERROR(VLOOKUP(B43,'Goods Receipts'!$A:$Q,11,FALSE),""))</f>
        <v/>
      </c>
      <c r="M43">
        <f>IF(E43="","",COUNTIFS($E$4:$E$53,E43,$D$4:$D$53,"&lt;="&amp;D43))</f>
        <v/>
      </c>
      <c r="N43">
        <f>IF(B43="","",B43)</f>
        <v/>
      </c>
      <c r="O43">
        <f>IF(A43="","",IF(H43&gt;G43,"ERROR - OVERALLOCATED",IF(I43=0,"CONSUMED",IF(L43&lt;&gt;"Released","HOLD","AVAILABLE"))))</f>
        <v/>
      </c>
    </row>
    <row r="44">
      <c r="C44">
        <f>IF(B44="","",IFERROR(VLOOKUP(B44,'Goods Receipts'!$A:$Q,2,FALSE),""))</f>
        <v/>
      </c>
      <c r="D44">
        <f>IF(B44="","",IFERROR(VLOOKUP(B44,'Goods Receipts'!$A:$Q,3,FALSE),""))</f>
        <v/>
      </c>
      <c r="E44">
        <f>IF(B44="","",IFERROR(VLOOKUP(B44,'Goods Receipts'!$A:$Q,4,FALSE),""))</f>
        <v/>
      </c>
      <c r="F44">
        <f>IF(B44="","",IFERROR(VLOOKUP(B44,'Goods Receipts'!$A:$Q,10,FALSE),""))</f>
        <v/>
      </c>
      <c r="G44">
        <f>IF(B44="","",IF(AND(IFERROR(VLOOKUP(B44,'Goods Receipts'!$A:$Q,12,FALSE),"")="Posted",IFERROR(VLOOKUP(B44,'Goods Receipts'!$A:$Q,11,FALSE),"")="Released"),IFERROR(VLOOKUP(B44,'Goods Receipts'!$A:$Q,6,FALSE),0),0))</f>
        <v/>
      </c>
      <c r="H44">
        <f>IF(A44="","",SUMIFS('FIFO Allocations'!$F:$F,'FIFO Allocations'!$E:$E,A44,'FIFO Allocations'!$J:$J,"Posted"))</f>
        <v/>
      </c>
      <c r="I44">
        <f>IF(A44="","",MAX(0,G44-H44))</f>
        <v/>
      </c>
      <c r="J44" s="248">
        <f>IF(B44="","",IFERROR(VLOOKUP(B44,'Goods Receipts'!$A:$Q,9,FALSE),0))</f>
        <v/>
      </c>
      <c r="K44" s="248">
        <f>IF(A44="","",I44*J44)</f>
        <v/>
      </c>
      <c r="L44">
        <f>IF(B44="","",IFERROR(VLOOKUP(B44,'Goods Receipts'!$A:$Q,11,FALSE),""))</f>
        <v/>
      </c>
      <c r="M44">
        <f>IF(E44="","",COUNTIFS($E$4:$E$53,E44,$D$4:$D$53,"&lt;="&amp;D44))</f>
        <v/>
      </c>
      <c r="N44">
        <f>IF(B44="","",B44)</f>
        <v/>
      </c>
      <c r="O44">
        <f>IF(A44="","",IF(H44&gt;G44,"ERROR - OVERALLOCATED",IF(I44=0,"CONSUMED",IF(L44&lt;&gt;"Released","HOLD","AVAILABLE"))))</f>
        <v/>
      </c>
    </row>
    <row r="45">
      <c r="C45">
        <f>IF(B45="","",IFERROR(VLOOKUP(B45,'Goods Receipts'!$A:$Q,2,FALSE),""))</f>
        <v/>
      </c>
      <c r="D45">
        <f>IF(B45="","",IFERROR(VLOOKUP(B45,'Goods Receipts'!$A:$Q,3,FALSE),""))</f>
        <v/>
      </c>
      <c r="E45">
        <f>IF(B45="","",IFERROR(VLOOKUP(B45,'Goods Receipts'!$A:$Q,4,FALSE),""))</f>
        <v/>
      </c>
      <c r="F45">
        <f>IF(B45="","",IFERROR(VLOOKUP(B45,'Goods Receipts'!$A:$Q,10,FALSE),""))</f>
        <v/>
      </c>
      <c r="G45">
        <f>IF(B45="","",IF(AND(IFERROR(VLOOKUP(B45,'Goods Receipts'!$A:$Q,12,FALSE),"")="Posted",IFERROR(VLOOKUP(B45,'Goods Receipts'!$A:$Q,11,FALSE),"")="Released"),IFERROR(VLOOKUP(B45,'Goods Receipts'!$A:$Q,6,FALSE),0),0))</f>
        <v/>
      </c>
      <c r="H45">
        <f>IF(A45="","",SUMIFS('FIFO Allocations'!$F:$F,'FIFO Allocations'!$E:$E,A45,'FIFO Allocations'!$J:$J,"Posted"))</f>
        <v/>
      </c>
      <c r="I45">
        <f>IF(A45="","",MAX(0,G45-H45))</f>
        <v/>
      </c>
      <c r="J45" s="248">
        <f>IF(B45="","",IFERROR(VLOOKUP(B45,'Goods Receipts'!$A:$Q,9,FALSE),0))</f>
        <v/>
      </c>
      <c r="K45" s="248">
        <f>IF(A45="","",I45*J45)</f>
        <v/>
      </c>
      <c r="L45">
        <f>IF(B45="","",IFERROR(VLOOKUP(B45,'Goods Receipts'!$A:$Q,11,FALSE),""))</f>
        <v/>
      </c>
      <c r="M45">
        <f>IF(E45="","",COUNTIFS($E$4:$E$53,E45,$D$4:$D$53,"&lt;="&amp;D45))</f>
        <v/>
      </c>
      <c r="N45">
        <f>IF(B45="","",B45)</f>
        <v/>
      </c>
      <c r="O45">
        <f>IF(A45="","",IF(H45&gt;G45,"ERROR - OVERALLOCATED",IF(I45=0,"CONSUMED",IF(L45&lt;&gt;"Released","HOLD","AVAILABLE"))))</f>
        <v/>
      </c>
    </row>
    <row r="46">
      <c r="C46">
        <f>IF(B46="","",IFERROR(VLOOKUP(B46,'Goods Receipts'!$A:$Q,2,FALSE),""))</f>
        <v/>
      </c>
      <c r="D46">
        <f>IF(B46="","",IFERROR(VLOOKUP(B46,'Goods Receipts'!$A:$Q,3,FALSE),""))</f>
        <v/>
      </c>
      <c r="E46">
        <f>IF(B46="","",IFERROR(VLOOKUP(B46,'Goods Receipts'!$A:$Q,4,FALSE),""))</f>
        <v/>
      </c>
      <c r="F46">
        <f>IF(B46="","",IFERROR(VLOOKUP(B46,'Goods Receipts'!$A:$Q,10,FALSE),""))</f>
        <v/>
      </c>
      <c r="G46">
        <f>IF(B46="","",IF(AND(IFERROR(VLOOKUP(B46,'Goods Receipts'!$A:$Q,12,FALSE),"")="Posted",IFERROR(VLOOKUP(B46,'Goods Receipts'!$A:$Q,11,FALSE),"")="Released"),IFERROR(VLOOKUP(B46,'Goods Receipts'!$A:$Q,6,FALSE),0),0))</f>
        <v/>
      </c>
      <c r="H46">
        <f>IF(A46="","",SUMIFS('FIFO Allocations'!$F:$F,'FIFO Allocations'!$E:$E,A46,'FIFO Allocations'!$J:$J,"Posted"))</f>
        <v/>
      </c>
      <c r="I46">
        <f>IF(A46="","",MAX(0,G46-H46))</f>
        <v/>
      </c>
      <c r="J46" s="248">
        <f>IF(B46="","",IFERROR(VLOOKUP(B46,'Goods Receipts'!$A:$Q,9,FALSE),0))</f>
        <v/>
      </c>
      <c r="K46" s="248">
        <f>IF(A46="","",I46*J46)</f>
        <v/>
      </c>
      <c r="L46">
        <f>IF(B46="","",IFERROR(VLOOKUP(B46,'Goods Receipts'!$A:$Q,11,FALSE),""))</f>
        <v/>
      </c>
      <c r="M46">
        <f>IF(E46="","",COUNTIFS($E$4:$E$53,E46,$D$4:$D$53,"&lt;="&amp;D46))</f>
        <v/>
      </c>
      <c r="N46">
        <f>IF(B46="","",B46)</f>
        <v/>
      </c>
      <c r="O46">
        <f>IF(A46="","",IF(H46&gt;G46,"ERROR - OVERALLOCATED",IF(I46=0,"CONSUMED",IF(L46&lt;&gt;"Released","HOLD","AVAILABLE"))))</f>
        <v/>
      </c>
    </row>
    <row r="47">
      <c r="C47">
        <f>IF(B47="","",IFERROR(VLOOKUP(B47,'Goods Receipts'!$A:$Q,2,FALSE),""))</f>
        <v/>
      </c>
      <c r="D47">
        <f>IF(B47="","",IFERROR(VLOOKUP(B47,'Goods Receipts'!$A:$Q,3,FALSE),""))</f>
        <v/>
      </c>
      <c r="E47">
        <f>IF(B47="","",IFERROR(VLOOKUP(B47,'Goods Receipts'!$A:$Q,4,FALSE),""))</f>
        <v/>
      </c>
      <c r="F47">
        <f>IF(B47="","",IFERROR(VLOOKUP(B47,'Goods Receipts'!$A:$Q,10,FALSE),""))</f>
        <v/>
      </c>
      <c r="G47">
        <f>IF(B47="","",IF(AND(IFERROR(VLOOKUP(B47,'Goods Receipts'!$A:$Q,12,FALSE),"")="Posted",IFERROR(VLOOKUP(B47,'Goods Receipts'!$A:$Q,11,FALSE),"")="Released"),IFERROR(VLOOKUP(B47,'Goods Receipts'!$A:$Q,6,FALSE),0),0))</f>
        <v/>
      </c>
      <c r="H47">
        <f>IF(A47="","",SUMIFS('FIFO Allocations'!$F:$F,'FIFO Allocations'!$E:$E,A47,'FIFO Allocations'!$J:$J,"Posted"))</f>
        <v/>
      </c>
      <c r="I47">
        <f>IF(A47="","",MAX(0,G47-H47))</f>
        <v/>
      </c>
      <c r="J47" s="248">
        <f>IF(B47="","",IFERROR(VLOOKUP(B47,'Goods Receipts'!$A:$Q,9,FALSE),0))</f>
        <v/>
      </c>
      <c r="K47" s="248">
        <f>IF(A47="","",I47*J47)</f>
        <v/>
      </c>
      <c r="L47">
        <f>IF(B47="","",IFERROR(VLOOKUP(B47,'Goods Receipts'!$A:$Q,11,FALSE),""))</f>
        <v/>
      </c>
      <c r="M47">
        <f>IF(E47="","",COUNTIFS($E$4:$E$53,E47,$D$4:$D$53,"&lt;="&amp;D47))</f>
        <v/>
      </c>
      <c r="N47">
        <f>IF(B47="","",B47)</f>
        <v/>
      </c>
      <c r="O47">
        <f>IF(A47="","",IF(H47&gt;G47,"ERROR - OVERALLOCATED",IF(I47=0,"CONSUMED",IF(L47&lt;&gt;"Released","HOLD","AVAILABLE"))))</f>
        <v/>
      </c>
    </row>
    <row r="48">
      <c r="C48">
        <f>IF(B48="","",IFERROR(VLOOKUP(B48,'Goods Receipts'!$A:$Q,2,FALSE),""))</f>
        <v/>
      </c>
      <c r="D48">
        <f>IF(B48="","",IFERROR(VLOOKUP(B48,'Goods Receipts'!$A:$Q,3,FALSE),""))</f>
        <v/>
      </c>
      <c r="E48">
        <f>IF(B48="","",IFERROR(VLOOKUP(B48,'Goods Receipts'!$A:$Q,4,FALSE),""))</f>
        <v/>
      </c>
      <c r="F48">
        <f>IF(B48="","",IFERROR(VLOOKUP(B48,'Goods Receipts'!$A:$Q,10,FALSE),""))</f>
        <v/>
      </c>
      <c r="G48">
        <f>IF(B48="","",IF(AND(IFERROR(VLOOKUP(B48,'Goods Receipts'!$A:$Q,12,FALSE),"")="Posted",IFERROR(VLOOKUP(B48,'Goods Receipts'!$A:$Q,11,FALSE),"")="Released"),IFERROR(VLOOKUP(B48,'Goods Receipts'!$A:$Q,6,FALSE),0),0))</f>
        <v/>
      </c>
      <c r="H48">
        <f>IF(A48="","",SUMIFS('FIFO Allocations'!$F:$F,'FIFO Allocations'!$E:$E,A48,'FIFO Allocations'!$J:$J,"Posted"))</f>
        <v/>
      </c>
      <c r="I48">
        <f>IF(A48="","",MAX(0,G48-H48))</f>
        <v/>
      </c>
      <c r="J48" s="248">
        <f>IF(B48="","",IFERROR(VLOOKUP(B48,'Goods Receipts'!$A:$Q,9,FALSE),0))</f>
        <v/>
      </c>
      <c r="K48" s="248">
        <f>IF(A48="","",I48*J48)</f>
        <v/>
      </c>
      <c r="L48">
        <f>IF(B48="","",IFERROR(VLOOKUP(B48,'Goods Receipts'!$A:$Q,11,FALSE),""))</f>
        <v/>
      </c>
      <c r="M48">
        <f>IF(E48="","",COUNTIFS($E$4:$E$53,E48,$D$4:$D$53,"&lt;="&amp;D48))</f>
        <v/>
      </c>
      <c r="N48">
        <f>IF(B48="","",B48)</f>
        <v/>
      </c>
      <c r="O48">
        <f>IF(A48="","",IF(H48&gt;G48,"ERROR - OVERALLOCATED",IF(I48=0,"CONSUMED",IF(L48&lt;&gt;"Released","HOLD","AVAILABLE"))))</f>
        <v/>
      </c>
    </row>
    <row r="49">
      <c r="C49">
        <f>IF(B49="","",IFERROR(VLOOKUP(B49,'Goods Receipts'!$A:$Q,2,FALSE),""))</f>
        <v/>
      </c>
      <c r="D49">
        <f>IF(B49="","",IFERROR(VLOOKUP(B49,'Goods Receipts'!$A:$Q,3,FALSE),""))</f>
        <v/>
      </c>
      <c r="E49">
        <f>IF(B49="","",IFERROR(VLOOKUP(B49,'Goods Receipts'!$A:$Q,4,FALSE),""))</f>
        <v/>
      </c>
      <c r="F49">
        <f>IF(B49="","",IFERROR(VLOOKUP(B49,'Goods Receipts'!$A:$Q,10,FALSE),""))</f>
        <v/>
      </c>
      <c r="G49">
        <f>IF(B49="","",IF(AND(IFERROR(VLOOKUP(B49,'Goods Receipts'!$A:$Q,12,FALSE),"")="Posted",IFERROR(VLOOKUP(B49,'Goods Receipts'!$A:$Q,11,FALSE),"")="Released"),IFERROR(VLOOKUP(B49,'Goods Receipts'!$A:$Q,6,FALSE),0),0))</f>
        <v/>
      </c>
      <c r="H49">
        <f>IF(A49="","",SUMIFS('FIFO Allocations'!$F:$F,'FIFO Allocations'!$E:$E,A49,'FIFO Allocations'!$J:$J,"Posted"))</f>
        <v/>
      </c>
      <c r="I49">
        <f>IF(A49="","",MAX(0,G49-H49))</f>
        <v/>
      </c>
      <c r="J49" s="248">
        <f>IF(B49="","",IFERROR(VLOOKUP(B49,'Goods Receipts'!$A:$Q,9,FALSE),0))</f>
        <v/>
      </c>
      <c r="K49" s="248">
        <f>IF(A49="","",I49*J49)</f>
        <v/>
      </c>
      <c r="L49">
        <f>IF(B49="","",IFERROR(VLOOKUP(B49,'Goods Receipts'!$A:$Q,11,FALSE),""))</f>
        <v/>
      </c>
      <c r="M49">
        <f>IF(E49="","",COUNTIFS($E$4:$E$53,E49,$D$4:$D$53,"&lt;="&amp;D49))</f>
        <v/>
      </c>
      <c r="N49">
        <f>IF(B49="","",B49)</f>
        <v/>
      </c>
      <c r="O49">
        <f>IF(A49="","",IF(H49&gt;G49,"ERROR - OVERALLOCATED",IF(I49=0,"CONSUMED",IF(L49&lt;&gt;"Released","HOLD","AVAILABLE"))))</f>
        <v/>
      </c>
    </row>
    <row r="50">
      <c r="C50">
        <f>IF(B50="","",IFERROR(VLOOKUP(B50,'Goods Receipts'!$A:$Q,2,FALSE),""))</f>
        <v/>
      </c>
      <c r="D50">
        <f>IF(B50="","",IFERROR(VLOOKUP(B50,'Goods Receipts'!$A:$Q,3,FALSE),""))</f>
        <v/>
      </c>
      <c r="E50">
        <f>IF(B50="","",IFERROR(VLOOKUP(B50,'Goods Receipts'!$A:$Q,4,FALSE),""))</f>
        <v/>
      </c>
      <c r="F50">
        <f>IF(B50="","",IFERROR(VLOOKUP(B50,'Goods Receipts'!$A:$Q,10,FALSE),""))</f>
        <v/>
      </c>
      <c r="G50">
        <f>IF(B50="","",IF(AND(IFERROR(VLOOKUP(B50,'Goods Receipts'!$A:$Q,12,FALSE),"")="Posted",IFERROR(VLOOKUP(B50,'Goods Receipts'!$A:$Q,11,FALSE),"")="Released"),IFERROR(VLOOKUP(B50,'Goods Receipts'!$A:$Q,6,FALSE),0),0))</f>
        <v/>
      </c>
      <c r="H50">
        <f>IF(A50="","",SUMIFS('FIFO Allocations'!$F:$F,'FIFO Allocations'!$E:$E,A50,'FIFO Allocations'!$J:$J,"Posted"))</f>
        <v/>
      </c>
      <c r="I50">
        <f>IF(A50="","",MAX(0,G50-H50))</f>
        <v/>
      </c>
      <c r="J50" s="248">
        <f>IF(B50="","",IFERROR(VLOOKUP(B50,'Goods Receipts'!$A:$Q,9,FALSE),0))</f>
        <v/>
      </c>
      <c r="K50" s="248">
        <f>IF(A50="","",I50*J50)</f>
        <v/>
      </c>
      <c r="L50">
        <f>IF(B50="","",IFERROR(VLOOKUP(B50,'Goods Receipts'!$A:$Q,11,FALSE),""))</f>
        <v/>
      </c>
      <c r="M50">
        <f>IF(E50="","",COUNTIFS($E$4:$E$53,E50,$D$4:$D$53,"&lt;="&amp;D50))</f>
        <v/>
      </c>
      <c r="N50">
        <f>IF(B50="","",B50)</f>
        <v/>
      </c>
      <c r="O50">
        <f>IF(A50="","",IF(H50&gt;G50,"ERROR - OVERALLOCATED",IF(I50=0,"CONSUMED",IF(L50&lt;&gt;"Released","HOLD","AVAILABLE"))))</f>
        <v/>
      </c>
    </row>
    <row r="51">
      <c r="C51">
        <f>IF(B51="","",IFERROR(VLOOKUP(B51,'Goods Receipts'!$A:$Q,2,FALSE),""))</f>
        <v/>
      </c>
      <c r="D51">
        <f>IF(B51="","",IFERROR(VLOOKUP(B51,'Goods Receipts'!$A:$Q,3,FALSE),""))</f>
        <v/>
      </c>
      <c r="E51">
        <f>IF(B51="","",IFERROR(VLOOKUP(B51,'Goods Receipts'!$A:$Q,4,FALSE),""))</f>
        <v/>
      </c>
      <c r="F51">
        <f>IF(B51="","",IFERROR(VLOOKUP(B51,'Goods Receipts'!$A:$Q,10,FALSE),""))</f>
        <v/>
      </c>
      <c r="G51">
        <f>IF(B51="","",IF(AND(IFERROR(VLOOKUP(B51,'Goods Receipts'!$A:$Q,12,FALSE),"")="Posted",IFERROR(VLOOKUP(B51,'Goods Receipts'!$A:$Q,11,FALSE),"")="Released"),IFERROR(VLOOKUP(B51,'Goods Receipts'!$A:$Q,6,FALSE),0),0))</f>
        <v/>
      </c>
      <c r="H51">
        <f>IF(A51="","",SUMIFS('FIFO Allocations'!$F:$F,'FIFO Allocations'!$E:$E,A51,'FIFO Allocations'!$J:$J,"Posted"))</f>
        <v/>
      </c>
      <c r="I51">
        <f>IF(A51="","",MAX(0,G51-H51))</f>
        <v/>
      </c>
      <c r="J51" s="248">
        <f>IF(B51="","",IFERROR(VLOOKUP(B51,'Goods Receipts'!$A:$Q,9,FALSE),0))</f>
        <v/>
      </c>
      <c r="K51" s="248">
        <f>IF(A51="","",I51*J51)</f>
        <v/>
      </c>
      <c r="L51">
        <f>IF(B51="","",IFERROR(VLOOKUP(B51,'Goods Receipts'!$A:$Q,11,FALSE),""))</f>
        <v/>
      </c>
      <c r="M51">
        <f>IF(E51="","",COUNTIFS($E$4:$E$53,E51,$D$4:$D$53,"&lt;="&amp;D51))</f>
        <v/>
      </c>
      <c r="N51">
        <f>IF(B51="","",B51)</f>
        <v/>
      </c>
      <c r="O51">
        <f>IF(A51="","",IF(H51&gt;G51,"ERROR - OVERALLOCATED",IF(I51=0,"CONSUMED",IF(L51&lt;&gt;"Released","HOLD","AVAILABLE"))))</f>
        <v/>
      </c>
    </row>
    <row r="52">
      <c r="C52">
        <f>IF(B52="","",IFERROR(VLOOKUP(B52,'Goods Receipts'!$A:$Q,2,FALSE),""))</f>
        <v/>
      </c>
      <c r="D52">
        <f>IF(B52="","",IFERROR(VLOOKUP(B52,'Goods Receipts'!$A:$Q,3,FALSE),""))</f>
        <v/>
      </c>
      <c r="E52">
        <f>IF(B52="","",IFERROR(VLOOKUP(B52,'Goods Receipts'!$A:$Q,4,FALSE),""))</f>
        <v/>
      </c>
      <c r="F52">
        <f>IF(B52="","",IFERROR(VLOOKUP(B52,'Goods Receipts'!$A:$Q,10,FALSE),""))</f>
        <v/>
      </c>
      <c r="G52">
        <f>IF(B52="","",IF(AND(IFERROR(VLOOKUP(B52,'Goods Receipts'!$A:$Q,12,FALSE),"")="Posted",IFERROR(VLOOKUP(B52,'Goods Receipts'!$A:$Q,11,FALSE),"")="Released"),IFERROR(VLOOKUP(B52,'Goods Receipts'!$A:$Q,6,FALSE),0),0))</f>
        <v/>
      </c>
      <c r="H52">
        <f>IF(A52="","",SUMIFS('FIFO Allocations'!$F:$F,'FIFO Allocations'!$E:$E,A52,'FIFO Allocations'!$J:$J,"Posted"))</f>
        <v/>
      </c>
      <c r="I52">
        <f>IF(A52="","",MAX(0,G52-H52))</f>
        <v/>
      </c>
      <c r="J52" s="248">
        <f>IF(B52="","",IFERROR(VLOOKUP(B52,'Goods Receipts'!$A:$Q,9,FALSE),0))</f>
        <v/>
      </c>
      <c r="K52" s="248">
        <f>IF(A52="","",I52*J52)</f>
        <v/>
      </c>
      <c r="L52">
        <f>IF(B52="","",IFERROR(VLOOKUP(B52,'Goods Receipts'!$A:$Q,11,FALSE),""))</f>
        <v/>
      </c>
      <c r="M52">
        <f>IF(E52="","",COUNTIFS($E$4:$E$53,E52,$D$4:$D$53,"&lt;="&amp;D52))</f>
        <v/>
      </c>
      <c r="N52">
        <f>IF(B52="","",B52)</f>
        <v/>
      </c>
      <c r="O52">
        <f>IF(A52="","",IF(H52&gt;G52,"ERROR - OVERALLOCATED",IF(I52=0,"CONSUMED",IF(L52&lt;&gt;"Released","HOLD","AVAILABLE"))))</f>
        <v/>
      </c>
    </row>
    <row r="53">
      <c r="C53">
        <f>IF(B53="","",IFERROR(VLOOKUP(B53,'Goods Receipts'!$A:$Q,2,FALSE),""))</f>
        <v/>
      </c>
      <c r="D53">
        <f>IF(B53="","",IFERROR(VLOOKUP(B53,'Goods Receipts'!$A:$Q,3,FALSE),""))</f>
        <v/>
      </c>
      <c r="E53">
        <f>IF(B53="","",IFERROR(VLOOKUP(B53,'Goods Receipts'!$A:$Q,4,FALSE),""))</f>
        <v/>
      </c>
      <c r="F53">
        <f>IF(B53="","",IFERROR(VLOOKUP(B53,'Goods Receipts'!$A:$Q,10,FALSE),""))</f>
        <v/>
      </c>
      <c r="G53">
        <f>IF(B53="","",IF(AND(IFERROR(VLOOKUP(B53,'Goods Receipts'!$A:$Q,12,FALSE),"")="Posted",IFERROR(VLOOKUP(B53,'Goods Receipts'!$A:$Q,11,FALSE),"")="Released"),IFERROR(VLOOKUP(B53,'Goods Receipts'!$A:$Q,6,FALSE),0),0))</f>
        <v/>
      </c>
      <c r="H53">
        <f>IF(A53="","",SUMIFS('FIFO Allocations'!$F:$F,'FIFO Allocations'!$E:$E,A53,'FIFO Allocations'!$J:$J,"Posted"))</f>
        <v/>
      </c>
      <c r="I53">
        <f>IF(A53="","",MAX(0,G53-H53))</f>
        <v/>
      </c>
      <c r="J53" s="248">
        <f>IF(B53="","",IFERROR(VLOOKUP(B53,'Goods Receipts'!$A:$Q,9,FALSE),0))</f>
        <v/>
      </c>
      <c r="K53" s="248">
        <f>IF(A53="","",I53*J53)</f>
        <v/>
      </c>
      <c r="L53">
        <f>IF(B53="","",IFERROR(VLOOKUP(B53,'Goods Receipts'!$A:$Q,11,FALSE),""))</f>
        <v/>
      </c>
      <c r="M53">
        <f>IF(E53="","",COUNTIFS($E$4:$E$53,E53,$D$4:$D$53,"&lt;="&amp;D53))</f>
        <v/>
      </c>
      <c r="N53">
        <f>IF(B53="","",B53)</f>
        <v/>
      </c>
      <c r="O53">
        <f>IF(A53="","",IF(H53&gt;G53,"ERROR - OVERALLOCATED",IF(I53=0,"CONSUMED",IF(L53&lt;&gt;"Released","HOLD","AVAILABLE"))))</f>
        <v/>
      </c>
    </row>
  </sheetData>
  <mergeCells count="2">
    <mergeCell ref="A1:O1"/>
    <mergeCell ref="A2:O2"/>
  </mergeCells>
  <conditionalFormatting sqref="O4:O53">
    <cfRule type="expression" priority="1" dxfId="14">
      <formula>$O4="ERROR - OVERALLOCATED"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19" customWidth="1" style="88" min="2" max="2"/>
    <col width="10" customWidth="1" style="88" min="3" max="3"/>
    <col width="32" customWidth="1" style="88" min="4" max="4"/>
    <col width="15" customWidth="1" style="88" min="5" max="5"/>
    <col width="15" customWidth="1" style="88" min="6" max="6"/>
    <col width="32" customWidth="1" style="88" min="7" max="7"/>
    <col width="32" customWidth="1" style="88" min="8" max="8"/>
    <col width="17" customWidth="1" style="88" min="9" max="9"/>
    <col width="10" customWidth="1" style="88" min="10" max="10"/>
    <col width="32" customWidth="1" style="88" min="11" max="11"/>
    <col width="17" customWidth="1" style="88" min="12" max="12"/>
  </cols>
  <sheetData>
    <row r="1">
      <c r="A1" s="249" t="inlineStr">
        <is>
          <t>FIFO Allocations · lot consumption against production / inventory issues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</row>
    <row r="2">
      <c r="A2" s="250" t="inlineStr">
        <is>
          <t>Posted allocations reduce FIFO layers. Use the oldest Released layer with remaining quantity first.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>
      <c r="A3" s="231" t="inlineStr">
        <is>
          <t>Allocation ID</t>
        </is>
      </c>
      <c r="B3" s="231" t="inlineStr">
        <is>
          <t>Issue Movement ID</t>
        </is>
      </c>
      <c r="C3" s="231" t="inlineStr">
        <is>
          <t>Job Card</t>
        </is>
      </c>
      <c r="D3" s="231" t="inlineStr">
        <is>
          <t>SKU</t>
        </is>
      </c>
      <c r="E3" s="231" t="inlineStr">
        <is>
          <t>FIFO Layer ID</t>
        </is>
      </c>
      <c r="F3" s="231" t="inlineStr">
        <is>
          <t>Allocated Qty</t>
        </is>
      </c>
      <c r="G3" s="231" t="inlineStr">
        <is>
          <t>Unit Cost ₹</t>
        </is>
      </c>
      <c r="H3" s="231" t="inlineStr">
        <is>
          <t>Issue Value ₹</t>
        </is>
      </c>
      <c r="I3" s="231" t="inlineStr">
        <is>
          <t>Allocation Date</t>
        </is>
      </c>
      <c r="J3" s="231" t="inlineStr">
        <is>
          <t>Status</t>
        </is>
      </c>
      <c r="K3" s="231" t="inlineStr">
        <is>
          <t>FIFO Check</t>
        </is>
      </c>
      <c r="L3" s="231" t="inlineStr">
        <is>
          <t>Evidence / Note</t>
        </is>
      </c>
    </row>
    <row r="4">
      <c r="A4" s="251" t="n"/>
      <c r="B4" s="251" t="n"/>
      <c r="C4" s="251" t="n"/>
      <c r="D4">
        <f>IF(E4="","",IFERROR(VLOOKUP(E4,'FIFO Layers'!$A:$O,5,FALSE),""))</f>
        <v/>
      </c>
      <c r="E4" s="251" t="n"/>
      <c r="F4" s="251" t="n"/>
      <c r="G4" s="248">
        <f>IF(E4="","",IFERROR(VLOOKUP(E4,'FIFO Layers'!$A:$O,10,FALSE),0))</f>
        <v/>
      </c>
      <c r="H4" s="248">
        <f>IF(OR(F4="",G4=""),"",F4*G4)</f>
        <v/>
      </c>
      <c r="I4" s="251" t="n"/>
      <c r="J4" s="251" t="n"/>
      <c r="K4">
        <f>IF(E4="","",IF(IFERROR(VLOOKUP(E4,'FIFO Layers'!$A:$O,12,FALSE),"")&lt;&gt;"Released","HOLD - QUALITY",IF(IFERROR(VLOOKUP(E4,'FIFO Layers'!$A:$O,13,FALSE),999)&lt;&gt;MINIFS('FIFO Layers'!$M:$M,'FIFO Layers'!$E:$E,D4,'FIFO Layers'!$I:$I,"&gt;0",'FIFO Layers'!$L:$L,"Released"),"CHECK FIFO ORDER","FIFO OK")))</f>
        <v/>
      </c>
      <c r="L4" s="251" t="n"/>
    </row>
    <row r="5">
      <c r="A5" s="251" t="n"/>
      <c r="B5" s="251" t="n"/>
      <c r="C5" s="251" t="n"/>
      <c r="D5">
        <f>IF(E5="","",IFERROR(VLOOKUP(E5,'FIFO Layers'!$A:$O,5,FALSE),""))</f>
        <v/>
      </c>
      <c r="E5" s="251" t="n"/>
      <c r="F5" s="251" t="n"/>
      <c r="G5" s="248">
        <f>IF(E5="","",IFERROR(VLOOKUP(E5,'FIFO Layers'!$A:$O,10,FALSE),0))</f>
        <v/>
      </c>
      <c r="H5" s="248">
        <f>IF(OR(F5="",G5=""),"",F5*G5)</f>
        <v/>
      </c>
      <c r="I5" s="251" t="n"/>
      <c r="J5" s="251" t="n"/>
      <c r="K5">
        <f>IF(E5="","",IF(IFERROR(VLOOKUP(E5,'FIFO Layers'!$A:$O,12,FALSE),"")&lt;&gt;"Released","HOLD - QUALITY",IF(IFERROR(VLOOKUP(E5,'FIFO Layers'!$A:$O,13,FALSE),999)&lt;&gt;MINIFS('FIFO Layers'!$M:$M,'FIFO Layers'!$E:$E,D5,'FIFO Layers'!$I:$I,"&gt;0",'FIFO Layers'!$L:$L,"Released"),"CHECK FIFO ORDER","FIFO OK")))</f>
        <v/>
      </c>
      <c r="L5" s="251" t="n"/>
    </row>
    <row r="6">
      <c r="A6" s="251" t="n"/>
      <c r="B6" s="251" t="n"/>
      <c r="C6" s="251" t="n"/>
      <c r="D6">
        <f>IF(E6="","",IFERROR(VLOOKUP(E6,'FIFO Layers'!$A:$O,5,FALSE),""))</f>
        <v/>
      </c>
      <c r="E6" s="251" t="n"/>
      <c r="F6" s="251" t="n"/>
      <c r="G6" s="248">
        <f>IF(E6="","",IFERROR(VLOOKUP(E6,'FIFO Layers'!$A:$O,10,FALSE),0))</f>
        <v/>
      </c>
      <c r="H6" s="248">
        <f>IF(OR(F6="",G6=""),"",F6*G6)</f>
        <v/>
      </c>
      <c r="I6" s="251" t="n"/>
      <c r="J6" s="251" t="n"/>
      <c r="K6">
        <f>IF(E6="","",IF(IFERROR(VLOOKUP(E6,'FIFO Layers'!$A:$O,12,FALSE),"")&lt;&gt;"Released","HOLD - QUALITY",IF(IFERROR(VLOOKUP(E6,'FIFO Layers'!$A:$O,13,FALSE),999)&lt;&gt;MINIFS('FIFO Layers'!$M:$M,'FIFO Layers'!$E:$E,D6,'FIFO Layers'!$I:$I,"&gt;0",'FIFO Layers'!$L:$L,"Released"),"CHECK FIFO ORDER","FIFO OK")))</f>
        <v/>
      </c>
      <c r="L6" s="251" t="n"/>
    </row>
    <row r="7">
      <c r="A7" s="251" t="n"/>
      <c r="B7" s="251" t="n"/>
      <c r="C7" s="251" t="n"/>
      <c r="D7">
        <f>IF(E7="","",IFERROR(VLOOKUP(E7,'FIFO Layers'!$A:$O,5,FALSE),""))</f>
        <v/>
      </c>
      <c r="E7" s="251" t="n"/>
      <c r="F7" s="251" t="n"/>
      <c r="G7" s="248">
        <f>IF(E7="","",IFERROR(VLOOKUP(E7,'FIFO Layers'!$A:$O,10,FALSE),0))</f>
        <v/>
      </c>
      <c r="H7" s="248">
        <f>IF(OR(F7="",G7=""),"",F7*G7)</f>
        <v/>
      </c>
      <c r="I7" s="251" t="n"/>
      <c r="J7" s="251" t="n"/>
      <c r="K7">
        <f>IF(E7="","",IF(IFERROR(VLOOKUP(E7,'FIFO Layers'!$A:$O,12,FALSE),"")&lt;&gt;"Released","HOLD - QUALITY",IF(IFERROR(VLOOKUP(E7,'FIFO Layers'!$A:$O,13,FALSE),999)&lt;&gt;MINIFS('FIFO Layers'!$M:$M,'FIFO Layers'!$E:$E,D7,'FIFO Layers'!$I:$I,"&gt;0",'FIFO Layers'!$L:$L,"Released"),"CHECK FIFO ORDER","FIFO OK")))</f>
        <v/>
      </c>
      <c r="L7" s="251" t="n"/>
    </row>
    <row r="8">
      <c r="A8" s="251" t="n"/>
      <c r="B8" s="251" t="n"/>
      <c r="C8" s="251" t="n"/>
      <c r="D8">
        <f>IF(E8="","",IFERROR(VLOOKUP(E8,'FIFO Layers'!$A:$O,5,FALSE),""))</f>
        <v/>
      </c>
      <c r="E8" s="251" t="n"/>
      <c r="F8" s="251" t="n"/>
      <c r="G8" s="248">
        <f>IF(E8="","",IFERROR(VLOOKUP(E8,'FIFO Layers'!$A:$O,10,FALSE),0))</f>
        <v/>
      </c>
      <c r="H8" s="248">
        <f>IF(OR(F8="",G8=""),"",F8*G8)</f>
        <v/>
      </c>
      <c r="I8" s="251" t="n"/>
      <c r="J8" s="251" t="n"/>
      <c r="K8">
        <f>IF(E8="","",IF(IFERROR(VLOOKUP(E8,'FIFO Layers'!$A:$O,12,FALSE),"")&lt;&gt;"Released","HOLD - QUALITY",IF(IFERROR(VLOOKUP(E8,'FIFO Layers'!$A:$O,13,FALSE),999)&lt;&gt;MINIFS('FIFO Layers'!$M:$M,'FIFO Layers'!$E:$E,D8,'FIFO Layers'!$I:$I,"&gt;0",'FIFO Layers'!$L:$L,"Released"),"CHECK FIFO ORDER","FIFO OK")))</f>
        <v/>
      </c>
      <c r="L8" s="251" t="n"/>
    </row>
    <row r="9">
      <c r="A9" s="251" t="n"/>
      <c r="B9" s="251" t="n"/>
      <c r="C9" s="251" t="n"/>
      <c r="D9">
        <f>IF(E9="","",IFERROR(VLOOKUP(E9,'FIFO Layers'!$A:$O,5,FALSE),""))</f>
        <v/>
      </c>
      <c r="E9" s="251" t="n"/>
      <c r="F9" s="251" t="n"/>
      <c r="G9" s="248">
        <f>IF(E9="","",IFERROR(VLOOKUP(E9,'FIFO Layers'!$A:$O,10,FALSE),0))</f>
        <v/>
      </c>
      <c r="H9" s="248">
        <f>IF(OR(F9="",G9=""),"",F9*G9)</f>
        <v/>
      </c>
      <c r="I9" s="251" t="n"/>
      <c r="J9" s="251" t="n"/>
      <c r="K9">
        <f>IF(E9="","",IF(IFERROR(VLOOKUP(E9,'FIFO Layers'!$A:$O,12,FALSE),"")&lt;&gt;"Released","HOLD - QUALITY",IF(IFERROR(VLOOKUP(E9,'FIFO Layers'!$A:$O,13,FALSE),999)&lt;&gt;MINIFS('FIFO Layers'!$M:$M,'FIFO Layers'!$E:$E,D9,'FIFO Layers'!$I:$I,"&gt;0",'FIFO Layers'!$L:$L,"Released"),"CHECK FIFO ORDER","FIFO OK")))</f>
        <v/>
      </c>
      <c r="L9" s="251" t="n"/>
    </row>
    <row r="10">
      <c r="A10" s="251" t="n"/>
      <c r="B10" s="251" t="n"/>
      <c r="C10" s="251" t="n"/>
      <c r="D10">
        <f>IF(E10="","",IFERROR(VLOOKUP(E10,'FIFO Layers'!$A:$O,5,FALSE),""))</f>
        <v/>
      </c>
      <c r="E10" s="251" t="n"/>
      <c r="F10" s="251" t="n"/>
      <c r="G10" s="248">
        <f>IF(E10="","",IFERROR(VLOOKUP(E10,'FIFO Layers'!$A:$O,10,FALSE),0))</f>
        <v/>
      </c>
      <c r="H10" s="248">
        <f>IF(OR(F10="",G10=""),"",F10*G10)</f>
        <v/>
      </c>
      <c r="I10" s="251" t="n"/>
      <c r="J10" s="251" t="n"/>
      <c r="K10">
        <f>IF(E10="","",IF(IFERROR(VLOOKUP(E10,'FIFO Layers'!$A:$O,12,FALSE),"")&lt;&gt;"Released","HOLD - QUALITY",IF(IFERROR(VLOOKUP(E10,'FIFO Layers'!$A:$O,13,FALSE),999)&lt;&gt;MINIFS('FIFO Layers'!$M:$M,'FIFO Layers'!$E:$E,D10,'FIFO Layers'!$I:$I,"&gt;0",'FIFO Layers'!$L:$L,"Released"),"CHECK FIFO ORDER","FIFO OK")))</f>
        <v/>
      </c>
      <c r="L10" s="251" t="n"/>
    </row>
    <row r="11">
      <c r="A11" s="251" t="n"/>
      <c r="B11" s="251" t="n"/>
      <c r="C11" s="251" t="n"/>
      <c r="D11">
        <f>IF(E11="","",IFERROR(VLOOKUP(E11,'FIFO Layers'!$A:$O,5,FALSE),""))</f>
        <v/>
      </c>
      <c r="E11" s="251" t="n"/>
      <c r="F11" s="251" t="n"/>
      <c r="G11" s="248">
        <f>IF(E11="","",IFERROR(VLOOKUP(E11,'FIFO Layers'!$A:$O,10,FALSE),0))</f>
        <v/>
      </c>
      <c r="H11" s="248">
        <f>IF(OR(F11="",G11=""),"",F11*G11)</f>
        <v/>
      </c>
      <c r="I11" s="251" t="n"/>
      <c r="J11" s="251" t="n"/>
      <c r="K11">
        <f>IF(E11="","",IF(IFERROR(VLOOKUP(E11,'FIFO Layers'!$A:$O,12,FALSE),"")&lt;&gt;"Released","HOLD - QUALITY",IF(IFERROR(VLOOKUP(E11,'FIFO Layers'!$A:$O,13,FALSE),999)&lt;&gt;MINIFS('FIFO Layers'!$M:$M,'FIFO Layers'!$E:$E,D11,'FIFO Layers'!$I:$I,"&gt;0",'FIFO Layers'!$L:$L,"Released"),"CHECK FIFO ORDER","FIFO OK")))</f>
        <v/>
      </c>
      <c r="L11" s="251" t="n"/>
    </row>
    <row r="12">
      <c r="A12" s="251" t="n"/>
      <c r="B12" s="251" t="n"/>
      <c r="C12" s="251" t="n"/>
      <c r="D12">
        <f>IF(E12="","",IFERROR(VLOOKUP(E12,'FIFO Layers'!$A:$O,5,FALSE),""))</f>
        <v/>
      </c>
      <c r="E12" s="251" t="n"/>
      <c r="F12" s="251" t="n"/>
      <c r="G12" s="248">
        <f>IF(E12="","",IFERROR(VLOOKUP(E12,'FIFO Layers'!$A:$O,10,FALSE),0))</f>
        <v/>
      </c>
      <c r="H12" s="248">
        <f>IF(OR(F12="",G12=""),"",F12*G12)</f>
        <v/>
      </c>
      <c r="I12" s="251" t="n"/>
      <c r="J12" s="251" t="n"/>
      <c r="K12">
        <f>IF(E12="","",IF(IFERROR(VLOOKUP(E12,'FIFO Layers'!$A:$O,12,FALSE),"")&lt;&gt;"Released","HOLD - QUALITY",IF(IFERROR(VLOOKUP(E12,'FIFO Layers'!$A:$O,13,FALSE),999)&lt;&gt;MINIFS('FIFO Layers'!$M:$M,'FIFO Layers'!$E:$E,D12,'FIFO Layers'!$I:$I,"&gt;0",'FIFO Layers'!$L:$L,"Released"),"CHECK FIFO ORDER","FIFO OK")))</f>
        <v/>
      </c>
      <c r="L12" s="251" t="n"/>
    </row>
    <row r="13">
      <c r="A13" s="251" t="n"/>
      <c r="B13" s="251" t="n"/>
      <c r="C13" s="251" t="n"/>
      <c r="D13">
        <f>IF(E13="","",IFERROR(VLOOKUP(E13,'FIFO Layers'!$A:$O,5,FALSE),""))</f>
        <v/>
      </c>
      <c r="E13" s="251" t="n"/>
      <c r="F13" s="251" t="n"/>
      <c r="G13" s="248">
        <f>IF(E13="","",IFERROR(VLOOKUP(E13,'FIFO Layers'!$A:$O,10,FALSE),0))</f>
        <v/>
      </c>
      <c r="H13" s="248">
        <f>IF(OR(F13="",G13=""),"",F13*G13)</f>
        <v/>
      </c>
      <c r="I13" s="251" t="n"/>
      <c r="J13" s="251" t="n"/>
      <c r="K13">
        <f>IF(E13="","",IF(IFERROR(VLOOKUP(E13,'FIFO Layers'!$A:$O,12,FALSE),"")&lt;&gt;"Released","HOLD - QUALITY",IF(IFERROR(VLOOKUP(E13,'FIFO Layers'!$A:$O,13,FALSE),999)&lt;&gt;MINIFS('FIFO Layers'!$M:$M,'FIFO Layers'!$E:$E,D13,'FIFO Layers'!$I:$I,"&gt;0",'FIFO Layers'!$L:$L,"Released"),"CHECK FIFO ORDER","FIFO OK")))</f>
        <v/>
      </c>
      <c r="L13" s="251" t="n"/>
    </row>
    <row r="14">
      <c r="A14" s="251" t="n"/>
      <c r="B14" s="251" t="n"/>
      <c r="C14" s="251" t="n"/>
      <c r="D14">
        <f>IF(E14="","",IFERROR(VLOOKUP(E14,'FIFO Layers'!$A:$O,5,FALSE),""))</f>
        <v/>
      </c>
      <c r="E14" s="251" t="n"/>
      <c r="F14" s="251" t="n"/>
      <c r="G14" s="248">
        <f>IF(E14="","",IFERROR(VLOOKUP(E14,'FIFO Layers'!$A:$O,10,FALSE),0))</f>
        <v/>
      </c>
      <c r="H14" s="248">
        <f>IF(OR(F14="",G14=""),"",F14*G14)</f>
        <v/>
      </c>
      <c r="I14" s="251" t="n"/>
      <c r="J14" s="251" t="n"/>
      <c r="K14">
        <f>IF(E14="","",IF(IFERROR(VLOOKUP(E14,'FIFO Layers'!$A:$O,12,FALSE),"")&lt;&gt;"Released","HOLD - QUALITY",IF(IFERROR(VLOOKUP(E14,'FIFO Layers'!$A:$O,13,FALSE),999)&lt;&gt;MINIFS('FIFO Layers'!$M:$M,'FIFO Layers'!$E:$E,D14,'FIFO Layers'!$I:$I,"&gt;0",'FIFO Layers'!$L:$L,"Released"),"CHECK FIFO ORDER","FIFO OK")))</f>
        <v/>
      </c>
      <c r="L14" s="251" t="n"/>
    </row>
    <row r="15">
      <c r="A15" s="251" t="n"/>
      <c r="B15" s="251" t="n"/>
      <c r="C15" s="251" t="n"/>
      <c r="D15">
        <f>IF(E15="","",IFERROR(VLOOKUP(E15,'FIFO Layers'!$A:$O,5,FALSE),""))</f>
        <v/>
      </c>
      <c r="E15" s="251" t="n"/>
      <c r="F15" s="251" t="n"/>
      <c r="G15" s="248">
        <f>IF(E15="","",IFERROR(VLOOKUP(E15,'FIFO Layers'!$A:$O,10,FALSE),0))</f>
        <v/>
      </c>
      <c r="H15" s="248">
        <f>IF(OR(F15="",G15=""),"",F15*G15)</f>
        <v/>
      </c>
      <c r="I15" s="251" t="n"/>
      <c r="J15" s="251" t="n"/>
      <c r="K15">
        <f>IF(E15="","",IF(IFERROR(VLOOKUP(E15,'FIFO Layers'!$A:$O,12,FALSE),"")&lt;&gt;"Released","HOLD - QUALITY",IF(IFERROR(VLOOKUP(E15,'FIFO Layers'!$A:$O,13,FALSE),999)&lt;&gt;MINIFS('FIFO Layers'!$M:$M,'FIFO Layers'!$E:$E,D15,'FIFO Layers'!$I:$I,"&gt;0",'FIFO Layers'!$L:$L,"Released"),"CHECK FIFO ORDER","FIFO OK")))</f>
        <v/>
      </c>
      <c r="L15" s="251" t="n"/>
    </row>
    <row r="16">
      <c r="A16" s="251" t="n"/>
      <c r="B16" s="251" t="n"/>
      <c r="C16" s="251" t="n"/>
      <c r="D16">
        <f>IF(E16="","",IFERROR(VLOOKUP(E16,'FIFO Layers'!$A:$O,5,FALSE),""))</f>
        <v/>
      </c>
      <c r="E16" s="251" t="n"/>
      <c r="F16" s="251" t="n"/>
      <c r="G16" s="248">
        <f>IF(E16="","",IFERROR(VLOOKUP(E16,'FIFO Layers'!$A:$O,10,FALSE),0))</f>
        <v/>
      </c>
      <c r="H16" s="248">
        <f>IF(OR(F16="",G16=""),"",F16*G16)</f>
        <v/>
      </c>
      <c r="I16" s="251" t="n"/>
      <c r="J16" s="251" t="n"/>
      <c r="K16">
        <f>IF(E16="","",IF(IFERROR(VLOOKUP(E16,'FIFO Layers'!$A:$O,12,FALSE),"")&lt;&gt;"Released","HOLD - QUALITY",IF(IFERROR(VLOOKUP(E16,'FIFO Layers'!$A:$O,13,FALSE),999)&lt;&gt;MINIFS('FIFO Layers'!$M:$M,'FIFO Layers'!$E:$E,D16,'FIFO Layers'!$I:$I,"&gt;0",'FIFO Layers'!$L:$L,"Released"),"CHECK FIFO ORDER","FIFO OK")))</f>
        <v/>
      </c>
      <c r="L16" s="251" t="n"/>
    </row>
    <row r="17">
      <c r="A17" s="251" t="n"/>
      <c r="B17" s="251" t="n"/>
      <c r="C17" s="251" t="n"/>
      <c r="D17">
        <f>IF(E17="","",IFERROR(VLOOKUP(E17,'FIFO Layers'!$A:$O,5,FALSE),""))</f>
        <v/>
      </c>
      <c r="E17" s="251" t="n"/>
      <c r="F17" s="251" t="n"/>
      <c r="G17" s="248">
        <f>IF(E17="","",IFERROR(VLOOKUP(E17,'FIFO Layers'!$A:$O,10,FALSE),0))</f>
        <v/>
      </c>
      <c r="H17" s="248">
        <f>IF(OR(F17="",G17=""),"",F17*G17)</f>
        <v/>
      </c>
      <c r="I17" s="251" t="n"/>
      <c r="J17" s="251" t="n"/>
      <c r="K17">
        <f>IF(E17="","",IF(IFERROR(VLOOKUP(E17,'FIFO Layers'!$A:$O,12,FALSE),"")&lt;&gt;"Released","HOLD - QUALITY",IF(IFERROR(VLOOKUP(E17,'FIFO Layers'!$A:$O,13,FALSE),999)&lt;&gt;MINIFS('FIFO Layers'!$M:$M,'FIFO Layers'!$E:$E,D17,'FIFO Layers'!$I:$I,"&gt;0",'FIFO Layers'!$L:$L,"Released"),"CHECK FIFO ORDER","FIFO OK")))</f>
        <v/>
      </c>
      <c r="L17" s="251" t="n"/>
    </row>
    <row r="18">
      <c r="A18" s="251" t="n"/>
      <c r="B18" s="251" t="n"/>
      <c r="C18" s="251" t="n"/>
      <c r="D18">
        <f>IF(E18="","",IFERROR(VLOOKUP(E18,'FIFO Layers'!$A:$O,5,FALSE),""))</f>
        <v/>
      </c>
      <c r="E18" s="251" t="n"/>
      <c r="F18" s="251" t="n"/>
      <c r="G18" s="248">
        <f>IF(E18="","",IFERROR(VLOOKUP(E18,'FIFO Layers'!$A:$O,10,FALSE),0))</f>
        <v/>
      </c>
      <c r="H18" s="248">
        <f>IF(OR(F18="",G18=""),"",F18*G18)</f>
        <v/>
      </c>
      <c r="I18" s="251" t="n"/>
      <c r="J18" s="251" t="n"/>
      <c r="K18">
        <f>IF(E18="","",IF(IFERROR(VLOOKUP(E18,'FIFO Layers'!$A:$O,12,FALSE),"")&lt;&gt;"Released","HOLD - QUALITY",IF(IFERROR(VLOOKUP(E18,'FIFO Layers'!$A:$O,13,FALSE),999)&lt;&gt;MINIFS('FIFO Layers'!$M:$M,'FIFO Layers'!$E:$E,D18,'FIFO Layers'!$I:$I,"&gt;0",'FIFO Layers'!$L:$L,"Released"),"CHECK FIFO ORDER","FIFO OK")))</f>
        <v/>
      </c>
      <c r="L18" s="251" t="n"/>
    </row>
    <row r="19">
      <c r="A19" s="251" t="n"/>
      <c r="B19" s="251" t="n"/>
      <c r="C19" s="251" t="n"/>
      <c r="D19">
        <f>IF(E19="","",IFERROR(VLOOKUP(E19,'FIFO Layers'!$A:$O,5,FALSE),""))</f>
        <v/>
      </c>
      <c r="E19" s="251" t="n"/>
      <c r="F19" s="251" t="n"/>
      <c r="G19" s="248">
        <f>IF(E19="","",IFERROR(VLOOKUP(E19,'FIFO Layers'!$A:$O,10,FALSE),0))</f>
        <v/>
      </c>
      <c r="H19" s="248">
        <f>IF(OR(F19="",G19=""),"",F19*G19)</f>
        <v/>
      </c>
      <c r="I19" s="251" t="n"/>
      <c r="J19" s="251" t="n"/>
      <c r="K19">
        <f>IF(E19="","",IF(IFERROR(VLOOKUP(E19,'FIFO Layers'!$A:$O,12,FALSE),"")&lt;&gt;"Released","HOLD - QUALITY",IF(IFERROR(VLOOKUP(E19,'FIFO Layers'!$A:$O,13,FALSE),999)&lt;&gt;MINIFS('FIFO Layers'!$M:$M,'FIFO Layers'!$E:$E,D19,'FIFO Layers'!$I:$I,"&gt;0",'FIFO Layers'!$L:$L,"Released"),"CHECK FIFO ORDER","FIFO OK")))</f>
        <v/>
      </c>
      <c r="L19" s="251" t="n"/>
    </row>
    <row r="20">
      <c r="A20" s="251" t="n"/>
      <c r="B20" s="251" t="n"/>
      <c r="C20" s="251" t="n"/>
      <c r="D20">
        <f>IF(E20="","",IFERROR(VLOOKUP(E20,'FIFO Layers'!$A:$O,5,FALSE),""))</f>
        <v/>
      </c>
      <c r="E20" s="251" t="n"/>
      <c r="F20" s="251" t="n"/>
      <c r="G20" s="248">
        <f>IF(E20="","",IFERROR(VLOOKUP(E20,'FIFO Layers'!$A:$O,10,FALSE),0))</f>
        <v/>
      </c>
      <c r="H20" s="248">
        <f>IF(OR(F20="",G20=""),"",F20*G20)</f>
        <v/>
      </c>
      <c r="I20" s="251" t="n"/>
      <c r="J20" s="251" t="n"/>
      <c r="K20">
        <f>IF(E20="","",IF(IFERROR(VLOOKUP(E20,'FIFO Layers'!$A:$O,12,FALSE),"")&lt;&gt;"Released","HOLD - QUALITY",IF(IFERROR(VLOOKUP(E20,'FIFO Layers'!$A:$O,13,FALSE),999)&lt;&gt;MINIFS('FIFO Layers'!$M:$M,'FIFO Layers'!$E:$E,D20,'FIFO Layers'!$I:$I,"&gt;0",'FIFO Layers'!$L:$L,"Released"),"CHECK FIFO ORDER","FIFO OK")))</f>
        <v/>
      </c>
      <c r="L20" s="251" t="n"/>
    </row>
    <row r="21">
      <c r="A21" s="251" t="n"/>
      <c r="B21" s="251" t="n"/>
      <c r="C21" s="251" t="n"/>
      <c r="D21">
        <f>IF(E21="","",IFERROR(VLOOKUP(E21,'FIFO Layers'!$A:$O,5,FALSE),""))</f>
        <v/>
      </c>
      <c r="E21" s="251" t="n"/>
      <c r="F21" s="251" t="n"/>
      <c r="G21" s="248">
        <f>IF(E21="","",IFERROR(VLOOKUP(E21,'FIFO Layers'!$A:$O,10,FALSE),0))</f>
        <v/>
      </c>
      <c r="H21" s="248">
        <f>IF(OR(F21="",G21=""),"",F21*G21)</f>
        <v/>
      </c>
      <c r="I21" s="251" t="n"/>
      <c r="J21" s="251" t="n"/>
      <c r="K21">
        <f>IF(E21="","",IF(IFERROR(VLOOKUP(E21,'FIFO Layers'!$A:$O,12,FALSE),"")&lt;&gt;"Released","HOLD - QUALITY",IF(IFERROR(VLOOKUP(E21,'FIFO Layers'!$A:$O,13,FALSE),999)&lt;&gt;MINIFS('FIFO Layers'!$M:$M,'FIFO Layers'!$E:$E,D21,'FIFO Layers'!$I:$I,"&gt;0",'FIFO Layers'!$L:$L,"Released"),"CHECK FIFO ORDER","FIFO OK")))</f>
        <v/>
      </c>
      <c r="L21" s="251" t="n"/>
    </row>
    <row r="22">
      <c r="A22" s="251" t="n"/>
      <c r="B22" s="251" t="n"/>
      <c r="C22" s="251" t="n"/>
      <c r="D22">
        <f>IF(E22="","",IFERROR(VLOOKUP(E22,'FIFO Layers'!$A:$O,5,FALSE),""))</f>
        <v/>
      </c>
      <c r="E22" s="251" t="n"/>
      <c r="F22" s="251" t="n"/>
      <c r="G22" s="248">
        <f>IF(E22="","",IFERROR(VLOOKUP(E22,'FIFO Layers'!$A:$O,10,FALSE),0))</f>
        <v/>
      </c>
      <c r="H22" s="248">
        <f>IF(OR(F22="",G22=""),"",F22*G22)</f>
        <v/>
      </c>
      <c r="I22" s="251" t="n"/>
      <c r="J22" s="251" t="n"/>
      <c r="K22">
        <f>IF(E22="","",IF(IFERROR(VLOOKUP(E22,'FIFO Layers'!$A:$O,12,FALSE),"")&lt;&gt;"Released","HOLD - QUALITY",IF(IFERROR(VLOOKUP(E22,'FIFO Layers'!$A:$O,13,FALSE),999)&lt;&gt;MINIFS('FIFO Layers'!$M:$M,'FIFO Layers'!$E:$E,D22,'FIFO Layers'!$I:$I,"&gt;0",'FIFO Layers'!$L:$L,"Released"),"CHECK FIFO ORDER","FIFO OK")))</f>
        <v/>
      </c>
      <c r="L22" s="251" t="n"/>
    </row>
    <row r="23">
      <c r="A23" s="251" t="n"/>
      <c r="B23" s="251" t="n"/>
      <c r="C23" s="251" t="n"/>
      <c r="D23">
        <f>IF(E23="","",IFERROR(VLOOKUP(E23,'FIFO Layers'!$A:$O,5,FALSE),""))</f>
        <v/>
      </c>
      <c r="E23" s="251" t="n"/>
      <c r="F23" s="251" t="n"/>
      <c r="G23" s="248">
        <f>IF(E23="","",IFERROR(VLOOKUP(E23,'FIFO Layers'!$A:$O,10,FALSE),0))</f>
        <v/>
      </c>
      <c r="H23" s="248">
        <f>IF(OR(F23="",G23=""),"",F23*G23)</f>
        <v/>
      </c>
      <c r="I23" s="251" t="n"/>
      <c r="J23" s="251" t="n"/>
      <c r="K23">
        <f>IF(E23="","",IF(IFERROR(VLOOKUP(E23,'FIFO Layers'!$A:$O,12,FALSE),"")&lt;&gt;"Released","HOLD - QUALITY",IF(IFERROR(VLOOKUP(E23,'FIFO Layers'!$A:$O,13,FALSE),999)&lt;&gt;MINIFS('FIFO Layers'!$M:$M,'FIFO Layers'!$E:$E,D23,'FIFO Layers'!$I:$I,"&gt;0",'FIFO Layers'!$L:$L,"Released"),"CHECK FIFO ORDER","FIFO OK")))</f>
        <v/>
      </c>
      <c r="L23" s="251" t="n"/>
    </row>
    <row r="24">
      <c r="A24" s="251" t="n"/>
      <c r="B24" s="251" t="n"/>
      <c r="C24" s="251" t="n"/>
      <c r="D24">
        <f>IF(E24="","",IFERROR(VLOOKUP(E24,'FIFO Layers'!$A:$O,5,FALSE),""))</f>
        <v/>
      </c>
      <c r="E24" s="251" t="n"/>
      <c r="F24" s="251" t="n"/>
      <c r="G24" s="248">
        <f>IF(E24="","",IFERROR(VLOOKUP(E24,'FIFO Layers'!$A:$O,10,FALSE),0))</f>
        <v/>
      </c>
      <c r="H24" s="248">
        <f>IF(OR(F24="",G24=""),"",F24*G24)</f>
        <v/>
      </c>
      <c r="I24" s="251" t="n"/>
      <c r="J24" s="251" t="n"/>
      <c r="K24">
        <f>IF(E24="","",IF(IFERROR(VLOOKUP(E24,'FIFO Layers'!$A:$O,12,FALSE),"")&lt;&gt;"Released","HOLD - QUALITY",IF(IFERROR(VLOOKUP(E24,'FIFO Layers'!$A:$O,13,FALSE),999)&lt;&gt;MINIFS('FIFO Layers'!$M:$M,'FIFO Layers'!$E:$E,D24,'FIFO Layers'!$I:$I,"&gt;0",'FIFO Layers'!$L:$L,"Released"),"CHECK FIFO ORDER","FIFO OK")))</f>
        <v/>
      </c>
      <c r="L24" s="251" t="n"/>
    </row>
    <row r="25">
      <c r="A25" s="251" t="n"/>
      <c r="B25" s="251" t="n"/>
      <c r="C25" s="251" t="n"/>
      <c r="D25">
        <f>IF(E25="","",IFERROR(VLOOKUP(E25,'FIFO Layers'!$A:$O,5,FALSE),""))</f>
        <v/>
      </c>
      <c r="E25" s="251" t="n"/>
      <c r="F25" s="251" t="n"/>
      <c r="G25" s="248">
        <f>IF(E25="","",IFERROR(VLOOKUP(E25,'FIFO Layers'!$A:$O,10,FALSE),0))</f>
        <v/>
      </c>
      <c r="H25" s="248">
        <f>IF(OR(F25="",G25=""),"",F25*G25)</f>
        <v/>
      </c>
      <c r="I25" s="251" t="n"/>
      <c r="J25" s="251" t="n"/>
      <c r="K25">
        <f>IF(E25="","",IF(IFERROR(VLOOKUP(E25,'FIFO Layers'!$A:$O,12,FALSE),"")&lt;&gt;"Released","HOLD - QUALITY",IF(IFERROR(VLOOKUP(E25,'FIFO Layers'!$A:$O,13,FALSE),999)&lt;&gt;MINIFS('FIFO Layers'!$M:$M,'FIFO Layers'!$E:$E,D25,'FIFO Layers'!$I:$I,"&gt;0",'FIFO Layers'!$L:$L,"Released"),"CHECK FIFO ORDER","FIFO OK")))</f>
        <v/>
      </c>
      <c r="L25" s="251" t="n"/>
    </row>
    <row r="26">
      <c r="A26" s="251" t="n"/>
      <c r="B26" s="251" t="n"/>
      <c r="C26" s="251" t="n"/>
      <c r="D26">
        <f>IF(E26="","",IFERROR(VLOOKUP(E26,'FIFO Layers'!$A:$O,5,FALSE),""))</f>
        <v/>
      </c>
      <c r="E26" s="251" t="n"/>
      <c r="F26" s="251" t="n"/>
      <c r="G26" s="248">
        <f>IF(E26="","",IFERROR(VLOOKUP(E26,'FIFO Layers'!$A:$O,10,FALSE),0))</f>
        <v/>
      </c>
      <c r="H26" s="248">
        <f>IF(OR(F26="",G26=""),"",F26*G26)</f>
        <v/>
      </c>
      <c r="I26" s="251" t="n"/>
      <c r="J26" s="251" t="n"/>
      <c r="K26">
        <f>IF(E26="","",IF(IFERROR(VLOOKUP(E26,'FIFO Layers'!$A:$O,12,FALSE),"")&lt;&gt;"Released","HOLD - QUALITY",IF(IFERROR(VLOOKUP(E26,'FIFO Layers'!$A:$O,13,FALSE),999)&lt;&gt;MINIFS('FIFO Layers'!$M:$M,'FIFO Layers'!$E:$E,D26,'FIFO Layers'!$I:$I,"&gt;0",'FIFO Layers'!$L:$L,"Released"),"CHECK FIFO ORDER","FIFO OK")))</f>
        <v/>
      </c>
      <c r="L26" s="251" t="n"/>
    </row>
    <row r="27">
      <c r="A27" s="251" t="n"/>
      <c r="B27" s="251" t="n"/>
      <c r="C27" s="251" t="n"/>
      <c r="D27">
        <f>IF(E27="","",IFERROR(VLOOKUP(E27,'FIFO Layers'!$A:$O,5,FALSE),""))</f>
        <v/>
      </c>
      <c r="E27" s="251" t="n"/>
      <c r="F27" s="251" t="n"/>
      <c r="G27" s="248">
        <f>IF(E27="","",IFERROR(VLOOKUP(E27,'FIFO Layers'!$A:$O,10,FALSE),0))</f>
        <v/>
      </c>
      <c r="H27" s="248">
        <f>IF(OR(F27="",G27=""),"",F27*G27)</f>
        <v/>
      </c>
      <c r="I27" s="251" t="n"/>
      <c r="J27" s="251" t="n"/>
      <c r="K27">
        <f>IF(E27="","",IF(IFERROR(VLOOKUP(E27,'FIFO Layers'!$A:$O,12,FALSE),"")&lt;&gt;"Released","HOLD - QUALITY",IF(IFERROR(VLOOKUP(E27,'FIFO Layers'!$A:$O,13,FALSE),999)&lt;&gt;MINIFS('FIFO Layers'!$M:$M,'FIFO Layers'!$E:$E,D27,'FIFO Layers'!$I:$I,"&gt;0",'FIFO Layers'!$L:$L,"Released"),"CHECK FIFO ORDER","FIFO OK")))</f>
        <v/>
      </c>
      <c r="L27" s="251" t="n"/>
    </row>
    <row r="28">
      <c r="A28" s="251" t="n"/>
      <c r="B28" s="251" t="n"/>
      <c r="C28" s="251" t="n"/>
      <c r="D28">
        <f>IF(E28="","",IFERROR(VLOOKUP(E28,'FIFO Layers'!$A:$O,5,FALSE),""))</f>
        <v/>
      </c>
      <c r="E28" s="251" t="n"/>
      <c r="F28" s="251" t="n"/>
      <c r="G28" s="248">
        <f>IF(E28="","",IFERROR(VLOOKUP(E28,'FIFO Layers'!$A:$O,10,FALSE),0))</f>
        <v/>
      </c>
      <c r="H28" s="248">
        <f>IF(OR(F28="",G28=""),"",F28*G28)</f>
        <v/>
      </c>
      <c r="I28" s="251" t="n"/>
      <c r="J28" s="251" t="n"/>
      <c r="K28">
        <f>IF(E28="","",IF(IFERROR(VLOOKUP(E28,'FIFO Layers'!$A:$O,12,FALSE),"")&lt;&gt;"Released","HOLD - QUALITY",IF(IFERROR(VLOOKUP(E28,'FIFO Layers'!$A:$O,13,FALSE),999)&lt;&gt;MINIFS('FIFO Layers'!$M:$M,'FIFO Layers'!$E:$E,D28,'FIFO Layers'!$I:$I,"&gt;0",'FIFO Layers'!$L:$L,"Released"),"CHECK FIFO ORDER","FIFO OK")))</f>
        <v/>
      </c>
      <c r="L28" s="251" t="n"/>
    </row>
    <row r="29">
      <c r="A29" s="251" t="n"/>
      <c r="B29" s="251" t="n"/>
      <c r="C29" s="251" t="n"/>
      <c r="D29">
        <f>IF(E29="","",IFERROR(VLOOKUP(E29,'FIFO Layers'!$A:$O,5,FALSE),""))</f>
        <v/>
      </c>
      <c r="E29" s="251" t="n"/>
      <c r="F29" s="251" t="n"/>
      <c r="G29" s="248">
        <f>IF(E29="","",IFERROR(VLOOKUP(E29,'FIFO Layers'!$A:$O,10,FALSE),0))</f>
        <v/>
      </c>
      <c r="H29" s="248">
        <f>IF(OR(F29="",G29=""),"",F29*G29)</f>
        <v/>
      </c>
      <c r="I29" s="251" t="n"/>
      <c r="J29" s="251" t="n"/>
      <c r="K29">
        <f>IF(E29="","",IF(IFERROR(VLOOKUP(E29,'FIFO Layers'!$A:$O,12,FALSE),"")&lt;&gt;"Released","HOLD - QUALITY",IF(IFERROR(VLOOKUP(E29,'FIFO Layers'!$A:$O,13,FALSE),999)&lt;&gt;MINIFS('FIFO Layers'!$M:$M,'FIFO Layers'!$E:$E,D29,'FIFO Layers'!$I:$I,"&gt;0",'FIFO Layers'!$L:$L,"Released"),"CHECK FIFO ORDER","FIFO OK")))</f>
        <v/>
      </c>
      <c r="L29" s="251" t="n"/>
    </row>
    <row r="30">
      <c r="A30" s="251" t="n"/>
      <c r="B30" s="251" t="n"/>
      <c r="C30" s="251" t="n"/>
      <c r="D30">
        <f>IF(E30="","",IFERROR(VLOOKUP(E30,'FIFO Layers'!$A:$O,5,FALSE),""))</f>
        <v/>
      </c>
      <c r="E30" s="251" t="n"/>
      <c r="F30" s="251" t="n"/>
      <c r="G30" s="248">
        <f>IF(E30="","",IFERROR(VLOOKUP(E30,'FIFO Layers'!$A:$O,10,FALSE),0))</f>
        <v/>
      </c>
      <c r="H30" s="248">
        <f>IF(OR(F30="",G30=""),"",F30*G30)</f>
        <v/>
      </c>
      <c r="I30" s="251" t="n"/>
      <c r="J30" s="251" t="n"/>
      <c r="K30">
        <f>IF(E30="","",IF(IFERROR(VLOOKUP(E30,'FIFO Layers'!$A:$O,12,FALSE),"")&lt;&gt;"Released","HOLD - QUALITY",IF(IFERROR(VLOOKUP(E30,'FIFO Layers'!$A:$O,13,FALSE),999)&lt;&gt;MINIFS('FIFO Layers'!$M:$M,'FIFO Layers'!$E:$E,D30,'FIFO Layers'!$I:$I,"&gt;0",'FIFO Layers'!$L:$L,"Released"),"CHECK FIFO ORDER","FIFO OK")))</f>
        <v/>
      </c>
      <c r="L30" s="251" t="n"/>
    </row>
    <row r="31">
      <c r="A31" s="251" t="n"/>
      <c r="B31" s="251" t="n"/>
      <c r="C31" s="251" t="n"/>
      <c r="D31">
        <f>IF(E31="","",IFERROR(VLOOKUP(E31,'FIFO Layers'!$A:$O,5,FALSE),""))</f>
        <v/>
      </c>
      <c r="E31" s="251" t="n"/>
      <c r="F31" s="251" t="n"/>
      <c r="G31" s="248">
        <f>IF(E31="","",IFERROR(VLOOKUP(E31,'FIFO Layers'!$A:$O,10,FALSE),0))</f>
        <v/>
      </c>
      <c r="H31" s="248">
        <f>IF(OR(F31="",G31=""),"",F31*G31)</f>
        <v/>
      </c>
      <c r="I31" s="251" t="n"/>
      <c r="J31" s="251" t="n"/>
      <c r="K31">
        <f>IF(E31="","",IF(IFERROR(VLOOKUP(E31,'FIFO Layers'!$A:$O,12,FALSE),"")&lt;&gt;"Released","HOLD - QUALITY",IF(IFERROR(VLOOKUP(E31,'FIFO Layers'!$A:$O,13,FALSE),999)&lt;&gt;MINIFS('FIFO Layers'!$M:$M,'FIFO Layers'!$E:$E,D31,'FIFO Layers'!$I:$I,"&gt;0",'FIFO Layers'!$L:$L,"Released"),"CHECK FIFO ORDER","FIFO OK")))</f>
        <v/>
      </c>
      <c r="L31" s="251" t="n"/>
    </row>
    <row r="32">
      <c r="A32" s="251" t="n"/>
      <c r="B32" s="251" t="n"/>
      <c r="C32" s="251" t="n"/>
      <c r="D32">
        <f>IF(E32="","",IFERROR(VLOOKUP(E32,'FIFO Layers'!$A:$O,5,FALSE),""))</f>
        <v/>
      </c>
      <c r="E32" s="251" t="n"/>
      <c r="F32" s="251" t="n"/>
      <c r="G32" s="248">
        <f>IF(E32="","",IFERROR(VLOOKUP(E32,'FIFO Layers'!$A:$O,10,FALSE),0))</f>
        <v/>
      </c>
      <c r="H32" s="248">
        <f>IF(OR(F32="",G32=""),"",F32*G32)</f>
        <v/>
      </c>
      <c r="I32" s="251" t="n"/>
      <c r="J32" s="251" t="n"/>
      <c r="K32">
        <f>IF(E32="","",IF(IFERROR(VLOOKUP(E32,'FIFO Layers'!$A:$O,12,FALSE),"")&lt;&gt;"Released","HOLD - QUALITY",IF(IFERROR(VLOOKUP(E32,'FIFO Layers'!$A:$O,13,FALSE),999)&lt;&gt;MINIFS('FIFO Layers'!$M:$M,'FIFO Layers'!$E:$E,D32,'FIFO Layers'!$I:$I,"&gt;0",'FIFO Layers'!$L:$L,"Released"),"CHECK FIFO ORDER","FIFO OK")))</f>
        <v/>
      </c>
      <c r="L32" s="251" t="n"/>
    </row>
    <row r="33">
      <c r="A33" s="251" t="n"/>
      <c r="B33" s="251" t="n"/>
      <c r="C33" s="251" t="n"/>
      <c r="D33">
        <f>IF(E33="","",IFERROR(VLOOKUP(E33,'FIFO Layers'!$A:$O,5,FALSE),""))</f>
        <v/>
      </c>
      <c r="E33" s="251" t="n"/>
      <c r="F33" s="251" t="n"/>
      <c r="G33" s="248">
        <f>IF(E33="","",IFERROR(VLOOKUP(E33,'FIFO Layers'!$A:$O,10,FALSE),0))</f>
        <v/>
      </c>
      <c r="H33" s="248">
        <f>IF(OR(F33="",G33=""),"",F33*G33)</f>
        <v/>
      </c>
      <c r="I33" s="251" t="n"/>
      <c r="J33" s="251" t="n"/>
      <c r="K33">
        <f>IF(E33="","",IF(IFERROR(VLOOKUP(E33,'FIFO Layers'!$A:$O,12,FALSE),"")&lt;&gt;"Released","HOLD - QUALITY",IF(IFERROR(VLOOKUP(E33,'FIFO Layers'!$A:$O,13,FALSE),999)&lt;&gt;MINIFS('FIFO Layers'!$M:$M,'FIFO Layers'!$E:$E,D33,'FIFO Layers'!$I:$I,"&gt;0",'FIFO Layers'!$L:$L,"Released"),"CHECK FIFO ORDER","FIFO OK")))</f>
        <v/>
      </c>
      <c r="L33" s="251" t="n"/>
    </row>
    <row r="34">
      <c r="A34" s="251" t="n"/>
      <c r="B34" s="251" t="n"/>
      <c r="C34" s="251" t="n"/>
      <c r="D34">
        <f>IF(E34="","",IFERROR(VLOOKUP(E34,'FIFO Layers'!$A:$O,5,FALSE),""))</f>
        <v/>
      </c>
      <c r="E34" s="251" t="n"/>
      <c r="F34" s="251" t="n"/>
      <c r="G34" s="248">
        <f>IF(E34="","",IFERROR(VLOOKUP(E34,'FIFO Layers'!$A:$O,10,FALSE),0))</f>
        <v/>
      </c>
      <c r="H34" s="248">
        <f>IF(OR(F34="",G34=""),"",F34*G34)</f>
        <v/>
      </c>
      <c r="I34" s="251" t="n"/>
      <c r="J34" s="251" t="n"/>
      <c r="K34">
        <f>IF(E34="","",IF(IFERROR(VLOOKUP(E34,'FIFO Layers'!$A:$O,12,FALSE),"")&lt;&gt;"Released","HOLD - QUALITY",IF(IFERROR(VLOOKUP(E34,'FIFO Layers'!$A:$O,13,FALSE),999)&lt;&gt;MINIFS('FIFO Layers'!$M:$M,'FIFO Layers'!$E:$E,D34,'FIFO Layers'!$I:$I,"&gt;0",'FIFO Layers'!$L:$L,"Released"),"CHECK FIFO ORDER","FIFO OK")))</f>
        <v/>
      </c>
      <c r="L34" s="251" t="n"/>
    </row>
    <row r="35">
      <c r="A35" s="251" t="n"/>
      <c r="B35" s="251" t="n"/>
      <c r="C35" s="251" t="n"/>
      <c r="D35">
        <f>IF(E35="","",IFERROR(VLOOKUP(E35,'FIFO Layers'!$A:$O,5,FALSE),""))</f>
        <v/>
      </c>
      <c r="E35" s="251" t="n"/>
      <c r="F35" s="251" t="n"/>
      <c r="G35" s="248">
        <f>IF(E35="","",IFERROR(VLOOKUP(E35,'FIFO Layers'!$A:$O,10,FALSE),0))</f>
        <v/>
      </c>
      <c r="H35" s="248">
        <f>IF(OR(F35="",G35=""),"",F35*G35)</f>
        <v/>
      </c>
      <c r="I35" s="251" t="n"/>
      <c r="J35" s="251" t="n"/>
      <c r="K35">
        <f>IF(E35="","",IF(IFERROR(VLOOKUP(E35,'FIFO Layers'!$A:$O,12,FALSE),"")&lt;&gt;"Released","HOLD - QUALITY",IF(IFERROR(VLOOKUP(E35,'FIFO Layers'!$A:$O,13,FALSE),999)&lt;&gt;MINIFS('FIFO Layers'!$M:$M,'FIFO Layers'!$E:$E,D35,'FIFO Layers'!$I:$I,"&gt;0",'FIFO Layers'!$L:$L,"Released"),"CHECK FIFO ORDER","FIFO OK")))</f>
        <v/>
      </c>
      <c r="L35" s="251" t="n"/>
    </row>
    <row r="36">
      <c r="A36" s="251" t="n"/>
      <c r="B36" s="251" t="n"/>
      <c r="C36" s="251" t="n"/>
      <c r="D36">
        <f>IF(E36="","",IFERROR(VLOOKUP(E36,'FIFO Layers'!$A:$O,5,FALSE),""))</f>
        <v/>
      </c>
      <c r="E36" s="251" t="n"/>
      <c r="F36" s="251" t="n"/>
      <c r="G36" s="248">
        <f>IF(E36="","",IFERROR(VLOOKUP(E36,'FIFO Layers'!$A:$O,10,FALSE),0))</f>
        <v/>
      </c>
      <c r="H36" s="248">
        <f>IF(OR(F36="",G36=""),"",F36*G36)</f>
        <v/>
      </c>
      <c r="I36" s="251" t="n"/>
      <c r="J36" s="251" t="n"/>
      <c r="K36">
        <f>IF(E36="","",IF(IFERROR(VLOOKUP(E36,'FIFO Layers'!$A:$O,12,FALSE),"")&lt;&gt;"Released","HOLD - QUALITY",IF(IFERROR(VLOOKUP(E36,'FIFO Layers'!$A:$O,13,FALSE),999)&lt;&gt;MINIFS('FIFO Layers'!$M:$M,'FIFO Layers'!$E:$E,D36,'FIFO Layers'!$I:$I,"&gt;0",'FIFO Layers'!$L:$L,"Released"),"CHECK FIFO ORDER","FIFO OK")))</f>
        <v/>
      </c>
      <c r="L36" s="251" t="n"/>
    </row>
    <row r="37">
      <c r="A37" s="251" t="n"/>
      <c r="B37" s="251" t="n"/>
      <c r="C37" s="251" t="n"/>
      <c r="D37">
        <f>IF(E37="","",IFERROR(VLOOKUP(E37,'FIFO Layers'!$A:$O,5,FALSE),""))</f>
        <v/>
      </c>
      <c r="E37" s="251" t="n"/>
      <c r="F37" s="251" t="n"/>
      <c r="G37" s="248">
        <f>IF(E37="","",IFERROR(VLOOKUP(E37,'FIFO Layers'!$A:$O,10,FALSE),0))</f>
        <v/>
      </c>
      <c r="H37" s="248">
        <f>IF(OR(F37="",G37=""),"",F37*G37)</f>
        <v/>
      </c>
      <c r="I37" s="251" t="n"/>
      <c r="J37" s="251" t="n"/>
      <c r="K37">
        <f>IF(E37="","",IF(IFERROR(VLOOKUP(E37,'FIFO Layers'!$A:$O,12,FALSE),"")&lt;&gt;"Released","HOLD - QUALITY",IF(IFERROR(VLOOKUP(E37,'FIFO Layers'!$A:$O,13,FALSE),999)&lt;&gt;MINIFS('FIFO Layers'!$M:$M,'FIFO Layers'!$E:$E,D37,'FIFO Layers'!$I:$I,"&gt;0",'FIFO Layers'!$L:$L,"Released"),"CHECK FIFO ORDER","FIFO OK")))</f>
        <v/>
      </c>
      <c r="L37" s="251" t="n"/>
    </row>
    <row r="38">
      <c r="A38" s="251" t="n"/>
      <c r="B38" s="251" t="n"/>
      <c r="C38" s="251" t="n"/>
      <c r="D38">
        <f>IF(E38="","",IFERROR(VLOOKUP(E38,'FIFO Layers'!$A:$O,5,FALSE),""))</f>
        <v/>
      </c>
      <c r="E38" s="251" t="n"/>
      <c r="F38" s="251" t="n"/>
      <c r="G38" s="248">
        <f>IF(E38="","",IFERROR(VLOOKUP(E38,'FIFO Layers'!$A:$O,10,FALSE),0))</f>
        <v/>
      </c>
      <c r="H38" s="248">
        <f>IF(OR(F38="",G38=""),"",F38*G38)</f>
        <v/>
      </c>
      <c r="I38" s="251" t="n"/>
      <c r="J38" s="251" t="n"/>
      <c r="K38">
        <f>IF(E38="","",IF(IFERROR(VLOOKUP(E38,'FIFO Layers'!$A:$O,12,FALSE),"")&lt;&gt;"Released","HOLD - QUALITY",IF(IFERROR(VLOOKUP(E38,'FIFO Layers'!$A:$O,13,FALSE),999)&lt;&gt;MINIFS('FIFO Layers'!$M:$M,'FIFO Layers'!$E:$E,D38,'FIFO Layers'!$I:$I,"&gt;0",'FIFO Layers'!$L:$L,"Released"),"CHECK FIFO ORDER","FIFO OK")))</f>
        <v/>
      </c>
      <c r="L38" s="251" t="n"/>
    </row>
    <row r="39">
      <c r="A39" s="251" t="n"/>
      <c r="B39" s="251" t="n"/>
      <c r="C39" s="251" t="n"/>
      <c r="D39">
        <f>IF(E39="","",IFERROR(VLOOKUP(E39,'FIFO Layers'!$A:$O,5,FALSE),""))</f>
        <v/>
      </c>
      <c r="E39" s="251" t="n"/>
      <c r="F39" s="251" t="n"/>
      <c r="G39" s="248">
        <f>IF(E39="","",IFERROR(VLOOKUP(E39,'FIFO Layers'!$A:$O,10,FALSE),0))</f>
        <v/>
      </c>
      <c r="H39" s="248">
        <f>IF(OR(F39="",G39=""),"",F39*G39)</f>
        <v/>
      </c>
      <c r="I39" s="251" t="n"/>
      <c r="J39" s="251" t="n"/>
      <c r="K39">
        <f>IF(E39="","",IF(IFERROR(VLOOKUP(E39,'FIFO Layers'!$A:$O,12,FALSE),"")&lt;&gt;"Released","HOLD - QUALITY",IF(IFERROR(VLOOKUP(E39,'FIFO Layers'!$A:$O,13,FALSE),999)&lt;&gt;MINIFS('FIFO Layers'!$M:$M,'FIFO Layers'!$E:$E,D39,'FIFO Layers'!$I:$I,"&gt;0",'FIFO Layers'!$L:$L,"Released"),"CHECK FIFO ORDER","FIFO OK")))</f>
        <v/>
      </c>
      <c r="L39" s="251" t="n"/>
    </row>
    <row r="40">
      <c r="A40" s="251" t="n"/>
      <c r="B40" s="251" t="n"/>
      <c r="C40" s="251" t="n"/>
      <c r="D40">
        <f>IF(E40="","",IFERROR(VLOOKUP(E40,'FIFO Layers'!$A:$O,5,FALSE),""))</f>
        <v/>
      </c>
      <c r="E40" s="251" t="n"/>
      <c r="F40" s="251" t="n"/>
      <c r="G40" s="248">
        <f>IF(E40="","",IFERROR(VLOOKUP(E40,'FIFO Layers'!$A:$O,10,FALSE),0))</f>
        <v/>
      </c>
      <c r="H40" s="248">
        <f>IF(OR(F40="",G40=""),"",F40*G40)</f>
        <v/>
      </c>
      <c r="I40" s="251" t="n"/>
      <c r="J40" s="251" t="n"/>
      <c r="K40">
        <f>IF(E40="","",IF(IFERROR(VLOOKUP(E40,'FIFO Layers'!$A:$O,12,FALSE),"")&lt;&gt;"Released","HOLD - QUALITY",IF(IFERROR(VLOOKUP(E40,'FIFO Layers'!$A:$O,13,FALSE),999)&lt;&gt;MINIFS('FIFO Layers'!$M:$M,'FIFO Layers'!$E:$E,D40,'FIFO Layers'!$I:$I,"&gt;0",'FIFO Layers'!$L:$L,"Released"),"CHECK FIFO ORDER","FIFO OK")))</f>
        <v/>
      </c>
      <c r="L40" s="251" t="n"/>
    </row>
    <row r="41">
      <c r="A41" s="251" t="n"/>
      <c r="B41" s="251" t="n"/>
      <c r="C41" s="251" t="n"/>
      <c r="D41">
        <f>IF(E41="","",IFERROR(VLOOKUP(E41,'FIFO Layers'!$A:$O,5,FALSE),""))</f>
        <v/>
      </c>
      <c r="E41" s="251" t="n"/>
      <c r="F41" s="251" t="n"/>
      <c r="G41" s="248">
        <f>IF(E41="","",IFERROR(VLOOKUP(E41,'FIFO Layers'!$A:$O,10,FALSE),0))</f>
        <v/>
      </c>
      <c r="H41" s="248">
        <f>IF(OR(F41="",G41=""),"",F41*G41)</f>
        <v/>
      </c>
      <c r="I41" s="251" t="n"/>
      <c r="J41" s="251" t="n"/>
      <c r="K41">
        <f>IF(E41="","",IF(IFERROR(VLOOKUP(E41,'FIFO Layers'!$A:$O,12,FALSE),"")&lt;&gt;"Released","HOLD - QUALITY",IF(IFERROR(VLOOKUP(E41,'FIFO Layers'!$A:$O,13,FALSE),999)&lt;&gt;MINIFS('FIFO Layers'!$M:$M,'FIFO Layers'!$E:$E,D41,'FIFO Layers'!$I:$I,"&gt;0",'FIFO Layers'!$L:$L,"Released"),"CHECK FIFO ORDER","FIFO OK")))</f>
        <v/>
      </c>
      <c r="L41" s="251" t="n"/>
    </row>
    <row r="42">
      <c r="A42" s="251" t="n"/>
      <c r="B42" s="251" t="n"/>
      <c r="C42" s="251" t="n"/>
      <c r="D42">
        <f>IF(E42="","",IFERROR(VLOOKUP(E42,'FIFO Layers'!$A:$O,5,FALSE),""))</f>
        <v/>
      </c>
      <c r="E42" s="251" t="n"/>
      <c r="F42" s="251" t="n"/>
      <c r="G42" s="248">
        <f>IF(E42="","",IFERROR(VLOOKUP(E42,'FIFO Layers'!$A:$O,10,FALSE),0))</f>
        <v/>
      </c>
      <c r="H42" s="248">
        <f>IF(OR(F42="",G42=""),"",F42*G42)</f>
        <v/>
      </c>
      <c r="I42" s="251" t="n"/>
      <c r="J42" s="251" t="n"/>
      <c r="K42">
        <f>IF(E42="","",IF(IFERROR(VLOOKUP(E42,'FIFO Layers'!$A:$O,12,FALSE),"")&lt;&gt;"Released","HOLD - QUALITY",IF(IFERROR(VLOOKUP(E42,'FIFO Layers'!$A:$O,13,FALSE),999)&lt;&gt;MINIFS('FIFO Layers'!$M:$M,'FIFO Layers'!$E:$E,D42,'FIFO Layers'!$I:$I,"&gt;0",'FIFO Layers'!$L:$L,"Released"),"CHECK FIFO ORDER","FIFO OK")))</f>
        <v/>
      </c>
      <c r="L42" s="251" t="n"/>
    </row>
    <row r="43">
      <c r="A43" s="251" t="n"/>
      <c r="B43" s="251" t="n"/>
      <c r="C43" s="251" t="n"/>
      <c r="D43">
        <f>IF(E43="","",IFERROR(VLOOKUP(E43,'FIFO Layers'!$A:$O,5,FALSE),""))</f>
        <v/>
      </c>
      <c r="E43" s="251" t="n"/>
      <c r="F43" s="251" t="n"/>
      <c r="G43" s="248">
        <f>IF(E43="","",IFERROR(VLOOKUP(E43,'FIFO Layers'!$A:$O,10,FALSE),0))</f>
        <v/>
      </c>
      <c r="H43" s="248">
        <f>IF(OR(F43="",G43=""),"",F43*G43)</f>
        <v/>
      </c>
      <c r="I43" s="251" t="n"/>
      <c r="J43" s="251" t="n"/>
      <c r="K43">
        <f>IF(E43="","",IF(IFERROR(VLOOKUP(E43,'FIFO Layers'!$A:$O,12,FALSE),"")&lt;&gt;"Released","HOLD - QUALITY",IF(IFERROR(VLOOKUP(E43,'FIFO Layers'!$A:$O,13,FALSE),999)&lt;&gt;MINIFS('FIFO Layers'!$M:$M,'FIFO Layers'!$E:$E,D43,'FIFO Layers'!$I:$I,"&gt;0",'FIFO Layers'!$L:$L,"Released"),"CHECK FIFO ORDER","FIFO OK")))</f>
        <v/>
      </c>
      <c r="L43" s="251" t="n"/>
    </row>
    <row r="44">
      <c r="A44" s="251" t="n"/>
      <c r="B44" s="251" t="n"/>
      <c r="C44" s="251" t="n"/>
      <c r="D44">
        <f>IF(E44="","",IFERROR(VLOOKUP(E44,'FIFO Layers'!$A:$O,5,FALSE),""))</f>
        <v/>
      </c>
      <c r="E44" s="251" t="n"/>
      <c r="F44" s="251" t="n"/>
      <c r="G44" s="248">
        <f>IF(E44="","",IFERROR(VLOOKUP(E44,'FIFO Layers'!$A:$O,10,FALSE),0))</f>
        <v/>
      </c>
      <c r="H44" s="248">
        <f>IF(OR(F44="",G44=""),"",F44*G44)</f>
        <v/>
      </c>
      <c r="I44" s="251" t="n"/>
      <c r="J44" s="251" t="n"/>
      <c r="K44">
        <f>IF(E44="","",IF(IFERROR(VLOOKUP(E44,'FIFO Layers'!$A:$O,12,FALSE),"")&lt;&gt;"Released","HOLD - QUALITY",IF(IFERROR(VLOOKUP(E44,'FIFO Layers'!$A:$O,13,FALSE),999)&lt;&gt;MINIFS('FIFO Layers'!$M:$M,'FIFO Layers'!$E:$E,D44,'FIFO Layers'!$I:$I,"&gt;0",'FIFO Layers'!$L:$L,"Released"),"CHECK FIFO ORDER","FIFO OK")))</f>
        <v/>
      </c>
      <c r="L44" s="251" t="n"/>
    </row>
    <row r="45">
      <c r="A45" s="251" t="n"/>
      <c r="B45" s="251" t="n"/>
      <c r="C45" s="251" t="n"/>
      <c r="D45">
        <f>IF(E45="","",IFERROR(VLOOKUP(E45,'FIFO Layers'!$A:$O,5,FALSE),""))</f>
        <v/>
      </c>
      <c r="E45" s="251" t="n"/>
      <c r="F45" s="251" t="n"/>
      <c r="G45" s="248">
        <f>IF(E45="","",IFERROR(VLOOKUP(E45,'FIFO Layers'!$A:$O,10,FALSE),0))</f>
        <v/>
      </c>
      <c r="H45" s="248">
        <f>IF(OR(F45="",G45=""),"",F45*G45)</f>
        <v/>
      </c>
      <c r="I45" s="251" t="n"/>
      <c r="J45" s="251" t="n"/>
      <c r="K45">
        <f>IF(E45="","",IF(IFERROR(VLOOKUP(E45,'FIFO Layers'!$A:$O,12,FALSE),"")&lt;&gt;"Released","HOLD - QUALITY",IF(IFERROR(VLOOKUP(E45,'FIFO Layers'!$A:$O,13,FALSE),999)&lt;&gt;MINIFS('FIFO Layers'!$M:$M,'FIFO Layers'!$E:$E,D45,'FIFO Layers'!$I:$I,"&gt;0",'FIFO Layers'!$L:$L,"Released"),"CHECK FIFO ORDER","FIFO OK")))</f>
        <v/>
      </c>
      <c r="L45" s="251" t="n"/>
    </row>
    <row r="46">
      <c r="A46" s="251" t="n"/>
      <c r="B46" s="251" t="n"/>
      <c r="C46" s="251" t="n"/>
      <c r="D46">
        <f>IF(E46="","",IFERROR(VLOOKUP(E46,'FIFO Layers'!$A:$O,5,FALSE),""))</f>
        <v/>
      </c>
      <c r="E46" s="251" t="n"/>
      <c r="F46" s="251" t="n"/>
      <c r="G46" s="248">
        <f>IF(E46="","",IFERROR(VLOOKUP(E46,'FIFO Layers'!$A:$O,10,FALSE),0))</f>
        <v/>
      </c>
      <c r="H46" s="248">
        <f>IF(OR(F46="",G46=""),"",F46*G46)</f>
        <v/>
      </c>
      <c r="I46" s="251" t="n"/>
      <c r="J46" s="251" t="n"/>
      <c r="K46">
        <f>IF(E46="","",IF(IFERROR(VLOOKUP(E46,'FIFO Layers'!$A:$O,12,FALSE),"")&lt;&gt;"Released","HOLD - QUALITY",IF(IFERROR(VLOOKUP(E46,'FIFO Layers'!$A:$O,13,FALSE),999)&lt;&gt;MINIFS('FIFO Layers'!$M:$M,'FIFO Layers'!$E:$E,D46,'FIFO Layers'!$I:$I,"&gt;0",'FIFO Layers'!$L:$L,"Released"),"CHECK FIFO ORDER","FIFO OK")))</f>
        <v/>
      </c>
      <c r="L46" s="251" t="n"/>
    </row>
    <row r="47">
      <c r="A47" s="251" t="n"/>
      <c r="B47" s="251" t="n"/>
      <c r="C47" s="251" t="n"/>
      <c r="D47">
        <f>IF(E47="","",IFERROR(VLOOKUP(E47,'FIFO Layers'!$A:$O,5,FALSE),""))</f>
        <v/>
      </c>
      <c r="E47" s="251" t="n"/>
      <c r="F47" s="251" t="n"/>
      <c r="G47" s="248">
        <f>IF(E47="","",IFERROR(VLOOKUP(E47,'FIFO Layers'!$A:$O,10,FALSE),0))</f>
        <v/>
      </c>
      <c r="H47" s="248">
        <f>IF(OR(F47="",G47=""),"",F47*G47)</f>
        <v/>
      </c>
      <c r="I47" s="251" t="n"/>
      <c r="J47" s="251" t="n"/>
      <c r="K47">
        <f>IF(E47="","",IF(IFERROR(VLOOKUP(E47,'FIFO Layers'!$A:$O,12,FALSE),"")&lt;&gt;"Released","HOLD - QUALITY",IF(IFERROR(VLOOKUP(E47,'FIFO Layers'!$A:$O,13,FALSE),999)&lt;&gt;MINIFS('FIFO Layers'!$M:$M,'FIFO Layers'!$E:$E,D47,'FIFO Layers'!$I:$I,"&gt;0",'FIFO Layers'!$L:$L,"Released"),"CHECK FIFO ORDER","FIFO OK")))</f>
        <v/>
      </c>
      <c r="L47" s="251" t="n"/>
    </row>
    <row r="48">
      <c r="A48" s="251" t="n"/>
      <c r="B48" s="251" t="n"/>
      <c r="C48" s="251" t="n"/>
      <c r="D48">
        <f>IF(E48="","",IFERROR(VLOOKUP(E48,'FIFO Layers'!$A:$O,5,FALSE),""))</f>
        <v/>
      </c>
      <c r="E48" s="251" t="n"/>
      <c r="F48" s="251" t="n"/>
      <c r="G48" s="248">
        <f>IF(E48="","",IFERROR(VLOOKUP(E48,'FIFO Layers'!$A:$O,10,FALSE),0))</f>
        <v/>
      </c>
      <c r="H48" s="248">
        <f>IF(OR(F48="",G48=""),"",F48*G48)</f>
        <v/>
      </c>
      <c r="I48" s="251" t="n"/>
      <c r="J48" s="251" t="n"/>
      <c r="K48">
        <f>IF(E48="","",IF(IFERROR(VLOOKUP(E48,'FIFO Layers'!$A:$O,12,FALSE),"")&lt;&gt;"Released","HOLD - QUALITY",IF(IFERROR(VLOOKUP(E48,'FIFO Layers'!$A:$O,13,FALSE),999)&lt;&gt;MINIFS('FIFO Layers'!$M:$M,'FIFO Layers'!$E:$E,D48,'FIFO Layers'!$I:$I,"&gt;0",'FIFO Layers'!$L:$L,"Released"),"CHECK FIFO ORDER","FIFO OK")))</f>
        <v/>
      </c>
      <c r="L48" s="251" t="n"/>
    </row>
    <row r="49">
      <c r="A49" s="251" t="n"/>
      <c r="B49" s="251" t="n"/>
      <c r="C49" s="251" t="n"/>
      <c r="D49">
        <f>IF(E49="","",IFERROR(VLOOKUP(E49,'FIFO Layers'!$A:$O,5,FALSE),""))</f>
        <v/>
      </c>
      <c r="E49" s="251" t="n"/>
      <c r="F49" s="251" t="n"/>
      <c r="G49" s="248">
        <f>IF(E49="","",IFERROR(VLOOKUP(E49,'FIFO Layers'!$A:$O,10,FALSE),0))</f>
        <v/>
      </c>
      <c r="H49" s="248">
        <f>IF(OR(F49="",G49=""),"",F49*G49)</f>
        <v/>
      </c>
      <c r="I49" s="251" t="n"/>
      <c r="J49" s="251" t="n"/>
      <c r="K49">
        <f>IF(E49="","",IF(IFERROR(VLOOKUP(E49,'FIFO Layers'!$A:$O,12,FALSE),"")&lt;&gt;"Released","HOLD - QUALITY",IF(IFERROR(VLOOKUP(E49,'FIFO Layers'!$A:$O,13,FALSE),999)&lt;&gt;MINIFS('FIFO Layers'!$M:$M,'FIFO Layers'!$E:$E,D49,'FIFO Layers'!$I:$I,"&gt;0",'FIFO Layers'!$L:$L,"Released"),"CHECK FIFO ORDER","FIFO OK")))</f>
        <v/>
      </c>
      <c r="L49" s="251" t="n"/>
    </row>
    <row r="50">
      <c r="A50" s="251" t="n"/>
      <c r="B50" s="251" t="n"/>
      <c r="C50" s="251" t="n"/>
      <c r="D50">
        <f>IF(E50="","",IFERROR(VLOOKUP(E50,'FIFO Layers'!$A:$O,5,FALSE),""))</f>
        <v/>
      </c>
      <c r="E50" s="251" t="n"/>
      <c r="F50" s="251" t="n"/>
      <c r="G50" s="248">
        <f>IF(E50="","",IFERROR(VLOOKUP(E50,'FIFO Layers'!$A:$O,10,FALSE),0))</f>
        <v/>
      </c>
      <c r="H50" s="248">
        <f>IF(OR(F50="",G50=""),"",F50*G50)</f>
        <v/>
      </c>
      <c r="I50" s="251" t="n"/>
      <c r="J50" s="251" t="n"/>
      <c r="K50">
        <f>IF(E50="","",IF(IFERROR(VLOOKUP(E50,'FIFO Layers'!$A:$O,12,FALSE),"")&lt;&gt;"Released","HOLD - QUALITY",IF(IFERROR(VLOOKUP(E50,'FIFO Layers'!$A:$O,13,FALSE),999)&lt;&gt;MINIFS('FIFO Layers'!$M:$M,'FIFO Layers'!$E:$E,D50,'FIFO Layers'!$I:$I,"&gt;0",'FIFO Layers'!$L:$L,"Released"),"CHECK FIFO ORDER","FIFO OK")))</f>
        <v/>
      </c>
      <c r="L50" s="251" t="n"/>
    </row>
    <row r="51">
      <c r="A51" s="251" t="n"/>
      <c r="B51" s="251" t="n"/>
      <c r="C51" s="251" t="n"/>
      <c r="D51">
        <f>IF(E51="","",IFERROR(VLOOKUP(E51,'FIFO Layers'!$A:$O,5,FALSE),""))</f>
        <v/>
      </c>
      <c r="E51" s="251" t="n"/>
      <c r="F51" s="251" t="n"/>
      <c r="G51" s="248">
        <f>IF(E51="","",IFERROR(VLOOKUP(E51,'FIFO Layers'!$A:$O,10,FALSE),0))</f>
        <v/>
      </c>
      <c r="H51" s="248">
        <f>IF(OR(F51="",G51=""),"",F51*G51)</f>
        <v/>
      </c>
      <c r="I51" s="251" t="n"/>
      <c r="J51" s="251" t="n"/>
      <c r="K51">
        <f>IF(E51="","",IF(IFERROR(VLOOKUP(E51,'FIFO Layers'!$A:$O,12,FALSE),"")&lt;&gt;"Released","HOLD - QUALITY",IF(IFERROR(VLOOKUP(E51,'FIFO Layers'!$A:$O,13,FALSE),999)&lt;&gt;MINIFS('FIFO Layers'!$M:$M,'FIFO Layers'!$E:$E,D51,'FIFO Layers'!$I:$I,"&gt;0",'FIFO Layers'!$L:$L,"Released"),"CHECK FIFO ORDER","FIFO OK")))</f>
        <v/>
      </c>
      <c r="L51" s="251" t="n"/>
    </row>
    <row r="52">
      <c r="A52" s="251" t="n"/>
      <c r="B52" s="251" t="n"/>
      <c r="C52" s="251" t="n"/>
      <c r="D52">
        <f>IF(E52="","",IFERROR(VLOOKUP(E52,'FIFO Layers'!$A:$O,5,FALSE),""))</f>
        <v/>
      </c>
      <c r="E52" s="251" t="n"/>
      <c r="F52" s="251" t="n"/>
      <c r="G52" s="248">
        <f>IF(E52="","",IFERROR(VLOOKUP(E52,'FIFO Layers'!$A:$O,10,FALSE),0))</f>
        <v/>
      </c>
      <c r="H52" s="248">
        <f>IF(OR(F52="",G52=""),"",F52*G52)</f>
        <v/>
      </c>
      <c r="I52" s="251" t="n"/>
      <c r="J52" s="251" t="n"/>
      <c r="K52">
        <f>IF(E52="","",IF(IFERROR(VLOOKUP(E52,'FIFO Layers'!$A:$O,12,FALSE),"")&lt;&gt;"Released","HOLD - QUALITY",IF(IFERROR(VLOOKUP(E52,'FIFO Layers'!$A:$O,13,FALSE),999)&lt;&gt;MINIFS('FIFO Layers'!$M:$M,'FIFO Layers'!$E:$E,D52,'FIFO Layers'!$I:$I,"&gt;0",'FIFO Layers'!$L:$L,"Released"),"CHECK FIFO ORDER","FIFO OK")))</f>
        <v/>
      </c>
      <c r="L52" s="251" t="n"/>
    </row>
    <row r="53">
      <c r="A53" s="251" t="n"/>
      <c r="B53" s="251" t="n"/>
      <c r="C53" s="251" t="n"/>
      <c r="D53">
        <f>IF(E53="","",IFERROR(VLOOKUP(E53,'FIFO Layers'!$A:$O,5,FALSE),""))</f>
        <v/>
      </c>
      <c r="E53" s="251" t="n"/>
      <c r="F53" s="251" t="n"/>
      <c r="G53" s="248">
        <f>IF(E53="","",IFERROR(VLOOKUP(E53,'FIFO Layers'!$A:$O,10,FALSE),0))</f>
        <v/>
      </c>
      <c r="H53" s="248">
        <f>IF(OR(F53="",G53=""),"",F53*G53)</f>
        <v/>
      </c>
      <c r="I53" s="251" t="n"/>
      <c r="J53" s="251" t="n"/>
      <c r="K53">
        <f>IF(E53="","",IF(IFERROR(VLOOKUP(E53,'FIFO Layers'!$A:$O,12,FALSE),"")&lt;&gt;"Released","HOLD - QUALITY",IF(IFERROR(VLOOKUP(E53,'FIFO Layers'!$A:$O,13,FALSE),999)&lt;&gt;MINIFS('FIFO Layers'!$M:$M,'FIFO Layers'!$E:$E,D53,'FIFO Layers'!$I:$I,"&gt;0",'FIFO Layers'!$L:$L,"Released"),"CHECK FIFO ORDER","FIFO OK")))</f>
        <v/>
      </c>
      <c r="L53" s="251" t="n"/>
    </row>
    <row r="54">
      <c r="A54" s="251" t="n"/>
      <c r="B54" s="251" t="n"/>
      <c r="C54" s="251" t="n"/>
      <c r="D54">
        <f>IF(E54="","",IFERROR(VLOOKUP(E54,'FIFO Layers'!$A:$O,5,FALSE),""))</f>
        <v/>
      </c>
      <c r="E54" s="251" t="n"/>
      <c r="F54" s="251" t="n"/>
      <c r="G54" s="248">
        <f>IF(E54="","",IFERROR(VLOOKUP(E54,'FIFO Layers'!$A:$O,10,FALSE),0))</f>
        <v/>
      </c>
      <c r="H54" s="248">
        <f>IF(OR(F54="",G54=""),"",F54*G54)</f>
        <v/>
      </c>
      <c r="I54" s="251" t="n"/>
      <c r="J54" s="251" t="n"/>
      <c r="K54">
        <f>IF(E54="","",IF(IFERROR(VLOOKUP(E54,'FIFO Layers'!$A:$O,12,FALSE),"")&lt;&gt;"Released","HOLD - QUALITY",IF(IFERROR(VLOOKUP(E54,'FIFO Layers'!$A:$O,13,FALSE),999)&lt;&gt;MINIFS('FIFO Layers'!$M:$M,'FIFO Layers'!$E:$E,D54,'FIFO Layers'!$I:$I,"&gt;0",'FIFO Layers'!$L:$L,"Released"),"CHECK FIFO ORDER","FIFO OK")))</f>
        <v/>
      </c>
      <c r="L54" s="251" t="n"/>
    </row>
    <row r="55">
      <c r="A55" s="251" t="n"/>
      <c r="B55" s="251" t="n"/>
      <c r="C55" s="251" t="n"/>
      <c r="D55">
        <f>IF(E55="","",IFERROR(VLOOKUP(E55,'FIFO Layers'!$A:$O,5,FALSE),""))</f>
        <v/>
      </c>
      <c r="E55" s="251" t="n"/>
      <c r="F55" s="251" t="n"/>
      <c r="G55" s="248">
        <f>IF(E55="","",IFERROR(VLOOKUP(E55,'FIFO Layers'!$A:$O,10,FALSE),0))</f>
        <v/>
      </c>
      <c r="H55" s="248">
        <f>IF(OR(F55="",G55=""),"",F55*G55)</f>
        <v/>
      </c>
      <c r="I55" s="251" t="n"/>
      <c r="J55" s="251" t="n"/>
      <c r="K55">
        <f>IF(E55="","",IF(IFERROR(VLOOKUP(E55,'FIFO Layers'!$A:$O,12,FALSE),"")&lt;&gt;"Released","HOLD - QUALITY",IF(IFERROR(VLOOKUP(E55,'FIFO Layers'!$A:$O,13,FALSE),999)&lt;&gt;MINIFS('FIFO Layers'!$M:$M,'FIFO Layers'!$E:$E,D55,'FIFO Layers'!$I:$I,"&gt;0",'FIFO Layers'!$L:$L,"Released"),"CHECK FIFO ORDER","FIFO OK")))</f>
        <v/>
      </c>
      <c r="L55" s="251" t="n"/>
    </row>
    <row r="56">
      <c r="A56" s="251" t="n"/>
      <c r="B56" s="251" t="n"/>
      <c r="C56" s="251" t="n"/>
      <c r="D56">
        <f>IF(E56="","",IFERROR(VLOOKUP(E56,'FIFO Layers'!$A:$O,5,FALSE),""))</f>
        <v/>
      </c>
      <c r="E56" s="251" t="n"/>
      <c r="F56" s="251" t="n"/>
      <c r="G56" s="248">
        <f>IF(E56="","",IFERROR(VLOOKUP(E56,'FIFO Layers'!$A:$O,10,FALSE),0))</f>
        <v/>
      </c>
      <c r="H56" s="248">
        <f>IF(OR(F56="",G56=""),"",F56*G56)</f>
        <v/>
      </c>
      <c r="I56" s="251" t="n"/>
      <c r="J56" s="251" t="n"/>
      <c r="K56">
        <f>IF(E56="","",IF(IFERROR(VLOOKUP(E56,'FIFO Layers'!$A:$O,12,FALSE),"")&lt;&gt;"Released","HOLD - QUALITY",IF(IFERROR(VLOOKUP(E56,'FIFO Layers'!$A:$O,13,FALSE),999)&lt;&gt;MINIFS('FIFO Layers'!$M:$M,'FIFO Layers'!$E:$E,D56,'FIFO Layers'!$I:$I,"&gt;0",'FIFO Layers'!$L:$L,"Released"),"CHECK FIFO ORDER","FIFO OK")))</f>
        <v/>
      </c>
      <c r="L56" s="251" t="n"/>
    </row>
    <row r="57">
      <c r="A57" s="251" t="n"/>
      <c r="B57" s="251" t="n"/>
      <c r="C57" s="251" t="n"/>
      <c r="D57">
        <f>IF(E57="","",IFERROR(VLOOKUP(E57,'FIFO Layers'!$A:$O,5,FALSE),""))</f>
        <v/>
      </c>
      <c r="E57" s="251" t="n"/>
      <c r="F57" s="251" t="n"/>
      <c r="G57" s="248">
        <f>IF(E57="","",IFERROR(VLOOKUP(E57,'FIFO Layers'!$A:$O,10,FALSE),0))</f>
        <v/>
      </c>
      <c r="H57" s="248">
        <f>IF(OR(F57="",G57=""),"",F57*G57)</f>
        <v/>
      </c>
      <c r="I57" s="251" t="n"/>
      <c r="J57" s="251" t="n"/>
      <c r="K57">
        <f>IF(E57="","",IF(IFERROR(VLOOKUP(E57,'FIFO Layers'!$A:$O,12,FALSE),"")&lt;&gt;"Released","HOLD - QUALITY",IF(IFERROR(VLOOKUP(E57,'FIFO Layers'!$A:$O,13,FALSE),999)&lt;&gt;MINIFS('FIFO Layers'!$M:$M,'FIFO Layers'!$E:$E,D57,'FIFO Layers'!$I:$I,"&gt;0",'FIFO Layers'!$L:$L,"Released"),"CHECK FIFO ORDER","FIFO OK")))</f>
        <v/>
      </c>
      <c r="L57" s="251" t="n"/>
    </row>
    <row r="58">
      <c r="A58" s="251" t="n"/>
      <c r="B58" s="251" t="n"/>
      <c r="C58" s="251" t="n"/>
      <c r="D58">
        <f>IF(E58="","",IFERROR(VLOOKUP(E58,'FIFO Layers'!$A:$O,5,FALSE),""))</f>
        <v/>
      </c>
      <c r="E58" s="251" t="n"/>
      <c r="F58" s="251" t="n"/>
      <c r="G58" s="248">
        <f>IF(E58="","",IFERROR(VLOOKUP(E58,'FIFO Layers'!$A:$O,10,FALSE),0))</f>
        <v/>
      </c>
      <c r="H58" s="248">
        <f>IF(OR(F58="",G58=""),"",F58*G58)</f>
        <v/>
      </c>
      <c r="I58" s="251" t="n"/>
      <c r="J58" s="251" t="n"/>
      <c r="K58">
        <f>IF(E58="","",IF(IFERROR(VLOOKUP(E58,'FIFO Layers'!$A:$O,12,FALSE),"")&lt;&gt;"Released","HOLD - QUALITY",IF(IFERROR(VLOOKUP(E58,'FIFO Layers'!$A:$O,13,FALSE),999)&lt;&gt;MINIFS('FIFO Layers'!$M:$M,'FIFO Layers'!$E:$E,D58,'FIFO Layers'!$I:$I,"&gt;0",'FIFO Layers'!$L:$L,"Released"),"CHECK FIFO ORDER","FIFO OK")))</f>
        <v/>
      </c>
      <c r="L58" s="251" t="n"/>
    </row>
    <row r="59">
      <c r="A59" s="251" t="n"/>
      <c r="B59" s="251" t="n"/>
      <c r="C59" s="251" t="n"/>
      <c r="D59">
        <f>IF(E59="","",IFERROR(VLOOKUP(E59,'FIFO Layers'!$A:$O,5,FALSE),""))</f>
        <v/>
      </c>
      <c r="E59" s="251" t="n"/>
      <c r="F59" s="251" t="n"/>
      <c r="G59" s="248">
        <f>IF(E59="","",IFERROR(VLOOKUP(E59,'FIFO Layers'!$A:$O,10,FALSE),0))</f>
        <v/>
      </c>
      <c r="H59" s="248">
        <f>IF(OR(F59="",G59=""),"",F59*G59)</f>
        <v/>
      </c>
      <c r="I59" s="251" t="n"/>
      <c r="J59" s="251" t="n"/>
      <c r="K59">
        <f>IF(E59="","",IF(IFERROR(VLOOKUP(E59,'FIFO Layers'!$A:$O,12,FALSE),"")&lt;&gt;"Released","HOLD - QUALITY",IF(IFERROR(VLOOKUP(E59,'FIFO Layers'!$A:$O,13,FALSE),999)&lt;&gt;MINIFS('FIFO Layers'!$M:$M,'FIFO Layers'!$E:$E,D59,'FIFO Layers'!$I:$I,"&gt;0",'FIFO Layers'!$L:$L,"Released"),"CHECK FIFO ORDER","FIFO OK")))</f>
        <v/>
      </c>
      <c r="L59" s="251" t="n"/>
    </row>
    <row r="60">
      <c r="A60" s="251" t="n"/>
      <c r="B60" s="251" t="n"/>
      <c r="C60" s="251" t="n"/>
      <c r="D60">
        <f>IF(E60="","",IFERROR(VLOOKUP(E60,'FIFO Layers'!$A:$O,5,FALSE),""))</f>
        <v/>
      </c>
      <c r="E60" s="251" t="n"/>
      <c r="F60" s="251" t="n"/>
      <c r="G60" s="248">
        <f>IF(E60="","",IFERROR(VLOOKUP(E60,'FIFO Layers'!$A:$O,10,FALSE),0))</f>
        <v/>
      </c>
      <c r="H60" s="248">
        <f>IF(OR(F60="",G60=""),"",F60*G60)</f>
        <v/>
      </c>
      <c r="I60" s="251" t="n"/>
      <c r="J60" s="251" t="n"/>
      <c r="K60">
        <f>IF(E60="","",IF(IFERROR(VLOOKUP(E60,'FIFO Layers'!$A:$O,12,FALSE),"")&lt;&gt;"Released","HOLD - QUALITY",IF(IFERROR(VLOOKUP(E60,'FIFO Layers'!$A:$O,13,FALSE),999)&lt;&gt;MINIFS('FIFO Layers'!$M:$M,'FIFO Layers'!$E:$E,D60,'FIFO Layers'!$I:$I,"&gt;0",'FIFO Layers'!$L:$L,"Released"),"CHECK FIFO ORDER","FIFO OK")))</f>
        <v/>
      </c>
      <c r="L60" s="251" t="n"/>
    </row>
    <row r="61">
      <c r="A61" s="251" t="n"/>
      <c r="B61" s="251" t="n"/>
      <c r="C61" s="251" t="n"/>
      <c r="D61">
        <f>IF(E61="","",IFERROR(VLOOKUP(E61,'FIFO Layers'!$A:$O,5,FALSE),""))</f>
        <v/>
      </c>
      <c r="E61" s="251" t="n"/>
      <c r="F61" s="251" t="n"/>
      <c r="G61" s="248">
        <f>IF(E61="","",IFERROR(VLOOKUP(E61,'FIFO Layers'!$A:$O,10,FALSE),0))</f>
        <v/>
      </c>
      <c r="H61" s="248">
        <f>IF(OR(F61="",G61=""),"",F61*G61)</f>
        <v/>
      </c>
      <c r="I61" s="251" t="n"/>
      <c r="J61" s="251" t="n"/>
      <c r="K61">
        <f>IF(E61="","",IF(IFERROR(VLOOKUP(E61,'FIFO Layers'!$A:$O,12,FALSE),"")&lt;&gt;"Released","HOLD - QUALITY",IF(IFERROR(VLOOKUP(E61,'FIFO Layers'!$A:$O,13,FALSE),999)&lt;&gt;MINIFS('FIFO Layers'!$M:$M,'FIFO Layers'!$E:$E,D61,'FIFO Layers'!$I:$I,"&gt;0",'FIFO Layers'!$L:$L,"Released"),"CHECK FIFO ORDER","FIFO OK")))</f>
        <v/>
      </c>
      <c r="L61" s="251" t="n"/>
    </row>
    <row r="62">
      <c r="A62" s="251" t="n"/>
      <c r="B62" s="251" t="n"/>
      <c r="C62" s="251" t="n"/>
      <c r="D62">
        <f>IF(E62="","",IFERROR(VLOOKUP(E62,'FIFO Layers'!$A:$O,5,FALSE),""))</f>
        <v/>
      </c>
      <c r="E62" s="251" t="n"/>
      <c r="F62" s="251" t="n"/>
      <c r="G62" s="248">
        <f>IF(E62="","",IFERROR(VLOOKUP(E62,'FIFO Layers'!$A:$O,10,FALSE),0))</f>
        <v/>
      </c>
      <c r="H62" s="248">
        <f>IF(OR(F62="",G62=""),"",F62*G62)</f>
        <v/>
      </c>
      <c r="I62" s="251" t="n"/>
      <c r="J62" s="251" t="n"/>
      <c r="K62">
        <f>IF(E62="","",IF(IFERROR(VLOOKUP(E62,'FIFO Layers'!$A:$O,12,FALSE),"")&lt;&gt;"Released","HOLD - QUALITY",IF(IFERROR(VLOOKUP(E62,'FIFO Layers'!$A:$O,13,FALSE),999)&lt;&gt;MINIFS('FIFO Layers'!$M:$M,'FIFO Layers'!$E:$E,D62,'FIFO Layers'!$I:$I,"&gt;0",'FIFO Layers'!$L:$L,"Released"),"CHECK FIFO ORDER","FIFO OK")))</f>
        <v/>
      </c>
      <c r="L62" s="251" t="n"/>
    </row>
    <row r="63">
      <c r="A63" s="251" t="n"/>
      <c r="B63" s="251" t="n"/>
      <c r="C63" s="251" t="n"/>
      <c r="D63">
        <f>IF(E63="","",IFERROR(VLOOKUP(E63,'FIFO Layers'!$A:$O,5,FALSE),""))</f>
        <v/>
      </c>
      <c r="E63" s="251" t="n"/>
      <c r="F63" s="251" t="n"/>
      <c r="G63" s="248">
        <f>IF(E63="","",IFERROR(VLOOKUP(E63,'FIFO Layers'!$A:$O,10,FALSE),0))</f>
        <v/>
      </c>
      <c r="H63" s="248">
        <f>IF(OR(F63="",G63=""),"",F63*G63)</f>
        <v/>
      </c>
      <c r="I63" s="251" t="n"/>
      <c r="J63" s="251" t="n"/>
      <c r="K63">
        <f>IF(E63="","",IF(IFERROR(VLOOKUP(E63,'FIFO Layers'!$A:$O,12,FALSE),"")&lt;&gt;"Released","HOLD - QUALITY",IF(IFERROR(VLOOKUP(E63,'FIFO Layers'!$A:$O,13,FALSE),999)&lt;&gt;MINIFS('FIFO Layers'!$M:$M,'FIFO Layers'!$E:$E,D63,'FIFO Layers'!$I:$I,"&gt;0",'FIFO Layers'!$L:$L,"Released"),"CHECK FIFO ORDER","FIFO OK")))</f>
        <v/>
      </c>
      <c r="L63" s="251" t="n"/>
    </row>
    <row r="64">
      <c r="A64" s="251" t="n"/>
      <c r="B64" s="251" t="n"/>
      <c r="C64" s="251" t="n"/>
      <c r="D64">
        <f>IF(E64="","",IFERROR(VLOOKUP(E64,'FIFO Layers'!$A:$O,5,FALSE),""))</f>
        <v/>
      </c>
      <c r="E64" s="251" t="n"/>
      <c r="F64" s="251" t="n"/>
      <c r="G64" s="248">
        <f>IF(E64="","",IFERROR(VLOOKUP(E64,'FIFO Layers'!$A:$O,10,FALSE),0))</f>
        <v/>
      </c>
      <c r="H64" s="248">
        <f>IF(OR(F64="",G64=""),"",F64*G64)</f>
        <v/>
      </c>
      <c r="I64" s="251" t="n"/>
      <c r="J64" s="251" t="n"/>
      <c r="K64">
        <f>IF(E64="","",IF(IFERROR(VLOOKUP(E64,'FIFO Layers'!$A:$O,12,FALSE),"")&lt;&gt;"Released","HOLD - QUALITY",IF(IFERROR(VLOOKUP(E64,'FIFO Layers'!$A:$O,13,FALSE),999)&lt;&gt;MINIFS('FIFO Layers'!$M:$M,'FIFO Layers'!$E:$E,D64,'FIFO Layers'!$I:$I,"&gt;0",'FIFO Layers'!$L:$L,"Released"),"CHECK FIFO ORDER","FIFO OK")))</f>
        <v/>
      </c>
      <c r="L64" s="251" t="n"/>
    </row>
    <row r="65">
      <c r="A65" s="251" t="n"/>
      <c r="B65" s="251" t="n"/>
      <c r="C65" s="251" t="n"/>
      <c r="D65">
        <f>IF(E65="","",IFERROR(VLOOKUP(E65,'FIFO Layers'!$A:$O,5,FALSE),""))</f>
        <v/>
      </c>
      <c r="E65" s="251" t="n"/>
      <c r="F65" s="251" t="n"/>
      <c r="G65" s="248">
        <f>IF(E65="","",IFERROR(VLOOKUP(E65,'FIFO Layers'!$A:$O,10,FALSE),0))</f>
        <v/>
      </c>
      <c r="H65" s="248">
        <f>IF(OR(F65="",G65=""),"",F65*G65)</f>
        <v/>
      </c>
      <c r="I65" s="251" t="n"/>
      <c r="J65" s="251" t="n"/>
      <c r="K65">
        <f>IF(E65="","",IF(IFERROR(VLOOKUP(E65,'FIFO Layers'!$A:$O,12,FALSE),"")&lt;&gt;"Released","HOLD - QUALITY",IF(IFERROR(VLOOKUP(E65,'FIFO Layers'!$A:$O,13,FALSE),999)&lt;&gt;MINIFS('FIFO Layers'!$M:$M,'FIFO Layers'!$E:$E,D65,'FIFO Layers'!$I:$I,"&gt;0",'FIFO Layers'!$L:$L,"Released"),"CHECK FIFO ORDER","FIFO OK")))</f>
        <v/>
      </c>
      <c r="L65" s="251" t="n"/>
    </row>
    <row r="66">
      <c r="A66" s="251" t="n"/>
      <c r="B66" s="251" t="n"/>
      <c r="C66" s="251" t="n"/>
      <c r="D66">
        <f>IF(E66="","",IFERROR(VLOOKUP(E66,'FIFO Layers'!$A:$O,5,FALSE),""))</f>
        <v/>
      </c>
      <c r="E66" s="251" t="n"/>
      <c r="F66" s="251" t="n"/>
      <c r="G66" s="248">
        <f>IF(E66="","",IFERROR(VLOOKUP(E66,'FIFO Layers'!$A:$O,10,FALSE),0))</f>
        <v/>
      </c>
      <c r="H66" s="248">
        <f>IF(OR(F66="",G66=""),"",F66*G66)</f>
        <v/>
      </c>
      <c r="I66" s="251" t="n"/>
      <c r="J66" s="251" t="n"/>
      <c r="K66">
        <f>IF(E66="","",IF(IFERROR(VLOOKUP(E66,'FIFO Layers'!$A:$O,12,FALSE),"")&lt;&gt;"Released","HOLD - QUALITY",IF(IFERROR(VLOOKUP(E66,'FIFO Layers'!$A:$O,13,FALSE),999)&lt;&gt;MINIFS('FIFO Layers'!$M:$M,'FIFO Layers'!$E:$E,D66,'FIFO Layers'!$I:$I,"&gt;0",'FIFO Layers'!$L:$L,"Released"),"CHECK FIFO ORDER","FIFO OK")))</f>
        <v/>
      </c>
      <c r="L66" s="251" t="n"/>
    </row>
    <row r="67">
      <c r="A67" s="251" t="n"/>
      <c r="B67" s="251" t="n"/>
      <c r="C67" s="251" t="n"/>
      <c r="D67">
        <f>IF(E67="","",IFERROR(VLOOKUP(E67,'FIFO Layers'!$A:$O,5,FALSE),""))</f>
        <v/>
      </c>
      <c r="E67" s="251" t="n"/>
      <c r="F67" s="251" t="n"/>
      <c r="G67" s="248">
        <f>IF(E67="","",IFERROR(VLOOKUP(E67,'FIFO Layers'!$A:$O,10,FALSE),0))</f>
        <v/>
      </c>
      <c r="H67" s="248">
        <f>IF(OR(F67="",G67=""),"",F67*G67)</f>
        <v/>
      </c>
      <c r="I67" s="251" t="n"/>
      <c r="J67" s="251" t="n"/>
      <c r="K67">
        <f>IF(E67="","",IF(IFERROR(VLOOKUP(E67,'FIFO Layers'!$A:$O,12,FALSE),"")&lt;&gt;"Released","HOLD - QUALITY",IF(IFERROR(VLOOKUP(E67,'FIFO Layers'!$A:$O,13,FALSE),999)&lt;&gt;MINIFS('FIFO Layers'!$M:$M,'FIFO Layers'!$E:$E,D67,'FIFO Layers'!$I:$I,"&gt;0",'FIFO Layers'!$L:$L,"Released"),"CHECK FIFO ORDER","FIFO OK")))</f>
        <v/>
      </c>
      <c r="L67" s="251" t="n"/>
    </row>
    <row r="68">
      <c r="A68" s="251" t="n"/>
      <c r="B68" s="251" t="n"/>
      <c r="C68" s="251" t="n"/>
      <c r="D68">
        <f>IF(E68="","",IFERROR(VLOOKUP(E68,'FIFO Layers'!$A:$O,5,FALSE),""))</f>
        <v/>
      </c>
      <c r="E68" s="251" t="n"/>
      <c r="F68" s="251" t="n"/>
      <c r="G68" s="248">
        <f>IF(E68="","",IFERROR(VLOOKUP(E68,'FIFO Layers'!$A:$O,10,FALSE),0))</f>
        <v/>
      </c>
      <c r="H68" s="248">
        <f>IF(OR(F68="",G68=""),"",F68*G68)</f>
        <v/>
      </c>
      <c r="I68" s="251" t="n"/>
      <c r="J68" s="251" t="n"/>
      <c r="K68">
        <f>IF(E68="","",IF(IFERROR(VLOOKUP(E68,'FIFO Layers'!$A:$O,12,FALSE),"")&lt;&gt;"Released","HOLD - QUALITY",IF(IFERROR(VLOOKUP(E68,'FIFO Layers'!$A:$O,13,FALSE),999)&lt;&gt;MINIFS('FIFO Layers'!$M:$M,'FIFO Layers'!$E:$E,D68,'FIFO Layers'!$I:$I,"&gt;0",'FIFO Layers'!$L:$L,"Released"),"CHECK FIFO ORDER","FIFO OK")))</f>
        <v/>
      </c>
      <c r="L68" s="251" t="n"/>
    </row>
    <row r="69">
      <c r="A69" s="251" t="n"/>
      <c r="B69" s="251" t="n"/>
      <c r="C69" s="251" t="n"/>
      <c r="D69">
        <f>IF(E69="","",IFERROR(VLOOKUP(E69,'FIFO Layers'!$A:$O,5,FALSE),""))</f>
        <v/>
      </c>
      <c r="E69" s="251" t="n"/>
      <c r="F69" s="251" t="n"/>
      <c r="G69" s="248">
        <f>IF(E69="","",IFERROR(VLOOKUP(E69,'FIFO Layers'!$A:$O,10,FALSE),0))</f>
        <v/>
      </c>
      <c r="H69" s="248">
        <f>IF(OR(F69="",G69=""),"",F69*G69)</f>
        <v/>
      </c>
      <c r="I69" s="251" t="n"/>
      <c r="J69" s="251" t="n"/>
      <c r="K69">
        <f>IF(E69="","",IF(IFERROR(VLOOKUP(E69,'FIFO Layers'!$A:$O,12,FALSE),"")&lt;&gt;"Released","HOLD - QUALITY",IF(IFERROR(VLOOKUP(E69,'FIFO Layers'!$A:$O,13,FALSE),999)&lt;&gt;MINIFS('FIFO Layers'!$M:$M,'FIFO Layers'!$E:$E,D69,'FIFO Layers'!$I:$I,"&gt;0",'FIFO Layers'!$L:$L,"Released"),"CHECK FIFO ORDER","FIFO OK")))</f>
        <v/>
      </c>
      <c r="L69" s="251" t="n"/>
    </row>
    <row r="70">
      <c r="A70" s="251" t="n"/>
      <c r="B70" s="251" t="n"/>
      <c r="C70" s="251" t="n"/>
      <c r="D70">
        <f>IF(E70="","",IFERROR(VLOOKUP(E70,'FIFO Layers'!$A:$O,5,FALSE),""))</f>
        <v/>
      </c>
      <c r="E70" s="251" t="n"/>
      <c r="F70" s="251" t="n"/>
      <c r="G70" s="248">
        <f>IF(E70="","",IFERROR(VLOOKUP(E70,'FIFO Layers'!$A:$O,10,FALSE),0))</f>
        <v/>
      </c>
      <c r="H70" s="248">
        <f>IF(OR(F70="",G70=""),"",F70*G70)</f>
        <v/>
      </c>
      <c r="I70" s="251" t="n"/>
      <c r="J70" s="251" t="n"/>
      <c r="K70">
        <f>IF(E70="","",IF(IFERROR(VLOOKUP(E70,'FIFO Layers'!$A:$O,12,FALSE),"")&lt;&gt;"Released","HOLD - QUALITY",IF(IFERROR(VLOOKUP(E70,'FIFO Layers'!$A:$O,13,FALSE),999)&lt;&gt;MINIFS('FIFO Layers'!$M:$M,'FIFO Layers'!$E:$E,D70,'FIFO Layers'!$I:$I,"&gt;0",'FIFO Layers'!$L:$L,"Released"),"CHECK FIFO ORDER","FIFO OK")))</f>
        <v/>
      </c>
      <c r="L70" s="251" t="n"/>
    </row>
    <row r="71">
      <c r="A71" s="251" t="n"/>
      <c r="B71" s="251" t="n"/>
      <c r="C71" s="251" t="n"/>
      <c r="D71">
        <f>IF(E71="","",IFERROR(VLOOKUP(E71,'FIFO Layers'!$A:$O,5,FALSE),""))</f>
        <v/>
      </c>
      <c r="E71" s="251" t="n"/>
      <c r="F71" s="251" t="n"/>
      <c r="G71" s="248">
        <f>IF(E71="","",IFERROR(VLOOKUP(E71,'FIFO Layers'!$A:$O,10,FALSE),0))</f>
        <v/>
      </c>
      <c r="H71" s="248">
        <f>IF(OR(F71="",G71=""),"",F71*G71)</f>
        <v/>
      </c>
      <c r="I71" s="251" t="n"/>
      <c r="J71" s="251" t="n"/>
      <c r="K71">
        <f>IF(E71="","",IF(IFERROR(VLOOKUP(E71,'FIFO Layers'!$A:$O,12,FALSE),"")&lt;&gt;"Released","HOLD - QUALITY",IF(IFERROR(VLOOKUP(E71,'FIFO Layers'!$A:$O,13,FALSE),999)&lt;&gt;MINIFS('FIFO Layers'!$M:$M,'FIFO Layers'!$E:$E,D71,'FIFO Layers'!$I:$I,"&gt;0",'FIFO Layers'!$L:$L,"Released"),"CHECK FIFO ORDER","FIFO OK")))</f>
        <v/>
      </c>
      <c r="L71" s="251" t="n"/>
    </row>
    <row r="72">
      <c r="A72" s="251" t="n"/>
      <c r="B72" s="251" t="n"/>
      <c r="C72" s="251" t="n"/>
      <c r="D72">
        <f>IF(E72="","",IFERROR(VLOOKUP(E72,'FIFO Layers'!$A:$O,5,FALSE),""))</f>
        <v/>
      </c>
      <c r="E72" s="251" t="n"/>
      <c r="F72" s="251" t="n"/>
      <c r="G72" s="248">
        <f>IF(E72="","",IFERROR(VLOOKUP(E72,'FIFO Layers'!$A:$O,10,FALSE),0))</f>
        <v/>
      </c>
      <c r="H72" s="248">
        <f>IF(OR(F72="",G72=""),"",F72*G72)</f>
        <v/>
      </c>
      <c r="I72" s="251" t="n"/>
      <c r="J72" s="251" t="n"/>
      <c r="K72">
        <f>IF(E72="","",IF(IFERROR(VLOOKUP(E72,'FIFO Layers'!$A:$O,12,FALSE),"")&lt;&gt;"Released","HOLD - QUALITY",IF(IFERROR(VLOOKUP(E72,'FIFO Layers'!$A:$O,13,FALSE),999)&lt;&gt;MINIFS('FIFO Layers'!$M:$M,'FIFO Layers'!$E:$E,D72,'FIFO Layers'!$I:$I,"&gt;0",'FIFO Layers'!$L:$L,"Released"),"CHECK FIFO ORDER","FIFO OK")))</f>
        <v/>
      </c>
      <c r="L72" s="251" t="n"/>
    </row>
    <row r="73">
      <c r="A73" s="251" t="n"/>
      <c r="B73" s="251" t="n"/>
      <c r="C73" s="251" t="n"/>
      <c r="D73">
        <f>IF(E73="","",IFERROR(VLOOKUP(E73,'FIFO Layers'!$A:$O,5,FALSE),""))</f>
        <v/>
      </c>
      <c r="E73" s="251" t="n"/>
      <c r="F73" s="251" t="n"/>
      <c r="G73" s="248">
        <f>IF(E73="","",IFERROR(VLOOKUP(E73,'FIFO Layers'!$A:$O,10,FALSE),0))</f>
        <v/>
      </c>
      <c r="H73" s="248">
        <f>IF(OR(F73="",G73=""),"",F73*G73)</f>
        <v/>
      </c>
      <c r="I73" s="251" t="n"/>
      <c r="J73" s="251" t="n"/>
      <c r="K73">
        <f>IF(E73="","",IF(IFERROR(VLOOKUP(E73,'FIFO Layers'!$A:$O,12,FALSE),"")&lt;&gt;"Released","HOLD - QUALITY",IF(IFERROR(VLOOKUP(E73,'FIFO Layers'!$A:$O,13,FALSE),999)&lt;&gt;MINIFS('FIFO Layers'!$M:$M,'FIFO Layers'!$E:$E,D73,'FIFO Layers'!$I:$I,"&gt;0",'FIFO Layers'!$L:$L,"Released"),"CHECK FIFO ORDER","FIFO OK")))</f>
        <v/>
      </c>
      <c r="L73" s="251" t="n"/>
    </row>
    <row r="74">
      <c r="A74" s="251" t="n"/>
      <c r="B74" s="251" t="n"/>
      <c r="C74" s="251" t="n"/>
      <c r="D74">
        <f>IF(E74="","",IFERROR(VLOOKUP(E74,'FIFO Layers'!$A:$O,5,FALSE),""))</f>
        <v/>
      </c>
      <c r="E74" s="251" t="n"/>
      <c r="F74" s="251" t="n"/>
      <c r="G74" s="248">
        <f>IF(E74="","",IFERROR(VLOOKUP(E74,'FIFO Layers'!$A:$O,10,FALSE),0))</f>
        <v/>
      </c>
      <c r="H74" s="248">
        <f>IF(OR(F74="",G74=""),"",F74*G74)</f>
        <v/>
      </c>
      <c r="I74" s="251" t="n"/>
      <c r="J74" s="251" t="n"/>
      <c r="K74">
        <f>IF(E74="","",IF(IFERROR(VLOOKUP(E74,'FIFO Layers'!$A:$O,12,FALSE),"")&lt;&gt;"Released","HOLD - QUALITY",IF(IFERROR(VLOOKUP(E74,'FIFO Layers'!$A:$O,13,FALSE),999)&lt;&gt;MINIFS('FIFO Layers'!$M:$M,'FIFO Layers'!$E:$E,D74,'FIFO Layers'!$I:$I,"&gt;0",'FIFO Layers'!$L:$L,"Released"),"CHECK FIFO ORDER","FIFO OK")))</f>
        <v/>
      </c>
      <c r="L74" s="251" t="n"/>
    </row>
    <row r="75">
      <c r="A75" s="251" t="n"/>
      <c r="B75" s="251" t="n"/>
      <c r="C75" s="251" t="n"/>
      <c r="D75">
        <f>IF(E75="","",IFERROR(VLOOKUP(E75,'FIFO Layers'!$A:$O,5,FALSE),""))</f>
        <v/>
      </c>
      <c r="E75" s="251" t="n"/>
      <c r="F75" s="251" t="n"/>
      <c r="G75" s="248">
        <f>IF(E75="","",IFERROR(VLOOKUP(E75,'FIFO Layers'!$A:$O,10,FALSE),0))</f>
        <v/>
      </c>
      <c r="H75" s="248">
        <f>IF(OR(F75="",G75=""),"",F75*G75)</f>
        <v/>
      </c>
      <c r="I75" s="251" t="n"/>
      <c r="J75" s="251" t="n"/>
      <c r="K75">
        <f>IF(E75="","",IF(IFERROR(VLOOKUP(E75,'FIFO Layers'!$A:$O,12,FALSE),"")&lt;&gt;"Released","HOLD - QUALITY",IF(IFERROR(VLOOKUP(E75,'FIFO Layers'!$A:$O,13,FALSE),999)&lt;&gt;MINIFS('FIFO Layers'!$M:$M,'FIFO Layers'!$E:$E,D75,'FIFO Layers'!$I:$I,"&gt;0",'FIFO Layers'!$L:$L,"Released"),"CHECK FIFO ORDER","FIFO OK")))</f>
        <v/>
      </c>
      <c r="L75" s="251" t="n"/>
    </row>
    <row r="76">
      <c r="A76" s="251" t="n"/>
      <c r="B76" s="251" t="n"/>
      <c r="C76" s="251" t="n"/>
      <c r="D76">
        <f>IF(E76="","",IFERROR(VLOOKUP(E76,'FIFO Layers'!$A:$O,5,FALSE),""))</f>
        <v/>
      </c>
      <c r="E76" s="251" t="n"/>
      <c r="F76" s="251" t="n"/>
      <c r="G76" s="248">
        <f>IF(E76="","",IFERROR(VLOOKUP(E76,'FIFO Layers'!$A:$O,10,FALSE),0))</f>
        <v/>
      </c>
      <c r="H76" s="248">
        <f>IF(OR(F76="",G76=""),"",F76*G76)</f>
        <v/>
      </c>
      <c r="I76" s="251" t="n"/>
      <c r="J76" s="251" t="n"/>
      <c r="K76">
        <f>IF(E76="","",IF(IFERROR(VLOOKUP(E76,'FIFO Layers'!$A:$O,12,FALSE),"")&lt;&gt;"Released","HOLD - QUALITY",IF(IFERROR(VLOOKUP(E76,'FIFO Layers'!$A:$O,13,FALSE),999)&lt;&gt;MINIFS('FIFO Layers'!$M:$M,'FIFO Layers'!$E:$E,D76,'FIFO Layers'!$I:$I,"&gt;0",'FIFO Layers'!$L:$L,"Released"),"CHECK FIFO ORDER","FIFO OK")))</f>
        <v/>
      </c>
      <c r="L76" s="251" t="n"/>
    </row>
    <row r="77">
      <c r="A77" s="251" t="n"/>
      <c r="B77" s="251" t="n"/>
      <c r="C77" s="251" t="n"/>
      <c r="D77">
        <f>IF(E77="","",IFERROR(VLOOKUP(E77,'FIFO Layers'!$A:$O,5,FALSE),""))</f>
        <v/>
      </c>
      <c r="E77" s="251" t="n"/>
      <c r="F77" s="251" t="n"/>
      <c r="G77" s="248">
        <f>IF(E77="","",IFERROR(VLOOKUP(E77,'FIFO Layers'!$A:$O,10,FALSE),0))</f>
        <v/>
      </c>
      <c r="H77" s="248">
        <f>IF(OR(F77="",G77=""),"",F77*G77)</f>
        <v/>
      </c>
      <c r="I77" s="251" t="n"/>
      <c r="J77" s="251" t="n"/>
      <c r="K77">
        <f>IF(E77="","",IF(IFERROR(VLOOKUP(E77,'FIFO Layers'!$A:$O,12,FALSE),"")&lt;&gt;"Released","HOLD - QUALITY",IF(IFERROR(VLOOKUP(E77,'FIFO Layers'!$A:$O,13,FALSE),999)&lt;&gt;MINIFS('FIFO Layers'!$M:$M,'FIFO Layers'!$E:$E,D77,'FIFO Layers'!$I:$I,"&gt;0",'FIFO Layers'!$L:$L,"Released"),"CHECK FIFO ORDER","FIFO OK")))</f>
        <v/>
      </c>
      <c r="L77" s="251" t="n"/>
    </row>
    <row r="78">
      <c r="A78" s="251" t="n"/>
      <c r="B78" s="251" t="n"/>
      <c r="C78" s="251" t="n"/>
      <c r="D78">
        <f>IF(E78="","",IFERROR(VLOOKUP(E78,'FIFO Layers'!$A:$O,5,FALSE),""))</f>
        <v/>
      </c>
      <c r="E78" s="251" t="n"/>
      <c r="F78" s="251" t="n"/>
      <c r="G78" s="248">
        <f>IF(E78="","",IFERROR(VLOOKUP(E78,'FIFO Layers'!$A:$O,10,FALSE),0))</f>
        <v/>
      </c>
      <c r="H78" s="248">
        <f>IF(OR(F78="",G78=""),"",F78*G78)</f>
        <v/>
      </c>
      <c r="I78" s="251" t="n"/>
      <c r="J78" s="251" t="n"/>
      <c r="K78">
        <f>IF(E78="","",IF(IFERROR(VLOOKUP(E78,'FIFO Layers'!$A:$O,12,FALSE),"")&lt;&gt;"Released","HOLD - QUALITY",IF(IFERROR(VLOOKUP(E78,'FIFO Layers'!$A:$O,13,FALSE),999)&lt;&gt;MINIFS('FIFO Layers'!$M:$M,'FIFO Layers'!$E:$E,D78,'FIFO Layers'!$I:$I,"&gt;0",'FIFO Layers'!$L:$L,"Released"),"CHECK FIFO ORDER","FIFO OK")))</f>
        <v/>
      </c>
      <c r="L78" s="251" t="n"/>
    </row>
    <row r="79">
      <c r="A79" s="251" t="n"/>
      <c r="B79" s="251" t="n"/>
      <c r="C79" s="251" t="n"/>
      <c r="D79">
        <f>IF(E79="","",IFERROR(VLOOKUP(E79,'FIFO Layers'!$A:$O,5,FALSE),""))</f>
        <v/>
      </c>
      <c r="E79" s="251" t="n"/>
      <c r="F79" s="251" t="n"/>
      <c r="G79" s="248">
        <f>IF(E79="","",IFERROR(VLOOKUP(E79,'FIFO Layers'!$A:$O,10,FALSE),0))</f>
        <v/>
      </c>
      <c r="H79" s="248">
        <f>IF(OR(F79="",G79=""),"",F79*G79)</f>
        <v/>
      </c>
      <c r="I79" s="251" t="n"/>
      <c r="J79" s="251" t="n"/>
      <c r="K79">
        <f>IF(E79="","",IF(IFERROR(VLOOKUP(E79,'FIFO Layers'!$A:$O,12,FALSE),"")&lt;&gt;"Released","HOLD - QUALITY",IF(IFERROR(VLOOKUP(E79,'FIFO Layers'!$A:$O,13,FALSE),999)&lt;&gt;MINIFS('FIFO Layers'!$M:$M,'FIFO Layers'!$E:$E,D79,'FIFO Layers'!$I:$I,"&gt;0",'FIFO Layers'!$L:$L,"Released"),"CHECK FIFO ORDER","FIFO OK")))</f>
        <v/>
      </c>
      <c r="L79" s="251" t="n"/>
    </row>
    <row r="80">
      <c r="A80" s="251" t="n"/>
      <c r="B80" s="251" t="n"/>
      <c r="C80" s="251" t="n"/>
      <c r="D80">
        <f>IF(E80="","",IFERROR(VLOOKUP(E80,'FIFO Layers'!$A:$O,5,FALSE),""))</f>
        <v/>
      </c>
      <c r="E80" s="251" t="n"/>
      <c r="F80" s="251" t="n"/>
      <c r="G80" s="248">
        <f>IF(E80="","",IFERROR(VLOOKUP(E80,'FIFO Layers'!$A:$O,10,FALSE),0))</f>
        <v/>
      </c>
      <c r="H80" s="248">
        <f>IF(OR(F80="",G80=""),"",F80*G80)</f>
        <v/>
      </c>
      <c r="I80" s="251" t="n"/>
      <c r="J80" s="251" t="n"/>
      <c r="K80">
        <f>IF(E80="","",IF(IFERROR(VLOOKUP(E80,'FIFO Layers'!$A:$O,12,FALSE),"")&lt;&gt;"Released","HOLD - QUALITY",IF(IFERROR(VLOOKUP(E80,'FIFO Layers'!$A:$O,13,FALSE),999)&lt;&gt;MINIFS('FIFO Layers'!$M:$M,'FIFO Layers'!$E:$E,D80,'FIFO Layers'!$I:$I,"&gt;0",'FIFO Layers'!$L:$L,"Released"),"CHECK FIFO ORDER","FIFO OK")))</f>
        <v/>
      </c>
      <c r="L80" s="251" t="n"/>
    </row>
    <row r="81">
      <c r="A81" s="251" t="n"/>
      <c r="B81" s="251" t="n"/>
      <c r="C81" s="251" t="n"/>
      <c r="D81">
        <f>IF(E81="","",IFERROR(VLOOKUP(E81,'FIFO Layers'!$A:$O,5,FALSE),""))</f>
        <v/>
      </c>
      <c r="E81" s="251" t="n"/>
      <c r="F81" s="251" t="n"/>
      <c r="G81" s="248">
        <f>IF(E81="","",IFERROR(VLOOKUP(E81,'FIFO Layers'!$A:$O,10,FALSE),0))</f>
        <v/>
      </c>
      <c r="H81" s="248">
        <f>IF(OR(F81="",G81=""),"",F81*G81)</f>
        <v/>
      </c>
      <c r="I81" s="251" t="n"/>
      <c r="J81" s="251" t="n"/>
      <c r="K81">
        <f>IF(E81="","",IF(IFERROR(VLOOKUP(E81,'FIFO Layers'!$A:$O,12,FALSE),"")&lt;&gt;"Released","HOLD - QUALITY",IF(IFERROR(VLOOKUP(E81,'FIFO Layers'!$A:$O,13,FALSE),999)&lt;&gt;MINIFS('FIFO Layers'!$M:$M,'FIFO Layers'!$E:$E,D81,'FIFO Layers'!$I:$I,"&gt;0",'FIFO Layers'!$L:$L,"Released"),"CHECK FIFO ORDER","FIFO OK")))</f>
        <v/>
      </c>
      <c r="L81" s="251" t="n"/>
    </row>
    <row r="82">
      <c r="A82" s="251" t="n"/>
      <c r="B82" s="251" t="n"/>
      <c r="C82" s="251" t="n"/>
      <c r="D82">
        <f>IF(E82="","",IFERROR(VLOOKUP(E82,'FIFO Layers'!$A:$O,5,FALSE),""))</f>
        <v/>
      </c>
      <c r="E82" s="251" t="n"/>
      <c r="F82" s="251" t="n"/>
      <c r="G82" s="248">
        <f>IF(E82="","",IFERROR(VLOOKUP(E82,'FIFO Layers'!$A:$O,10,FALSE),0))</f>
        <v/>
      </c>
      <c r="H82" s="248">
        <f>IF(OR(F82="",G82=""),"",F82*G82)</f>
        <v/>
      </c>
      <c r="I82" s="251" t="n"/>
      <c r="J82" s="251" t="n"/>
      <c r="K82">
        <f>IF(E82="","",IF(IFERROR(VLOOKUP(E82,'FIFO Layers'!$A:$O,12,FALSE),"")&lt;&gt;"Released","HOLD - QUALITY",IF(IFERROR(VLOOKUP(E82,'FIFO Layers'!$A:$O,13,FALSE),999)&lt;&gt;MINIFS('FIFO Layers'!$M:$M,'FIFO Layers'!$E:$E,D82,'FIFO Layers'!$I:$I,"&gt;0",'FIFO Layers'!$L:$L,"Released"),"CHECK FIFO ORDER","FIFO OK")))</f>
        <v/>
      </c>
      <c r="L82" s="251" t="n"/>
    </row>
    <row r="83">
      <c r="A83" s="251" t="n"/>
      <c r="B83" s="251" t="n"/>
      <c r="C83" s="251" t="n"/>
      <c r="D83">
        <f>IF(E83="","",IFERROR(VLOOKUP(E83,'FIFO Layers'!$A:$O,5,FALSE),""))</f>
        <v/>
      </c>
      <c r="E83" s="251" t="n"/>
      <c r="F83" s="251" t="n"/>
      <c r="G83" s="248">
        <f>IF(E83="","",IFERROR(VLOOKUP(E83,'FIFO Layers'!$A:$O,10,FALSE),0))</f>
        <v/>
      </c>
      <c r="H83" s="248">
        <f>IF(OR(F83="",G83=""),"",F83*G83)</f>
        <v/>
      </c>
      <c r="I83" s="251" t="n"/>
      <c r="J83" s="251" t="n"/>
      <c r="K83">
        <f>IF(E83="","",IF(IFERROR(VLOOKUP(E83,'FIFO Layers'!$A:$O,12,FALSE),"")&lt;&gt;"Released","HOLD - QUALITY",IF(IFERROR(VLOOKUP(E83,'FIFO Layers'!$A:$O,13,FALSE),999)&lt;&gt;MINIFS('FIFO Layers'!$M:$M,'FIFO Layers'!$E:$E,D83,'FIFO Layers'!$I:$I,"&gt;0",'FIFO Layers'!$L:$L,"Released"),"CHECK FIFO ORDER","FIFO OK")))</f>
        <v/>
      </c>
      <c r="L83" s="251" t="n"/>
    </row>
    <row r="84">
      <c r="A84" s="251" t="n"/>
      <c r="B84" s="251" t="n"/>
      <c r="C84" s="251" t="n"/>
      <c r="D84">
        <f>IF(E84="","",IFERROR(VLOOKUP(E84,'FIFO Layers'!$A:$O,5,FALSE),""))</f>
        <v/>
      </c>
      <c r="E84" s="251" t="n"/>
      <c r="F84" s="251" t="n"/>
      <c r="G84" s="248">
        <f>IF(E84="","",IFERROR(VLOOKUP(E84,'FIFO Layers'!$A:$O,10,FALSE),0))</f>
        <v/>
      </c>
      <c r="H84" s="248">
        <f>IF(OR(F84="",G84=""),"",F84*G84)</f>
        <v/>
      </c>
      <c r="I84" s="251" t="n"/>
      <c r="J84" s="251" t="n"/>
      <c r="K84">
        <f>IF(E84="","",IF(IFERROR(VLOOKUP(E84,'FIFO Layers'!$A:$O,12,FALSE),"")&lt;&gt;"Released","HOLD - QUALITY",IF(IFERROR(VLOOKUP(E84,'FIFO Layers'!$A:$O,13,FALSE),999)&lt;&gt;MINIFS('FIFO Layers'!$M:$M,'FIFO Layers'!$E:$E,D84,'FIFO Layers'!$I:$I,"&gt;0",'FIFO Layers'!$L:$L,"Released"),"CHECK FIFO ORDER","FIFO OK")))</f>
        <v/>
      </c>
      <c r="L84" s="251" t="n"/>
    </row>
    <row r="85">
      <c r="A85" s="251" t="n"/>
      <c r="B85" s="251" t="n"/>
      <c r="C85" s="251" t="n"/>
      <c r="D85">
        <f>IF(E85="","",IFERROR(VLOOKUP(E85,'FIFO Layers'!$A:$O,5,FALSE),""))</f>
        <v/>
      </c>
      <c r="E85" s="251" t="n"/>
      <c r="F85" s="251" t="n"/>
      <c r="G85" s="248">
        <f>IF(E85="","",IFERROR(VLOOKUP(E85,'FIFO Layers'!$A:$O,10,FALSE),0))</f>
        <v/>
      </c>
      <c r="H85" s="248">
        <f>IF(OR(F85="",G85=""),"",F85*G85)</f>
        <v/>
      </c>
      <c r="I85" s="251" t="n"/>
      <c r="J85" s="251" t="n"/>
      <c r="K85">
        <f>IF(E85="","",IF(IFERROR(VLOOKUP(E85,'FIFO Layers'!$A:$O,12,FALSE),"")&lt;&gt;"Released","HOLD - QUALITY",IF(IFERROR(VLOOKUP(E85,'FIFO Layers'!$A:$O,13,FALSE),999)&lt;&gt;MINIFS('FIFO Layers'!$M:$M,'FIFO Layers'!$E:$E,D85,'FIFO Layers'!$I:$I,"&gt;0",'FIFO Layers'!$L:$L,"Released"),"CHECK FIFO ORDER","FIFO OK")))</f>
        <v/>
      </c>
      <c r="L85" s="251" t="n"/>
    </row>
    <row r="86">
      <c r="A86" s="251" t="n"/>
      <c r="B86" s="251" t="n"/>
      <c r="C86" s="251" t="n"/>
      <c r="D86">
        <f>IF(E86="","",IFERROR(VLOOKUP(E86,'FIFO Layers'!$A:$O,5,FALSE),""))</f>
        <v/>
      </c>
      <c r="E86" s="251" t="n"/>
      <c r="F86" s="251" t="n"/>
      <c r="G86" s="248">
        <f>IF(E86="","",IFERROR(VLOOKUP(E86,'FIFO Layers'!$A:$O,10,FALSE),0))</f>
        <v/>
      </c>
      <c r="H86" s="248">
        <f>IF(OR(F86="",G86=""),"",F86*G86)</f>
        <v/>
      </c>
      <c r="I86" s="251" t="n"/>
      <c r="J86" s="251" t="n"/>
      <c r="K86">
        <f>IF(E86="","",IF(IFERROR(VLOOKUP(E86,'FIFO Layers'!$A:$O,12,FALSE),"")&lt;&gt;"Released","HOLD - QUALITY",IF(IFERROR(VLOOKUP(E86,'FIFO Layers'!$A:$O,13,FALSE),999)&lt;&gt;MINIFS('FIFO Layers'!$M:$M,'FIFO Layers'!$E:$E,D86,'FIFO Layers'!$I:$I,"&gt;0",'FIFO Layers'!$L:$L,"Released"),"CHECK FIFO ORDER","FIFO OK")))</f>
        <v/>
      </c>
      <c r="L86" s="251" t="n"/>
    </row>
    <row r="87">
      <c r="A87" s="251" t="n"/>
      <c r="B87" s="251" t="n"/>
      <c r="C87" s="251" t="n"/>
      <c r="D87">
        <f>IF(E87="","",IFERROR(VLOOKUP(E87,'FIFO Layers'!$A:$O,5,FALSE),""))</f>
        <v/>
      </c>
      <c r="E87" s="251" t="n"/>
      <c r="F87" s="251" t="n"/>
      <c r="G87" s="248">
        <f>IF(E87="","",IFERROR(VLOOKUP(E87,'FIFO Layers'!$A:$O,10,FALSE),0))</f>
        <v/>
      </c>
      <c r="H87" s="248">
        <f>IF(OR(F87="",G87=""),"",F87*G87)</f>
        <v/>
      </c>
      <c r="I87" s="251" t="n"/>
      <c r="J87" s="251" t="n"/>
      <c r="K87">
        <f>IF(E87="","",IF(IFERROR(VLOOKUP(E87,'FIFO Layers'!$A:$O,12,FALSE),"")&lt;&gt;"Released","HOLD - QUALITY",IF(IFERROR(VLOOKUP(E87,'FIFO Layers'!$A:$O,13,FALSE),999)&lt;&gt;MINIFS('FIFO Layers'!$M:$M,'FIFO Layers'!$E:$E,D87,'FIFO Layers'!$I:$I,"&gt;0",'FIFO Layers'!$L:$L,"Released"),"CHECK FIFO ORDER","FIFO OK")))</f>
        <v/>
      </c>
      <c r="L87" s="251" t="n"/>
    </row>
    <row r="88">
      <c r="A88" s="251" t="n"/>
      <c r="B88" s="251" t="n"/>
      <c r="C88" s="251" t="n"/>
      <c r="D88">
        <f>IF(E88="","",IFERROR(VLOOKUP(E88,'FIFO Layers'!$A:$O,5,FALSE),""))</f>
        <v/>
      </c>
      <c r="E88" s="251" t="n"/>
      <c r="F88" s="251" t="n"/>
      <c r="G88" s="248">
        <f>IF(E88="","",IFERROR(VLOOKUP(E88,'FIFO Layers'!$A:$O,10,FALSE),0))</f>
        <v/>
      </c>
      <c r="H88" s="248">
        <f>IF(OR(F88="",G88=""),"",F88*G88)</f>
        <v/>
      </c>
      <c r="I88" s="251" t="n"/>
      <c r="J88" s="251" t="n"/>
      <c r="K88">
        <f>IF(E88="","",IF(IFERROR(VLOOKUP(E88,'FIFO Layers'!$A:$O,12,FALSE),"")&lt;&gt;"Released","HOLD - QUALITY",IF(IFERROR(VLOOKUP(E88,'FIFO Layers'!$A:$O,13,FALSE),999)&lt;&gt;MINIFS('FIFO Layers'!$M:$M,'FIFO Layers'!$E:$E,D88,'FIFO Layers'!$I:$I,"&gt;0",'FIFO Layers'!$L:$L,"Released"),"CHECK FIFO ORDER","FIFO OK")))</f>
        <v/>
      </c>
      <c r="L88" s="251" t="n"/>
    </row>
    <row r="89">
      <c r="A89" s="251" t="n"/>
      <c r="B89" s="251" t="n"/>
      <c r="C89" s="251" t="n"/>
      <c r="D89">
        <f>IF(E89="","",IFERROR(VLOOKUP(E89,'FIFO Layers'!$A:$O,5,FALSE),""))</f>
        <v/>
      </c>
      <c r="E89" s="251" t="n"/>
      <c r="F89" s="251" t="n"/>
      <c r="G89" s="248">
        <f>IF(E89="","",IFERROR(VLOOKUP(E89,'FIFO Layers'!$A:$O,10,FALSE),0))</f>
        <v/>
      </c>
      <c r="H89" s="248">
        <f>IF(OR(F89="",G89=""),"",F89*G89)</f>
        <v/>
      </c>
      <c r="I89" s="251" t="n"/>
      <c r="J89" s="251" t="n"/>
      <c r="K89">
        <f>IF(E89="","",IF(IFERROR(VLOOKUP(E89,'FIFO Layers'!$A:$O,12,FALSE),"")&lt;&gt;"Released","HOLD - QUALITY",IF(IFERROR(VLOOKUP(E89,'FIFO Layers'!$A:$O,13,FALSE),999)&lt;&gt;MINIFS('FIFO Layers'!$M:$M,'FIFO Layers'!$E:$E,D89,'FIFO Layers'!$I:$I,"&gt;0",'FIFO Layers'!$L:$L,"Released"),"CHECK FIFO ORDER","FIFO OK")))</f>
        <v/>
      </c>
      <c r="L89" s="251" t="n"/>
    </row>
    <row r="90">
      <c r="A90" s="251" t="n"/>
      <c r="B90" s="251" t="n"/>
      <c r="C90" s="251" t="n"/>
      <c r="D90">
        <f>IF(E90="","",IFERROR(VLOOKUP(E90,'FIFO Layers'!$A:$O,5,FALSE),""))</f>
        <v/>
      </c>
      <c r="E90" s="251" t="n"/>
      <c r="F90" s="251" t="n"/>
      <c r="G90" s="248">
        <f>IF(E90="","",IFERROR(VLOOKUP(E90,'FIFO Layers'!$A:$O,10,FALSE),0))</f>
        <v/>
      </c>
      <c r="H90" s="248">
        <f>IF(OR(F90="",G90=""),"",F90*G90)</f>
        <v/>
      </c>
      <c r="I90" s="251" t="n"/>
      <c r="J90" s="251" t="n"/>
      <c r="K90">
        <f>IF(E90="","",IF(IFERROR(VLOOKUP(E90,'FIFO Layers'!$A:$O,12,FALSE),"")&lt;&gt;"Released","HOLD - QUALITY",IF(IFERROR(VLOOKUP(E90,'FIFO Layers'!$A:$O,13,FALSE),999)&lt;&gt;MINIFS('FIFO Layers'!$M:$M,'FIFO Layers'!$E:$E,D90,'FIFO Layers'!$I:$I,"&gt;0",'FIFO Layers'!$L:$L,"Released"),"CHECK FIFO ORDER","FIFO OK")))</f>
        <v/>
      </c>
      <c r="L90" s="251" t="n"/>
    </row>
    <row r="91">
      <c r="A91" s="251" t="n"/>
      <c r="B91" s="251" t="n"/>
      <c r="C91" s="251" t="n"/>
      <c r="D91">
        <f>IF(E91="","",IFERROR(VLOOKUP(E91,'FIFO Layers'!$A:$O,5,FALSE),""))</f>
        <v/>
      </c>
      <c r="E91" s="251" t="n"/>
      <c r="F91" s="251" t="n"/>
      <c r="G91" s="248">
        <f>IF(E91="","",IFERROR(VLOOKUP(E91,'FIFO Layers'!$A:$O,10,FALSE),0))</f>
        <v/>
      </c>
      <c r="H91" s="248">
        <f>IF(OR(F91="",G91=""),"",F91*G91)</f>
        <v/>
      </c>
      <c r="I91" s="251" t="n"/>
      <c r="J91" s="251" t="n"/>
      <c r="K91">
        <f>IF(E91="","",IF(IFERROR(VLOOKUP(E91,'FIFO Layers'!$A:$O,12,FALSE),"")&lt;&gt;"Released","HOLD - QUALITY",IF(IFERROR(VLOOKUP(E91,'FIFO Layers'!$A:$O,13,FALSE),999)&lt;&gt;MINIFS('FIFO Layers'!$M:$M,'FIFO Layers'!$E:$E,D91,'FIFO Layers'!$I:$I,"&gt;0",'FIFO Layers'!$L:$L,"Released"),"CHECK FIFO ORDER","FIFO OK")))</f>
        <v/>
      </c>
      <c r="L91" s="251" t="n"/>
    </row>
    <row r="92">
      <c r="A92" s="251" t="n"/>
      <c r="B92" s="251" t="n"/>
      <c r="C92" s="251" t="n"/>
      <c r="D92">
        <f>IF(E92="","",IFERROR(VLOOKUP(E92,'FIFO Layers'!$A:$O,5,FALSE),""))</f>
        <v/>
      </c>
      <c r="E92" s="251" t="n"/>
      <c r="F92" s="251" t="n"/>
      <c r="G92" s="248">
        <f>IF(E92="","",IFERROR(VLOOKUP(E92,'FIFO Layers'!$A:$O,10,FALSE),0))</f>
        <v/>
      </c>
      <c r="H92" s="248">
        <f>IF(OR(F92="",G92=""),"",F92*G92)</f>
        <v/>
      </c>
      <c r="I92" s="251" t="n"/>
      <c r="J92" s="251" t="n"/>
      <c r="K92">
        <f>IF(E92="","",IF(IFERROR(VLOOKUP(E92,'FIFO Layers'!$A:$O,12,FALSE),"")&lt;&gt;"Released","HOLD - QUALITY",IF(IFERROR(VLOOKUP(E92,'FIFO Layers'!$A:$O,13,FALSE),999)&lt;&gt;MINIFS('FIFO Layers'!$M:$M,'FIFO Layers'!$E:$E,D92,'FIFO Layers'!$I:$I,"&gt;0",'FIFO Layers'!$L:$L,"Released"),"CHECK FIFO ORDER","FIFO OK")))</f>
        <v/>
      </c>
      <c r="L92" s="251" t="n"/>
    </row>
    <row r="93">
      <c r="A93" s="251" t="n"/>
      <c r="B93" s="251" t="n"/>
      <c r="C93" s="251" t="n"/>
      <c r="D93">
        <f>IF(E93="","",IFERROR(VLOOKUP(E93,'FIFO Layers'!$A:$O,5,FALSE),""))</f>
        <v/>
      </c>
      <c r="E93" s="251" t="n"/>
      <c r="F93" s="251" t="n"/>
      <c r="G93" s="248">
        <f>IF(E93="","",IFERROR(VLOOKUP(E93,'FIFO Layers'!$A:$O,10,FALSE),0))</f>
        <v/>
      </c>
      <c r="H93" s="248">
        <f>IF(OR(F93="",G93=""),"",F93*G93)</f>
        <v/>
      </c>
      <c r="I93" s="251" t="n"/>
      <c r="J93" s="251" t="n"/>
      <c r="K93">
        <f>IF(E93="","",IF(IFERROR(VLOOKUP(E93,'FIFO Layers'!$A:$O,12,FALSE),"")&lt;&gt;"Released","HOLD - QUALITY",IF(IFERROR(VLOOKUP(E93,'FIFO Layers'!$A:$O,13,FALSE),999)&lt;&gt;MINIFS('FIFO Layers'!$M:$M,'FIFO Layers'!$E:$E,D93,'FIFO Layers'!$I:$I,"&gt;0",'FIFO Layers'!$L:$L,"Released"),"CHECK FIFO ORDER","FIFO OK")))</f>
        <v/>
      </c>
      <c r="L93" s="251" t="n"/>
    </row>
    <row r="94">
      <c r="A94" s="251" t="n"/>
      <c r="B94" s="251" t="n"/>
      <c r="C94" s="251" t="n"/>
      <c r="D94">
        <f>IF(E94="","",IFERROR(VLOOKUP(E94,'FIFO Layers'!$A:$O,5,FALSE),""))</f>
        <v/>
      </c>
      <c r="E94" s="251" t="n"/>
      <c r="F94" s="251" t="n"/>
      <c r="G94" s="248">
        <f>IF(E94="","",IFERROR(VLOOKUP(E94,'FIFO Layers'!$A:$O,10,FALSE),0))</f>
        <v/>
      </c>
      <c r="H94" s="248">
        <f>IF(OR(F94="",G94=""),"",F94*G94)</f>
        <v/>
      </c>
      <c r="I94" s="251" t="n"/>
      <c r="J94" s="251" t="n"/>
      <c r="K94">
        <f>IF(E94="","",IF(IFERROR(VLOOKUP(E94,'FIFO Layers'!$A:$O,12,FALSE),"")&lt;&gt;"Released","HOLD - QUALITY",IF(IFERROR(VLOOKUP(E94,'FIFO Layers'!$A:$O,13,FALSE),999)&lt;&gt;MINIFS('FIFO Layers'!$M:$M,'FIFO Layers'!$E:$E,D94,'FIFO Layers'!$I:$I,"&gt;0",'FIFO Layers'!$L:$L,"Released"),"CHECK FIFO ORDER","FIFO OK")))</f>
        <v/>
      </c>
      <c r="L94" s="251" t="n"/>
    </row>
    <row r="95">
      <c r="A95" s="251" t="n"/>
      <c r="B95" s="251" t="n"/>
      <c r="C95" s="251" t="n"/>
      <c r="D95">
        <f>IF(E95="","",IFERROR(VLOOKUP(E95,'FIFO Layers'!$A:$O,5,FALSE),""))</f>
        <v/>
      </c>
      <c r="E95" s="251" t="n"/>
      <c r="F95" s="251" t="n"/>
      <c r="G95" s="248">
        <f>IF(E95="","",IFERROR(VLOOKUP(E95,'FIFO Layers'!$A:$O,10,FALSE),0))</f>
        <v/>
      </c>
      <c r="H95" s="248">
        <f>IF(OR(F95="",G95=""),"",F95*G95)</f>
        <v/>
      </c>
      <c r="I95" s="251" t="n"/>
      <c r="J95" s="251" t="n"/>
      <c r="K95">
        <f>IF(E95="","",IF(IFERROR(VLOOKUP(E95,'FIFO Layers'!$A:$O,12,FALSE),"")&lt;&gt;"Released","HOLD - QUALITY",IF(IFERROR(VLOOKUP(E95,'FIFO Layers'!$A:$O,13,FALSE),999)&lt;&gt;MINIFS('FIFO Layers'!$M:$M,'FIFO Layers'!$E:$E,D95,'FIFO Layers'!$I:$I,"&gt;0",'FIFO Layers'!$L:$L,"Released"),"CHECK FIFO ORDER","FIFO OK")))</f>
        <v/>
      </c>
      <c r="L95" s="251" t="n"/>
    </row>
    <row r="96">
      <c r="A96" s="251" t="n"/>
      <c r="B96" s="251" t="n"/>
      <c r="C96" s="251" t="n"/>
      <c r="D96">
        <f>IF(E96="","",IFERROR(VLOOKUP(E96,'FIFO Layers'!$A:$O,5,FALSE),""))</f>
        <v/>
      </c>
      <c r="E96" s="251" t="n"/>
      <c r="F96" s="251" t="n"/>
      <c r="G96" s="248">
        <f>IF(E96="","",IFERROR(VLOOKUP(E96,'FIFO Layers'!$A:$O,10,FALSE),0))</f>
        <v/>
      </c>
      <c r="H96" s="248">
        <f>IF(OR(F96="",G96=""),"",F96*G96)</f>
        <v/>
      </c>
      <c r="I96" s="251" t="n"/>
      <c r="J96" s="251" t="n"/>
      <c r="K96">
        <f>IF(E96="","",IF(IFERROR(VLOOKUP(E96,'FIFO Layers'!$A:$O,12,FALSE),"")&lt;&gt;"Released","HOLD - QUALITY",IF(IFERROR(VLOOKUP(E96,'FIFO Layers'!$A:$O,13,FALSE),999)&lt;&gt;MINIFS('FIFO Layers'!$M:$M,'FIFO Layers'!$E:$E,D96,'FIFO Layers'!$I:$I,"&gt;0",'FIFO Layers'!$L:$L,"Released"),"CHECK FIFO ORDER","FIFO OK")))</f>
        <v/>
      </c>
      <c r="L96" s="251" t="n"/>
    </row>
    <row r="97">
      <c r="A97" s="251" t="n"/>
      <c r="B97" s="251" t="n"/>
      <c r="C97" s="251" t="n"/>
      <c r="D97">
        <f>IF(E97="","",IFERROR(VLOOKUP(E97,'FIFO Layers'!$A:$O,5,FALSE),""))</f>
        <v/>
      </c>
      <c r="E97" s="251" t="n"/>
      <c r="F97" s="251" t="n"/>
      <c r="G97" s="248">
        <f>IF(E97="","",IFERROR(VLOOKUP(E97,'FIFO Layers'!$A:$O,10,FALSE),0))</f>
        <v/>
      </c>
      <c r="H97" s="248">
        <f>IF(OR(F97="",G97=""),"",F97*G97)</f>
        <v/>
      </c>
      <c r="I97" s="251" t="n"/>
      <c r="J97" s="251" t="n"/>
      <c r="K97">
        <f>IF(E97="","",IF(IFERROR(VLOOKUP(E97,'FIFO Layers'!$A:$O,12,FALSE),"")&lt;&gt;"Released","HOLD - QUALITY",IF(IFERROR(VLOOKUP(E97,'FIFO Layers'!$A:$O,13,FALSE),999)&lt;&gt;MINIFS('FIFO Layers'!$M:$M,'FIFO Layers'!$E:$E,D97,'FIFO Layers'!$I:$I,"&gt;0",'FIFO Layers'!$L:$L,"Released"),"CHECK FIFO ORDER","FIFO OK")))</f>
        <v/>
      </c>
      <c r="L97" s="251" t="n"/>
    </row>
    <row r="98">
      <c r="A98" s="251" t="n"/>
      <c r="B98" s="251" t="n"/>
      <c r="C98" s="251" t="n"/>
      <c r="D98">
        <f>IF(E98="","",IFERROR(VLOOKUP(E98,'FIFO Layers'!$A:$O,5,FALSE),""))</f>
        <v/>
      </c>
      <c r="E98" s="251" t="n"/>
      <c r="F98" s="251" t="n"/>
      <c r="G98" s="248">
        <f>IF(E98="","",IFERROR(VLOOKUP(E98,'FIFO Layers'!$A:$O,10,FALSE),0))</f>
        <v/>
      </c>
      <c r="H98" s="248">
        <f>IF(OR(F98="",G98=""),"",F98*G98)</f>
        <v/>
      </c>
      <c r="I98" s="251" t="n"/>
      <c r="J98" s="251" t="n"/>
      <c r="K98">
        <f>IF(E98="","",IF(IFERROR(VLOOKUP(E98,'FIFO Layers'!$A:$O,12,FALSE),"")&lt;&gt;"Released","HOLD - QUALITY",IF(IFERROR(VLOOKUP(E98,'FIFO Layers'!$A:$O,13,FALSE),999)&lt;&gt;MINIFS('FIFO Layers'!$M:$M,'FIFO Layers'!$E:$E,D98,'FIFO Layers'!$I:$I,"&gt;0",'FIFO Layers'!$L:$L,"Released"),"CHECK FIFO ORDER","FIFO OK")))</f>
        <v/>
      </c>
      <c r="L98" s="251" t="n"/>
    </row>
    <row r="99">
      <c r="A99" s="251" t="n"/>
      <c r="B99" s="251" t="n"/>
      <c r="C99" s="251" t="n"/>
      <c r="D99">
        <f>IF(E99="","",IFERROR(VLOOKUP(E99,'FIFO Layers'!$A:$O,5,FALSE),""))</f>
        <v/>
      </c>
      <c r="E99" s="251" t="n"/>
      <c r="F99" s="251" t="n"/>
      <c r="G99" s="248">
        <f>IF(E99="","",IFERROR(VLOOKUP(E99,'FIFO Layers'!$A:$O,10,FALSE),0))</f>
        <v/>
      </c>
      <c r="H99" s="248">
        <f>IF(OR(F99="",G99=""),"",F99*G99)</f>
        <v/>
      </c>
      <c r="I99" s="251" t="n"/>
      <c r="J99" s="251" t="n"/>
      <c r="K99">
        <f>IF(E99="","",IF(IFERROR(VLOOKUP(E99,'FIFO Layers'!$A:$O,12,FALSE),"")&lt;&gt;"Released","HOLD - QUALITY",IF(IFERROR(VLOOKUP(E99,'FIFO Layers'!$A:$O,13,FALSE),999)&lt;&gt;MINIFS('FIFO Layers'!$M:$M,'FIFO Layers'!$E:$E,D99,'FIFO Layers'!$I:$I,"&gt;0",'FIFO Layers'!$L:$L,"Released"),"CHECK FIFO ORDER","FIFO OK")))</f>
        <v/>
      </c>
      <c r="L99" s="251" t="n"/>
    </row>
    <row r="100">
      <c r="A100" s="251" t="n"/>
      <c r="B100" s="251" t="n"/>
      <c r="C100" s="251" t="n"/>
      <c r="D100">
        <f>IF(E100="","",IFERROR(VLOOKUP(E100,'FIFO Layers'!$A:$O,5,FALSE),""))</f>
        <v/>
      </c>
      <c r="E100" s="251" t="n"/>
      <c r="F100" s="251" t="n"/>
      <c r="G100" s="248">
        <f>IF(E100="","",IFERROR(VLOOKUP(E100,'FIFO Layers'!$A:$O,10,FALSE),0))</f>
        <v/>
      </c>
      <c r="H100" s="248">
        <f>IF(OR(F100="",G100=""),"",F100*G100)</f>
        <v/>
      </c>
      <c r="I100" s="251" t="n"/>
      <c r="J100" s="251" t="n"/>
      <c r="K100">
        <f>IF(E100="","",IF(IFERROR(VLOOKUP(E100,'FIFO Layers'!$A:$O,12,FALSE),"")&lt;&gt;"Released","HOLD - QUALITY",IF(IFERROR(VLOOKUP(E100,'FIFO Layers'!$A:$O,13,FALSE),999)&lt;&gt;MINIFS('FIFO Layers'!$M:$M,'FIFO Layers'!$E:$E,D100,'FIFO Layers'!$I:$I,"&gt;0",'FIFO Layers'!$L:$L,"Released"),"CHECK FIFO ORDER","FIFO OK")))</f>
        <v/>
      </c>
      <c r="L100" s="251" t="n"/>
    </row>
    <row r="101">
      <c r="A101" s="251" t="n"/>
      <c r="B101" s="251" t="n"/>
      <c r="C101" s="251" t="n"/>
      <c r="D101">
        <f>IF(E101="","",IFERROR(VLOOKUP(E101,'FIFO Layers'!$A:$O,5,FALSE),""))</f>
        <v/>
      </c>
      <c r="E101" s="251" t="n"/>
      <c r="F101" s="251" t="n"/>
      <c r="G101" s="248">
        <f>IF(E101="","",IFERROR(VLOOKUP(E101,'FIFO Layers'!$A:$O,10,FALSE),0))</f>
        <v/>
      </c>
      <c r="H101" s="248">
        <f>IF(OR(F101="",G101=""),"",F101*G101)</f>
        <v/>
      </c>
      <c r="I101" s="251" t="n"/>
      <c r="J101" s="251" t="n"/>
      <c r="K101">
        <f>IF(E101="","",IF(IFERROR(VLOOKUP(E101,'FIFO Layers'!$A:$O,12,FALSE),"")&lt;&gt;"Released","HOLD - QUALITY",IF(IFERROR(VLOOKUP(E101,'FIFO Layers'!$A:$O,13,FALSE),999)&lt;&gt;MINIFS('FIFO Layers'!$M:$M,'FIFO Layers'!$E:$E,D101,'FIFO Layers'!$I:$I,"&gt;0",'FIFO Layers'!$L:$L,"Released"),"CHECK FIFO ORDER","FIFO OK")))</f>
        <v/>
      </c>
      <c r="L101" s="251" t="n"/>
    </row>
    <row r="102">
      <c r="A102" s="251" t="n"/>
      <c r="B102" s="251" t="n"/>
      <c r="C102" s="251" t="n"/>
      <c r="D102">
        <f>IF(E102="","",IFERROR(VLOOKUP(E102,'FIFO Layers'!$A:$O,5,FALSE),""))</f>
        <v/>
      </c>
      <c r="E102" s="251" t="n"/>
      <c r="F102" s="251" t="n"/>
      <c r="G102" s="248">
        <f>IF(E102="","",IFERROR(VLOOKUP(E102,'FIFO Layers'!$A:$O,10,FALSE),0))</f>
        <v/>
      </c>
      <c r="H102" s="248">
        <f>IF(OR(F102="",G102=""),"",F102*G102)</f>
        <v/>
      </c>
      <c r="I102" s="251" t="n"/>
      <c r="J102" s="251" t="n"/>
      <c r="K102">
        <f>IF(E102="","",IF(IFERROR(VLOOKUP(E102,'FIFO Layers'!$A:$O,12,FALSE),"")&lt;&gt;"Released","HOLD - QUALITY",IF(IFERROR(VLOOKUP(E102,'FIFO Layers'!$A:$O,13,FALSE),999)&lt;&gt;MINIFS('FIFO Layers'!$M:$M,'FIFO Layers'!$E:$E,D102,'FIFO Layers'!$I:$I,"&gt;0",'FIFO Layers'!$L:$L,"Released"),"CHECK FIFO ORDER","FIFO OK")))</f>
        <v/>
      </c>
      <c r="L102" s="251" t="n"/>
    </row>
    <row r="103">
      <c r="A103" s="251" t="n"/>
      <c r="B103" s="251" t="n"/>
      <c r="C103" s="251" t="n"/>
      <c r="D103">
        <f>IF(E103="","",IFERROR(VLOOKUP(E103,'FIFO Layers'!$A:$O,5,FALSE),""))</f>
        <v/>
      </c>
      <c r="E103" s="251" t="n"/>
      <c r="F103" s="251" t="n"/>
      <c r="G103" s="248">
        <f>IF(E103="","",IFERROR(VLOOKUP(E103,'FIFO Layers'!$A:$O,10,FALSE),0))</f>
        <v/>
      </c>
      <c r="H103" s="248">
        <f>IF(OR(F103="",G103=""),"",F103*G103)</f>
        <v/>
      </c>
      <c r="I103" s="251" t="n"/>
      <c r="J103" s="251" t="n"/>
      <c r="K103">
        <f>IF(E103="","",IF(IFERROR(VLOOKUP(E103,'FIFO Layers'!$A:$O,12,FALSE),"")&lt;&gt;"Released","HOLD - QUALITY",IF(IFERROR(VLOOKUP(E103,'FIFO Layers'!$A:$O,13,FALSE),999)&lt;&gt;MINIFS('FIFO Layers'!$M:$M,'FIFO Layers'!$E:$E,D103,'FIFO Layers'!$I:$I,"&gt;0",'FIFO Layers'!$L:$L,"Released"),"CHECK FIFO ORDER","FIFO OK")))</f>
        <v/>
      </c>
      <c r="L103" s="251" t="n"/>
    </row>
  </sheetData>
  <mergeCells count="2">
    <mergeCell ref="A2:L2"/>
    <mergeCell ref="A1:L1"/>
  </mergeCells>
  <conditionalFormatting sqref="K4:K103">
    <cfRule type="expression" priority="1" dxfId="15">
      <formula>$K4="CHECK FIFO ORDER"</formula>
    </cfRule>
  </conditionalFormatting>
  <dataValidations count="1">
    <dataValidation sqref="J4:J103" showDropDown="0" showInputMessage="0" showErrorMessage="0" allowBlank="1" type="list">
      <formula1>"Draft,Posted,Reversed"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26" customWidth="1" style="88" min="2" max="2"/>
    <col width="26" customWidth="1" style="88" min="3" max="3"/>
    <col width="10" customWidth="1" style="88" min="4" max="4"/>
    <col width="25" customWidth="1" style="88" min="5" max="5"/>
    <col width="14" customWidth="1" style="88" min="6" max="6"/>
    <col width="21" customWidth="1" style="88" min="7" max="7"/>
    <col width="26" customWidth="1" style="88" min="8" max="8"/>
    <col width="10" customWidth="1" style="88" min="9" max="9"/>
    <col width="10" customWidth="1" style="88" min="10" max="10"/>
    <col width="21" customWidth="1" style="88" min="11" max="11"/>
  </cols>
  <sheetData>
    <row r="1">
      <c r="A1" s="249" t="inlineStr">
        <is>
          <t>Work Centre Master · Traveller routing and capacity standards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</row>
    <row r="2">
      <c r="A2" s="250" t="inlineStr">
        <is>
          <t>Available hours, efficiency and standard hours/unit are editable planning assumptions requiring operating evidence.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</row>
    <row r="3">
      <c r="A3" s="231" t="inlineStr">
        <is>
          <t>Work Centre ID</t>
        </is>
      </c>
      <c r="B3" s="231" t="inlineStr">
        <is>
          <t>Work Centre</t>
        </is>
      </c>
      <c r="C3" s="231" t="inlineStr">
        <is>
          <t>Traveller Operation</t>
        </is>
      </c>
      <c r="D3" s="231" t="inlineStr">
        <is>
          <t>Sequence</t>
        </is>
      </c>
      <c r="E3" s="231" t="inlineStr">
        <is>
          <t>Available Hours / Month</t>
        </is>
      </c>
      <c r="F3" s="231" t="inlineStr">
        <is>
          <t>Efficiency %</t>
        </is>
      </c>
      <c r="G3" s="231" t="inlineStr">
        <is>
          <t>Standard Hrs / Unit</t>
        </is>
      </c>
      <c r="H3" s="231" t="inlineStr">
        <is>
          <t>Capacity Units / Month</t>
        </is>
      </c>
      <c r="I3" s="231" t="inlineStr">
        <is>
          <t>Owner</t>
        </is>
      </c>
      <c r="J3" s="231" t="inlineStr">
        <is>
          <t>Status</t>
        </is>
      </c>
      <c r="K3" s="231" t="inlineStr">
        <is>
          <t>Evidence / Basis</t>
        </is>
      </c>
    </row>
    <row r="4">
      <c r="A4" t="inlineStr">
        <is>
          <t>WC-010</t>
        </is>
      </c>
      <c r="B4" t="inlineStr">
        <is>
          <t>Kitting</t>
        </is>
      </c>
      <c r="C4" t="inlineStr">
        <is>
          <t>Kitting</t>
        </is>
      </c>
      <c r="D4" t="n">
        <v>10</v>
      </c>
      <c r="E4" t="n">
        <v>160</v>
      </c>
      <c r="F4" s="253" t="n">
        <v>0.85</v>
      </c>
      <c r="G4" t="n">
        <v>0.35</v>
      </c>
      <c r="H4">
        <f>IF(G4=0,0,E4*F4/G4)</f>
        <v/>
      </c>
      <c r="J4" t="inlineStr">
        <is>
          <t>Active</t>
        </is>
      </c>
      <c r="K4" t="inlineStr">
        <is>
          <t>Planning assumption</t>
        </is>
      </c>
    </row>
    <row r="5">
      <c r="A5" t="inlineStr">
        <is>
          <t>WC-020</t>
        </is>
      </c>
      <c r="B5" t="inlineStr">
        <is>
          <t>Frame / frameset receipt</t>
        </is>
      </c>
      <c r="C5" t="inlineStr">
        <is>
          <t>Frame / frameset receipt</t>
        </is>
      </c>
      <c r="D5" t="n">
        <v>20</v>
      </c>
      <c r="E5" t="n">
        <v>160</v>
      </c>
      <c r="F5" s="253" t="n">
        <v>0.85</v>
      </c>
      <c r="G5" t="n">
        <v>0.25</v>
      </c>
      <c r="H5">
        <f>IF(G5=0,0,E5*F5/G5)</f>
        <v/>
      </c>
      <c r="J5" t="inlineStr">
        <is>
          <t>Active</t>
        </is>
      </c>
      <c r="K5" t="inlineStr">
        <is>
          <t>Planning assumption</t>
        </is>
      </c>
    </row>
    <row r="6">
      <c r="A6" t="inlineStr">
        <is>
          <t>WC-030</t>
        </is>
      </c>
      <c r="B6" t="inlineStr">
        <is>
          <t>Drivetrain assembly</t>
        </is>
      </c>
      <c r="C6" t="inlineStr">
        <is>
          <t>Drivetrain assembly</t>
        </is>
      </c>
      <c r="D6" t="n">
        <v>30</v>
      </c>
      <c r="E6" t="n">
        <v>160</v>
      </c>
      <c r="F6" s="253" t="n">
        <v>0.85</v>
      </c>
      <c r="G6" t="n">
        <v>1.25</v>
      </c>
      <c r="H6">
        <f>IF(G6=0,0,E6*F6/G6)</f>
        <v/>
      </c>
      <c r="J6" t="inlineStr">
        <is>
          <t>Active</t>
        </is>
      </c>
      <c r="K6" t="inlineStr">
        <is>
          <t>Planning assumption</t>
        </is>
      </c>
    </row>
    <row r="7">
      <c r="A7" t="inlineStr">
        <is>
          <t>WC-040</t>
        </is>
      </c>
      <c r="B7" t="inlineStr">
        <is>
          <t>Cockpit &amp; controls</t>
        </is>
      </c>
      <c r="C7" t="inlineStr">
        <is>
          <t>Cockpit &amp; controls</t>
        </is>
      </c>
      <c r="D7" t="n">
        <v>40</v>
      </c>
      <c r="E7" t="n">
        <v>160</v>
      </c>
      <c r="F7" s="253" t="n">
        <v>0.85</v>
      </c>
      <c r="G7" t="n">
        <v>0.75</v>
      </c>
      <c r="H7">
        <f>IF(G7=0,0,E7*F7/G7)</f>
        <v/>
      </c>
      <c r="J7" t="inlineStr">
        <is>
          <t>Active</t>
        </is>
      </c>
      <c r="K7" t="inlineStr">
        <is>
          <t>Planning assumption</t>
        </is>
      </c>
    </row>
    <row r="8">
      <c r="A8" t="inlineStr">
        <is>
          <t>WC-050</t>
        </is>
      </c>
      <c r="B8" t="inlineStr">
        <is>
          <t>Wheel / tyre fitment</t>
        </is>
      </c>
      <c r="C8" t="inlineStr">
        <is>
          <t>Wheel / tyre fitment</t>
        </is>
      </c>
      <c r="D8" t="n">
        <v>50</v>
      </c>
      <c r="E8" t="n">
        <v>160</v>
      </c>
      <c r="F8" s="253" t="n">
        <v>0.85</v>
      </c>
      <c r="G8" t="n">
        <v>0.6</v>
      </c>
      <c r="H8">
        <f>IF(G8=0,0,E8*F8/G8)</f>
        <v/>
      </c>
      <c r="J8" t="inlineStr">
        <is>
          <t>Active</t>
        </is>
      </c>
      <c r="K8" t="inlineStr">
        <is>
          <t>Planning assumption</t>
        </is>
      </c>
    </row>
    <row r="9">
      <c r="A9" t="inlineStr">
        <is>
          <t>WC-060</t>
        </is>
      </c>
      <c r="B9" t="inlineStr">
        <is>
          <t>Torque &amp; fit inspection</t>
        </is>
      </c>
      <c r="C9" t="inlineStr">
        <is>
          <t>Torque &amp; fit inspection</t>
        </is>
      </c>
      <c r="D9" t="n">
        <v>60</v>
      </c>
      <c r="E9" t="n">
        <v>160</v>
      </c>
      <c r="F9" s="253" t="n">
        <v>0.85</v>
      </c>
      <c r="G9" t="n">
        <v>0.45</v>
      </c>
      <c r="H9">
        <f>IF(G9=0,0,E9*F9/G9)</f>
        <v/>
      </c>
      <c r="J9" t="inlineStr">
        <is>
          <t>Active</t>
        </is>
      </c>
      <c r="K9" t="inlineStr">
        <is>
          <t>Planning assumption</t>
        </is>
      </c>
    </row>
    <row r="10">
      <c r="A10" t="inlineStr">
        <is>
          <t>WC-070</t>
        </is>
      </c>
      <c r="B10" t="inlineStr">
        <is>
          <t>Final quality</t>
        </is>
      </c>
      <c r="C10" t="inlineStr">
        <is>
          <t>Final quality</t>
        </is>
      </c>
      <c r="D10" t="n">
        <v>70</v>
      </c>
      <c r="E10" t="n">
        <v>160</v>
      </c>
      <c r="F10" s="253" t="n">
        <v>0.85</v>
      </c>
      <c r="G10" t="n">
        <v>0.65</v>
      </c>
      <c r="H10">
        <f>IF(G10=0,0,E10*F10/G10)</f>
        <v/>
      </c>
      <c r="J10" t="inlineStr">
        <is>
          <t>Active</t>
        </is>
      </c>
      <c r="K10" t="inlineStr">
        <is>
          <t>Planning assumption</t>
        </is>
      </c>
    </row>
    <row r="11">
      <c r="A11" t="inlineStr">
        <is>
          <t>WC-080</t>
        </is>
      </c>
      <c r="B11" t="inlineStr">
        <is>
          <t>Pack &amp; release</t>
        </is>
      </c>
      <c r="C11" t="inlineStr">
        <is>
          <t>Pack &amp; release</t>
        </is>
      </c>
      <c r="D11" t="n">
        <v>80</v>
      </c>
      <c r="E11" t="n">
        <v>160</v>
      </c>
      <c r="F11" s="253" t="n">
        <v>0.85</v>
      </c>
      <c r="G11" t="n">
        <v>0.4</v>
      </c>
      <c r="H11">
        <f>IF(G11=0,0,E11*F11/G11)</f>
        <v/>
      </c>
      <c r="J11" t="inlineStr">
        <is>
          <t>Active</t>
        </is>
      </c>
      <c r="K11" t="inlineStr">
        <is>
          <t>Planning assumption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32" customWidth="1" style="88" min="2" max="2"/>
    <col width="26" customWidth="1" style="88" min="3" max="3"/>
    <col width="26" customWidth="1" style="88" min="4" max="4"/>
    <col width="26" customWidth="1" style="88" min="5" max="5"/>
    <col width="26" customWidth="1" style="88" min="6" max="6"/>
    <col width="17" customWidth="1" style="88" min="7" max="7"/>
    <col width="26" customWidth="1" style="88" min="8" max="8"/>
    <col width="32" customWidth="1" style="88" min="9" max="9"/>
    <col width="32" customWidth="1" style="88" min="10" max="10"/>
    <col width="18" customWidth="1" style="88" min="11" max="11"/>
    <col width="26" customWidth="1" style="88" min="12" max="12"/>
    <col width="22" customWidth="1" style="88" min="13" max="13"/>
    <col width="32" customWidth="1" style="88" min="14" max="14"/>
  </cols>
  <sheetData>
    <row r="1">
      <c r="A1" s="249" t="inlineStr">
        <is>
          <t>Capacity Planning · Job Card load against Traveller work-centre standards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>
      <c r="A2" s="250" t="inlineStr">
        <is>
          <t>Released load uses Released Job Cards; planned load uses Draft Job Cards. Effective hours and standard hours/unit come from Work Centre Master.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</row>
    <row r="3">
      <c r="A3" s="231" t="inlineStr">
        <is>
          <t>Month</t>
        </is>
      </c>
      <c r="B3" s="231" t="inlineStr">
        <is>
          <t>Date</t>
        </is>
      </c>
      <c r="C3" s="231" t="inlineStr">
        <is>
          <t>Work Centre ID</t>
        </is>
      </c>
      <c r="D3" s="231" t="inlineStr">
        <is>
          <t>Work Centre</t>
        </is>
      </c>
      <c r="E3" s="231" t="inlineStr">
        <is>
          <t>Available Hours</t>
        </is>
      </c>
      <c r="F3" s="231" t="inlineStr">
        <is>
          <t>Efficiency %</t>
        </is>
      </c>
      <c r="G3" s="231" t="inlineStr">
        <is>
          <t>Effective Hours</t>
        </is>
      </c>
      <c r="H3" s="231" t="inlineStr">
        <is>
          <t>Std Hrs / Unit</t>
        </is>
      </c>
      <c r="I3" s="231" t="inlineStr">
        <is>
          <t>Released Load (hrs)</t>
        </is>
      </c>
      <c r="J3" s="231" t="inlineStr">
        <is>
          <t>Planned Load (hrs)</t>
        </is>
      </c>
      <c r="K3" s="231" t="inlineStr">
        <is>
          <t>Total Load (hrs)</t>
        </is>
      </c>
      <c r="L3" s="231" t="inlineStr">
        <is>
          <t>Remaining Capacity (hrs)</t>
        </is>
      </c>
      <c r="M3" s="231" t="inlineStr">
        <is>
          <t>Utilisation %</t>
        </is>
      </c>
      <c r="N3" s="231" t="inlineStr">
        <is>
          <t>Decision</t>
        </is>
      </c>
    </row>
    <row r="4">
      <c r="A4" t="n">
        <v>1</v>
      </c>
      <c r="B4" s="247">
        <f>INDEX('Monthly Funding'!$B$6:$B$41,A4)</f>
        <v/>
      </c>
      <c r="C4">
        <f>'Work Centre Master'!A4</f>
        <v/>
      </c>
      <c r="D4">
        <f>'Work Centre Master'!B4</f>
        <v/>
      </c>
      <c r="E4">
        <f>'Work Centre Master'!E4</f>
        <v/>
      </c>
      <c r="F4" s="253">
        <f>'Work Centre Master'!F4</f>
        <v/>
      </c>
      <c r="G4">
        <f>E4*F4</f>
        <v/>
      </c>
      <c r="H4">
        <f>'Work Centre Master'!G4</f>
        <v/>
      </c>
      <c r="I4">
        <f>SUMIFS('Job Cards'!$E:$E,'Job Cards'!$N:$N,A4,'Job Cards'!$G:$G,"Released")*H4</f>
        <v/>
      </c>
      <c r="J4">
        <f>SUMIFS('Job Cards'!$E:$E,'Job Cards'!$N:$N,A4,'Job Cards'!$G:$G,"Draft")*H4</f>
        <v/>
      </c>
      <c r="K4">
        <f>I4+J4</f>
        <v/>
      </c>
      <c r="L4">
        <f>MAX(0,G4-K4)</f>
        <v/>
      </c>
      <c r="M4" s="253">
        <f>IF(G4=0,0,K4/G4)</f>
        <v/>
      </c>
      <c r="N4">
        <f>IF(K4&gt;G4,"CAPACITY SHORTFALL",IF(M4&gt;=0.85,"WATCH","OK"))</f>
        <v/>
      </c>
    </row>
    <row r="5">
      <c r="A5" t="n">
        <v>2</v>
      </c>
      <c r="B5" s="247">
        <f>INDEX('Monthly Funding'!$B$6:$B$41,A5)</f>
        <v/>
      </c>
      <c r="C5">
        <f>'Work Centre Master'!A4</f>
        <v/>
      </c>
      <c r="D5">
        <f>'Work Centre Master'!B4</f>
        <v/>
      </c>
      <c r="E5">
        <f>'Work Centre Master'!E4</f>
        <v/>
      </c>
      <c r="F5" s="253">
        <f>'Work Centre Master'!F4</f>
        <v/>
      </c>
      <c r="G5">
        <f>E5*F5</f>
        <v/>
      </c>
      <c r="H5">
        <f>'Work Centre Master'!G4</f>
        <v/>
      </c>
      <c r="I5">
        <f>SUMIFS('Job Cards'!$E:$E,'Job Cards'!$N:$N,A5,'Job Cards'!$G:$G,"Released")*H5</f>
        <v/>
      </c>
      <c r="J5">
        <f>SUMIFS('Job Cards'!$E:$E,'Job Cards'!$N:$N,A5,'Job Cards'!$G:$G,"Draft")*H5</f>
        <v/>
      </c>
      <c r="K5">
        <f>I5+J5</f>
        <v/>
      </c>
      <c r="L5">
        <f>MAX(0,G5-K5)</f>
        <v/>
      </c>
      <c r="M5" s="253">
        <f>IF(G5=0,0,K5/G5)</f>
        <v/>
      </c>
      <c r="N5">
        <f>IF(K5&gt;G5,"CAPACITY SHORTFALL",IF(M5&gt;=0.85,"WATCH","OK"))</f>
        <v/>
      </c>
    </row>
    <row r="6">
      <c r="A6" t="n">
        <v>3</v>
      </c>
      <c r="B6" s="247">
        <f>INDEX('Monthly Funding'!$B$6:$B$41,A6)</f>
        <v/>
      </c>
      <c r="C6">
        <f>'Work Centre Master'!A4</f>
        <v/>
      </c>
      <c r="D6">
        <f>'Work Centre Master'!B4</f>
        <v/>
      </c>
      <c r="E6">
        <f>'Work Centre Master'!E4</f>
        <v/>
      </c>
      <c r="F6" s="253">
        <f>'Work Centre Master'!F4</f>
        <v/>
      </c>
      <c r="G6">
        <f>E6*F6</f>
        <v/>
      </c>
      <c r="H6">
        <f>'Work Centre Master'!G4</f>
        <v/>
      </c>
      <c r="I6">
        <f>SUMIFS('Job Cards'!$E:$E,'Job Cards'!$N:$N,A6,'Job Cards'!$G:$G,"Released")*H6</f>
        <v/>
      </c>
      <c r="J6">
        <f>SUMIFS('Job Cards'!$E:$E,'Job Cards'!$N:$N,A6,'Job Cards'!$G:$G,"Draft")*H6</f>
        <v/>
      </c>
      <c r="K6">
        <f>I6+J6</f>
        <v/>
      </c>
      <c r="L6">
        <f>MAX(0,G6-K6)</f>
        <v/>
      </c>
      <c r="M6" s="253">
        <f>IF(G6=0,0,K6/G6)</f>
        <v/>
      </c>
      <c r="N6">
        <f>IF(K6&gt;G6,"CAPACITY SHORTFALL",IF(M6&gt;=0.85,"WATCH","OK"))</f>
        <v/>
      </c>
    </row>
    <row r="7">
      <c r="A7" t="n">
        <v>4</v>
      </c>
      <c r="B7" s="247">
        <f>INDEX('Monthly Funding'!$B$6:$B$41,A7)</f>
        <v/>
      </c>
      <c r="C7">
        <f>'Work Centre Master'!A4</f>
        <v/>
      </c>
      <c r="D7">
        <f>'Work Centre Master'!B4</f>
        <v/>
      </c>
      <c r="E7">
        <f>'Work Centre Master'!E4</f>
        <v/>
      </c>
      <c r="F7" s="253">
        <f>'Work Centre Master'!F4</f>
        <v/>
      </c>
      <c r="G7">
        <f>E7*F7</f>
        <v/>
      </c>
      <c r="H7">
        <f>'Work Centre Master'!G4</f>
        <v/>
      </c>
      <c r="I7">
        <f>SUMIFS('Job Cards'!$E:$E,'Job Cards'!$N:$N,A7,'Job Cards'!$G:$G,"Released")*H7</f>
        <v/>
      </c>
      <c r="J7">
        <f>SUMIFS('Job Cards'!$E:$E,'Job Cards'!$N:$N,A7,'Job Cards'!$G:$G,"Draft")*H7</f>
        <v/>
      </c>
      <c r="K7">
        <f>I7+J7</f>
        <v/>
      </c>
      <c r="L7">
        <f>MAX(0,G7-K7)</f>
        <v/>
      </c>
      <c r="M7" s="253">
        <f>IF(G7=0,0,K7/G7)</f>
        <v/>
      </c>
      <c r="N7">
        <f>IF(K7&gt;G7,"CAPACITY SHORTFALL",IF(M7&gt;=0.85,"WATCH","OK"))</f>
        <v/>
      </c>
    </row>
    <row r="8">
      <c r="A8" t="n">
        <v>5</v>
      </c>
      <c r="B8" s="247">
        <f>INDEX('Monthly Funding'!$B$6:$B$41,A8)</f>
        <v/>
      </c>
      <c r="C8">
        <f>'Work Centre Master'!A4</f>
        <v/>
      </c>
      <c r="D8">
        <f>'Work Centre Master'!B4</f>
        <v/>
      </c>
      <c r="E8">
        <f>'Work Centre Master'!E4</f>
        <v/>
      </c>
      <c r="F8" s="253">
        <f>'Work Centre Master'!F4</f>
        <v/>
      </c>
      <c r="G8">
        <f>E8*F8</f>
        <v/>
      </c>
      <c r="H8">
        <f>'Work Centre Master'!G4</f>
        <v/>
      </c>
      <c r="I8">
        <f>SUMIFS('Job Cards'!$E:$E,'Job Cards'!$N:$N,A8,'Job Cards'!$G:$G,"Released")*H8</f>
        <v/>
      </c>
      <c r="J8">
        <f>SUMIFS('Job Cards'!$E:$E,'Job Cards'!$N:$N,A8,'Job Cards'!$G:$G,"Draft")*H8</f>
        <v/>
      </c>
      <c r="K8">
        <f>I8+J8</f>
        <v/>
      </c>
      <c r="L8">
        <f>MAX(0,G8-K8)</f>
        <v/>
      </c>
      <c r="M8" s="253">
        <f>IF(G8=0,0,K8/G8)</f>
        <v/>
      </c>
      <c r="N8">
        <f>IF(K8&gt;G8,"CAPACITY SHORTFALL",IF(M8&gt;=0.85,"WATCH","OK"))</f>
        <v/>
      </c>
    </row>
    <row r="9">
      <c r="A9" t="n">
        <v>6</v>
      </c>
      <c r="B9" s="247">
        <f>INDEX('Monthly Funding'!$B$6:$B$41,A9)</f>
        <v/>
      </c>
      <c r="C9">
        <f>'Work Centre Master'!A4</f>
        <v/>
      </c>
      <c r="D9">
        <f>'Work Centre Master'!B4</f>
        <v/>
      </c>
      <c r="E9">
        <f>'Work Centre Master'!E4</f>
        <v/>
      </c>
      <c r="F9" s="253">
        <f>'Work Centre Master'!F4</f>
        <v/>
      </c>
      <c r="G9">
        <f>E9*F9</f>
        <v/>
      </c>
      <c r="H9">
        <f>'Work Centre Master'!G4</f>
        <v/>
      </c>
      <c r="I9">
        <f>SUMIFS('Job Cards'!$E:$E,'Job Cards'!$N:$N,A9,'Job Cards'!$G:$G,"Released")*H9</f>
        <v/>
      </c>
      <c r="J9">
        <f>SUMIFS('Job Cards'!$E:$E,'Job Cards'!$N:$N,A9,'Job Cards'!$G:$G,"Draft")*H9</f>
        <v/>
      </c>
      <c r="K9">
        <f>I9+J9</f>
        <v/>
      </c>
      <c r="L9">
        <f>MAX(0,G9-K9)</f>
        <v/>
      </c>
      <c r="M9" s="253">
        <f>IF(G9=0,0,K9/G9)</f>
        <v/>
      </c>
      <c r="N9">
        <f>IF(K9&gt;G9,"CAPACITY SHORTFALL",IF(M9&gt;=0.85,"WATCH","OK"))</f>
        <v/>
      </c>
    </row>
    <row r="10">
      <c r="A10" t="n">
        <v>7</v>
      </c>
      <c r="B10" s="247">
        <f>INDEX('Monthly Funding'!$B$6:$B$41,A10)</f>
        <v/>
      </c>
      <c r="C10">
        <f>'Work Centre Master'!A4</f>
        <v/>
      </c>
      <c r="D10">
        <f>'Work Centre Master'!B4</f>
        <v/>
      </c>
      <c r="E10">
        <f>'Work Centre Master'!E4</f>
        <v/>
      </c>
      <c r="F10" s="253">
        <f>'Work Centre Master'!F4</f>
        <v/>
      </c>
      <c r="G10">
        <f>E10*F10</f>
        <v/>
      </c>
      <c r="H10">
        <f>'Work Centre Master'!G4</f>
        <v/>
      </c>
      <c r="I10">
        <f>SUMIFS('Job Cards'!$E:$E,'Job Cards'!$N:$N,A10,'Job Cards'!$G:$G,"Released")*H10</f>
        <v/>
      </c>
      <c r="J10">
        <f>SUMIFS('Job Cards'!$E:$E,'Job Cards'!$N:$N,A10,'Job Cards'!$G:$G,"Draft")*H10</f>
        <v/>
      </c>
      <c r="K10">
        <f>I10+J10</f>
        <v/>
      </c>
      <c r="L10">
        <f>MAX(0,G10-K10)</f>
        <v/>
      </c>
      <c r="M10" s="253">
        <f>IF(G10=0,0,K10/G10)</f>
        <v/>
      </c>
      <c r="N10">
        <f>IF(K10&gt;G10,"CAPACITY SHORTFALL",IF(M10&gt;=0.85,"WATCH","OK"))</f>
        <v/>
      </c>
    </row>
    <row r="11">
      <c r="A11" t="n">
        <v>8</v>
      </c>
      <c r="B11" s="247">
        <f>INDEX('Monthly Funding'!$B$6:$B$41,A11)</f>
        <v/>
      </c>
      <c r="C11">
        <f>'Work Centre Master'!A4</f>
        <v/>
      </c>
      <c r="D11">
        <f>'Work Centre Master'!B4</f>
        <v/>
      </c>
      <c r="E11">
        <f>'Work Centre Master'!E4</f>
        <v/>
      </c>
      <c r="F11" s="253">
        <f>'Work Centre Master'!F4</f>
        <v/>
      </c>
      <c r="G11">
        <f>E11*F11</f>
        <v/>
      </c>
      <c r="H11">
        <f>'Work Centre Master'!G4</f>
        <v/>
      </c>
      <c r="I11">
        <f>SUMIFS('Job Cards'!$E:$E,'Job Cards'!$N:$N,A11,'Job Cards'!$G:$G,"Released")*H11</f>
        <v/>
      </c>
      <c r="J11">
        <f>SUMIFS('Job Cards'!$E:$E,'Job Cards'!$N:$N,A11,'Job Cards'!$G:$G,"Draft")*H11</f>
        <v/>
      </c>
      <c r="K11">
        <f>I11+J11</f>
        <v/>
      </c>
      <c r="L11">
        <f>MAX(0,G11-K11)</f>
        <v/>
      </c>
      <c r="M11" s="253">
        <f>IF(G11=0,0,K11/G11)</f>
        <v/>
      </c>
      <c r="N11">
        <f>IF(K11&gt;G11,"CAPACITY SHORTFALL",IF(M11&gt;=0.85,"WATCH","OK"))</f>
        <v/>
      </c>
    </row>
    <row r="12">
      <c r="A12" t="n">
        <v>9</v>
      </c>
      <c r="B12" s="247">
        <f>INDEX('Monthly Funding'!$B$6:$B$41,A12)</f>
        <v/>
      </c>
      <c r="C12">
        <f>'Work Centre Master'!A4</f>
        <v/>
      </c>
      <c r="D12">
        <f>'Work Centre Master'!B4</f>
        <v/>
      </c>
      <c r="E12">
        <f>'Work Centre Master'!E4</f>
        <v/>
      </c>
      <c r="F12" s="253">
        <f>'Work Centre Master'!F4</f>
        <v/>
      </c>
      <c r="G12">
        <f>E12*F12</f>
        <v/>
      </c>
      <c r="H12">
        <f>'Work Centre Master'!G4</f>
        <v/>
      </c>
      <c r="I12">
        <f>SUMIFS('Job Cards'!$E:$E,'Job Cards'!$N:$N,A12,'Job Cards'!$G:$G,"Released")*H12</f>
        <v/>
      </c>
      <c r="J12">
        <f>SUMIFS('Job Cards'!$E:$E,'Job Cards'!$N:$N,A12,'Job Cards'!$G:$G,"Draft")*H12</f>
        <v/>
      </c>
      <c r="K12">
        <f>I12+J12</f>
        <v/>
      </c>
      <c r="L12">
        <f>MAX(0,G12-K12)</f>
        <v/>
      </c>
      <c r="M12" s="253">
        <f>IF(G12=0,0,K12/G12)</f>
        <v/>
      </c>
      <c r="N12">
        <f>IF(K12&gt;G12,"CAPACITY SHORTFALL",IF(M12&gt;=0.85,"WATCH","OK"))</f>
        <v/>
      </c>
    </row>
    <row r="13">
      <c r="A13" t="n">
        <v>10</v>
      </c>
      <c r="B13" s="247">
        <f>INDEX('Monthly Funding'!$B$6:$B$41,A13)</f>
        <v/>
      </c>
      <c r="C13">
        <f>'Work Centre Master'!A4</f>
        <v/>
      </c>
      <c r="D13">
        <f>'Work Centre Master'!B4</f>
        <v/>
      </c>
      <c r="E13">
        <f>'Work Centre Master'!E4</f>
        <v/>
      </c>
      <c r="F13" s="253">
        <f>'Work Centre Master'!F4</f>
        <v/>
      </c>
      <c r="G13">
        <f>E13*F13</f>
        <v/>
      </c>
      <c r="H13">
        <f>'Work Centre Master'!G4</f>
        <v/>
      </c>
      <c r="I13">
        <f>SUMIFS('Job Cards'!$E:$E,'Job Cards'!$N:$N,A13,'Job Cards'!$G:$G,"Released")*H13</f>
        <v/>
      </c>
      <c r="J13">
        <f>SUMIFS('Job Cards'!$E:$E,'Job Cards'!$N:$N,A13,'Job Cards'!$G:$G,"Draft")*H13</f>
        <v/>
      </c>
      <c r="K13">
        <f>I13+J13</f>
        <v/>
      </c>
      <c r="L13">
        <f>MAX(0,G13-K13)</f>
        <v/>
      </c>
      <c r="M13" s="253">
        <f>IF(G13=0,0,K13/G13)</f>
        <v/>
      </c>
      <c r="N13">
        <f>IF(K13&gt;G13,"CAPACITY SHORTFALL",IF(M13&gt;=0.85,"WATCH","OK"))</f>
        <v/>
      </c>
    </row>
    <row r="14">
      <c r="A14" t="n">
        <v>11</v>
      </c>
      <c r="B14" s="247">
        <f>INDEX('Monthly Funding'!$B$6:$B$41,A14)</f>
        <v/>
      </c>
      <c r="C14">
        <f>'Work Centre Master'!A4</f>
        <v/>
      </c>
      <c r="D14">
        <f>'Work Centre Master'!B4</f>
        <v/>
      </c>
      <c r="E14">
        <f>'Work Centre Master'!E4</f>
        <v/>
      </c>
      <c r="F14" s="253">
        <f>'Work Centre Master'!F4</f>
        <v/>
      </c>
      <c r="G14">
        <f>E14*F14</f>
        <v/>
      </c>
      <c r="H14">
        <f>'Work Centre Master'!G4</f>
        <v/>
      </c>
      <c r="I14">
        <f>SUMIFS('Job Cards'!$E:$E,'Job Cards'!$N:$N,A14,'Job Cards'!$G:$G,"Released")*H14</f>
        <v/>
      </c>
      <c r="J14">
        <f>SUMIFS('Job Cards'!$E:$E,'Job Cards'!$N:$N,A14,'Job Cards'!$G:$G,"Draft")*H14</f>
        <v/>
      </c>
      <c r="K14">
        <f>I14+J14</f>
        <v/>
      </c>
      <c r="L14">
        <f>MAX(0,G14-K14)</f>
        <v/>
      </c>
      <c r="M14" s="253">
        <f>IF(G14=0,0,K14/G14)</f>
        <v/>
      </c>
      <c r="N14">
        <f>IF(K14&gt;G14,"CAPACITY SHORTFALL",IF(M14&gt;=0.85,"WATCH","OK"))</f>
        <v/>
      </c>
    </row>
    <row r="15">
      <c r="A15" t="n">
        <v>12</v>
      </c>
      <c r="B15" s="247">
        <f>INDEX('Monthly Funding'!$B$6:$B$41,A15)</f>
        <v/>
      </c>
      <c r="C15">
        <f>'Work Centre Master'!A4</f>
        <v/>
      </c>
      <c r="D15">
        <f>'Work Centre Master'!B4</f>
        <v/>
      </c>
      <c r="E15">
        <f>'Work Centre Master'!E4</f>
        <v/>
      </c>
      <c r="F15" s="253">
        <f>'Work Centre Master'!F4</f>
        <v/>
      </c>
      <c r="G15">
        <f>E15*F15</f>
        <v/>
      </c>
      <c r="H15">
        <f>'Work Centre Master'!G4</f>
        <v/>
      </c>
      <c r="I15">
        <f>SUMIFS('Job Cards'!$E:$E,'Job Cards'!$N:$N,A15,'Job Cards'!$G:$G,"Released")*H15</f>
        <v/>
      </c>
      <c r="J15">
        <f>SUMIFS('Job Cards'!$E:$E,'Job Cards'!$N:$N,A15,'Job Cards'!$G:$G,"Draft")*H15</f>
        <v/>
      </c>
      <c r="K15">
        <f>I15+J15</f>
        <v/>
      </c>
      <c r="L15">
        <f>MAX(0,G15-K15)</f>
        <v/>
      </c>
      <c r="M15" s="253">
        <f>IF(G15=0,0,K15/G15)</f>
        <v/>
      </c>
      <c r="N15">
        <f>IF(K15&gt;G15,"CAPACITY SHORTFALL",IF(M15&gt;=0.85,"WATCH","OK"))</f>
        <v/>
      </c>
    </row>
    <row r="16">
      <c r="A16" t="n">
        <v>13</v>
      </c>
      <c r="B16" s="247">
        <f>INDEX('Monthly Funding'!$B$6:$B$41,A16)</f>
        <v/>
      </c>
      <c r="C16">
        <f>'Work Centre Master'!A4</f>
        <v/>
      </c>
      <c r="D16">
        <f>'Work Centre Master'!B4</f>
        <v/>
      </c>
      <c r="E16">
        <f>'Work Centre Master'!E4</f>
        <v/>
      </c>
      <c r="F16" s="253">
        <f>'Work Centre Master'!F4</f>
        <v/>
      </c>
      <c r="G16">
        <f>E16*F16</f>
        <v/>
      </c>
      <c r="H16">
        <f>'Work Centre Master'!G4</f>
        <v/>
      </c>
      <c r="I16">
        <f>SUMIFS('Job Cards'!$E:$E,'Job Cards'!$N:$N,A16,'Job Cards'!$G:$G,"Released")*H16</f>
        <v/>
      </c>
      <c r="J16">
        <f>SUMIFS('Job Cards'!$E:$E,'Job Cards'!$N:$N,A16,'Job Cards'!$G:$G,"Draft")*H16</f>
        <v/>
      </c>
      <c r="K16">
        <f>I16+J16</f>
        <v/>
      </c>
      <c r="L16">
        <f>MAX(0,G16-K16)</f>
        <v/>
      </c>
      <c r="M16" s="253">
        <f>IF(G16=0,0,K16/G16)</f>
        <v/>
      </c>
      <c r="N16">
        <f>IF(K16&gt;G16,"CAPACITY SHORTFALL",IF(M16&gt;=0.85,"WATCH","OK"))</f>
        <v/>
      </c>
    </row>
    <row r="17">
      <c r="A17" t="n">
        <v>14</v>
      </c>
      <c r="B17" s="247">
        <f>INDEX('Monthly Funding'!$B$6:$B$41,A17)</f>
        <v/>
      </c>
      <c r="C17">
        <f>'Work Centre Master'!A4</f>
        <v/>
      </c>
      <c r="D17">
        <f>'Work Centre Master'!B4</f>
        <v/>
      </c>
      <c r="E17">
        <f>'Work Centre Master'!E4</f>
        <v/>
      </c>
      <c r="F17" s="253">
        <f>'Work Centre Master'!F4</f>
        <v/>
      </c>
      <c r="G17">
        <f>E17*F17</f>
        <v/>
      </c>
      <c r="H17">
        <f>'Work Centre Master'!G4</f>
        <v/>
      </c>
      <c r="I17">
        <f>SUMIFS('Job Cards'!$E:$E,'Job Cards'!$N:$N,A17,'Job Cards'!$G:$G,"Released")*H17</f>
        <v/>
      </c>
      <c r="J17">
        <f>SUMIFS('Job Cards'!$E:$E,'Job Cards'!$N:$N,A17,'Job Cards'!$G:$G,"Draft")*H17</f>
        <v/>
      </c>
      <c r="K17">
        <f>I17+J17</f>
        <v/>
      </c>
      <c r="L17">
        <f>MAX(0,G17-K17)</f>
        <v/>
      </c>
      <c r="M17" s="253">
        <f>IF(G17=0,0,K17/G17)</f>
        <v/>
      </c>
      <c r="N17">
        <f>IF(K17&gt;G17,"CAPACITY SHORTFALL",IF(M17&gt;=0.85,"WATCH","OK"))</f>
        <v/>
      </c>
    </row>
    <row r="18">
      <c r="A18" t="n">
        <v>15</v>
      </c>
      <c r="B18" s="247">
        <f>INDEX('Monthly Funding'!$B$6:$B$41,A18)</f>
        <v/>
      </c>
      <c r="C18">
        <f>'Work Centre Master'!A4</f>
        <v/>
      </c>
      <c r="D18">
        <f>'Work Centre Master'!B4</f>
        <v/>
      </c>
      <c r="E18">
        <f>'Work Centre Master'!E4</f>
        <v/>
      </c>
      <c r="F18" s="253">
        <f>'Work Centre Master'!F4</f>
        <v/>
      </c>
      <c r="G18">
        <f>E18*F18</f>
        <v/>
      </c>
      <c r="H18">
        <f>'Work Centre Master'!G4</f>
        <v/>
      </c>
      <c r="I18">
        <f>SUMIFS('Job Cards'!$E:$E,'Job Cards'!$N:$N,A18,'Job Cards'!$G:$G,"Released")*H18</f>
        <v/>
      </c>
      <c r="J18">
        <f>SUMIFS('Job Cards'!$E:$E,'Job Cards'!$N:$N,A18,'Job Cards'!$G:$G,"Draft")*H18</f>
        <v/>
      </c>
      <c r="K18">
        <f>I18+J18</f>
        <v/>
      </c>
      <c r="L18">
        <f>MAX(0,G18-K18)</f>
        <v/>
      </c>
      <c r="M18" s="253">
        <f>IF(G18=0,0,K18/G18)</f>
        <v/>
      </c>
      <c r="N18">
        <f>IF(K18&gt;G18,"CAPACITY SHORTFALL",IF(M18&gt;=0.85,"WATCH","OK"))</f>
        <v/>
      </c>
    </row>
    <row r="19">
      <c r="A19" t="n">
        <v>16</v>
      </c>
      <c r="B19" s="247">
        <f>INDEX('Monthly Funding'!$B$6:$B$41,A19)</f>
        <v/>
      </c>
      <c r="C19">
        <f>'Work Centre Master'!A4</f>
        <v/>
      </c>
      <c r="D19">
        <f>'Work Centre Master'!B4</f>
        <v/>
      </c>
      <c r="E19">
        <f>'Work Centre Master'!E4</f>
        <v/>
      </c>
      <c r="F19" s="253">
        <f>'Work Centre Master'!F4</f>
        <v/>
      </c>
      <c r="G19">
        <f>E19*F19</f>
        <v/>
      </c>
      <c r="H19">
        <f>'Work Centre Master'!G4</f>
        <v/>
      </c>
      <c r="I19">
        <f>SUMIFS('Job Cards'!$E:$E,'Job Cards'!$N:$N,A19,'Job Cards'!$G:$G,"Released")*H19</f>
        <v/>
      </c>
      <c r="J19">
        <f>SUMIFS('Job Cards'!$E:$E,'Job Cards'!$N:$N,A19,'Job Cards'!$G:$G,"Draft")*H19</f>
        <v/>
      </c>
      <c r="K19">
        <f>I19+J19</f>
        <v/>
      </c>
      <c r="L19">
        <f>MAX(0,G19-K19)</f>
        <v/>
      </c>
      <c r="M19" s="253">
        <f>IF(G19=0,0,K19/G19)</f>
        <v/>
      </c>
      <c r="N19">
        <f>IF(K19&gt;G19,"CAPACITY SHORTFALL",IF(M19&gt;=0.85,"WATCH","OK"))</f>
        <v/>
      </c>
    </row>
    <row r="20">
      <c r="A20" t="n">
        <v>17</v>
      </c>
      <c r="B20" s="247">
        <f>INDEX('Monthly Funding'!$B$6:$B$41,A20)</f>
        <v/>
      </c>
      <c r="C20">
        <f>'Work Centre Master'!A4</f>
        <v/>
      </c>
      <c r="D20">
        <f>'Work Centre Master'!B4</f>
        <v/>
      </c>
      <c r="E20">
        <f>'Work Centre Master'!E4</f>
        <v/>
      </c>
      <c r="F20" s="253">
        <f>'Work Centre Master'!F4</f>
        <v/>
      </c>
      <c r="G20">
        <f>E20*F20</f>
        <v/>
      </c>
      <c r="H20">
        <f>'Work Centre Master'!G4</f>
        <v/>
      </c>
      <c r="I20">
        <f>SUMIFS('Job Cards'!$E:$E,'Job Cards'!$N:$N,A20,'Job Cards'!$G:$G,"Released")*H20</f>
        <v/>
      </c>
      <c r="J20">
        <f>SUMIFS('Job Cards'!$E:$E,'Job Cards'!$N:$N,A20,'Job Cards'!$G:$G,"Draft")*H20</f>
        <v/>
      </c>
      <c r="K20">
        <f>I20+J20</f>
        <v/>
      </c>
      <c r="L20">
        <f>MAX(0,G20-K20)</f>
        <v/>
      </c>
      <c r="M20" s="253">
        <f>IF(G20=0,0,K20/G20)</f>
        <v/>
      </c>
      <c r="N20">
        <f>IF(K20&gt;G20,"CAPACITY SHORTFALL",IF(M20&gt;=0.85,"WATCH","OK"))</f>
        <v/>
      </c>
    </row>
    <row r="21">
      <c r="A21" t="n">
        <v>18</v>
      </c>
      <c r="B21" s="247">
        <f>INDEX('Monthly Funding'!$B$6:$B$41,A21)</f>
        <v/>
      </c>
      <c r="C21">
        <f>'Work Centre Master'!A4</f>
        <v/>
      </c>
      <c r="D21">
        <f>'Work Centre Master'!B4</f>
        <v/>
      </c>
      <c r="E21">
        <f>'Work Centre Master'!E4</f>
        <v/>
      </c>
      <c r="F21" s="253">
        <f>'Work Centre Master'!F4</f>
        <v/>
      </c>
      <c r="G21">
        <f>E21*F21</f>
        <v/>
      </c>
      <c r="H21">
        <f>'Work Centre Master'!G4</f>
        <v/>
      </c>
      <c r="I21">
        <f>SUMIFS('Job Cards'!$E:$E,'Job Cards'!$N:$N,A21,'Job Cards'!$G:$G,"Released")*H21</f>
        <v/>
      </c>
      <c r="J21">
        <f>SUMIFS('Job Cards'!$E:$E,'Job Cards'!$N:$N,A21,'Job Cards'!$G:$G,"Draft")*H21</f>
        <v/>
      </c>
      <c r="K21">
        <f>I21+J21</f>
        <v/>
      </c>
      <c r="L21">
        <f>MAX(0,G21-K21)</f>
        <v/>
      </c>
      <c r="M21" s="253">
        <f>IF(G21=0,0,K21/G21)</f>
        <v/>
      </c>
      <c r="N21">
        <f>IF(K21&gt;G21,"CAPACITY SHORTFALL",IF(M21&gt;=0.85,"WATCH","OK"))</f>
        <v/>
      </c>
    </row>
    <row r="22">
      <c r="A22" t="n">
        <v>19</v>
      </c>
      <c r="B22" s="247">
        <f>INDEX('Monthly Funding'!$B$6:$B$41,A22)</f>
        <v/>
      </c>
      <c r="C22">
        <f>'Work Centre Master'!A4</f>
        <v/>
      </c>
      <c r="D22">
        <f>'Work Centre Master'!B4</f>
        <v/>
      </c>
      <c r="E22">
        <f>'Work Centre Master'!E4</f>
        <v/>
      </c>
      <c r="F22" s="253">
        <f>'Work Centre Master'!F4</f>
        <v/>
      </c>
      <c r="G22">
        <f>E22*F22</f>
        <v/>
      </c>
      <c r="H22">
        <f>'Work Centre Master'!G4</f>
        <v/>
      </c>
      <c r="I22">
        <f>SUMIFS('Job Cards'!$E:$E,'Job Cards'!$N:$N,A22,'Job Cards'!$G:$G,"Released")*H22</f>
        <v/>
      </c>
      <c r="J22">
        <f>SUMIFS('Job Cards'!$E:$E,'Job Cards'!$N:$N,A22,'Job Cards'!$G:$G,"Draft")*H22</f>
        <v/>
      </c>
      <c r="K22">
        <f>I22+J22</f>
        <v/>
      </c>
      <c r="L22">
        <f>MAX(0,G22-K22)</f>
        <v/>
      </c>
      <c r="M22" s="253">
        <f>IF(G22=0,0,K22/G22)</f>
        <v/>
      </c>
      <c r="N22">
        <f>IF(K22&gt;G22,"CAPACITY SHORTFALL",IF(M22&gt;=0.85,"WATCH","OK"))</f>
        <v/>
      </c>
    </row>
    <row r="23">
      <c r="A23" t="n">
        <v>20</v>
      </c>
      <c r="B23" s="247">
        <f>INDEX('Monthly Funding'!$B$6:$B$41,A23)</f>
        <v/>
      </c>
      <c r="C23">
        <f>'Work Centre Master'!A4</f>
        <v/>
      </c>
      <c r="D23">
        <f>'Work Centre Master'!B4</f>
        <v/>
      </c>
      <c r="E23">
        <f>'Work Centre Master'!E4</f>
        <v/>
      </c>
      <c r="F23" s="253">
        <f>'Work Centre Master'!F4</f>
        <v/>
      </c>
      <c r="G23">
        <f>E23*F23</f>
        <v/>
      </c>
      <c r="H23">
        <f>'Work Centre Master'!G4</f>
        <v/>
      </c>
      <c r="I23">
        <f>SUMIFS('Job Cards'!$E:$E,'Job Cards'!$N:$N,A23,'Job Cards'!$G:$G,"Released")*H23</f>
        <v/>
      </c>
      <c r="J23">
        <f>SUMIFS('Job Cards'!$E:$E,'Job Cards'!$N:$N,A23,'Job Cards'!$G:$G,"Draft")*H23</f>
        <v/>
      </c>
      <c r="K23">
        <f>I23+J23</f>
        <v/>
      </c>
      <c r="L23">
        <f>MAX(0,G23-K23)</f>
        <v/>
      </c>
      <c r="M23" s="253">
        <f>IF(G23=0,0,K23/G23)</f>
        <v/>
      </c>
      <c r="N23">
        <f>IF(K23&gt;G23,"CAPACITY SHORTFALL",IF(M23&gt;=0.85,"WATCH","OK"))</f>
        <v/>
      </c>
    </row>
    <row r="24">
      <c r="A24" t="n">
        <v>21</v>
      </c>
      <c r="B24" s="247">
        <f>INDEX('Monthly Funding'!$B$6:$B$41,A24)</f>
        <v/>
      </c>
      <c r="C24">
        <f>'Work Centre Master'!A4</f>
        <v/>
      </c>
      <c r="D24">
        <f>'Work Centre Master'!B4</f>
        <v/>
      </c>
      <c r="E24">
        <f>'Work Centre Master'!E4</f>
        <v/>
      </c>
      <c r="F24" s="253">
        <f>'Work Centre Master'!F4</f>
        <v/>
      </c>
      <c r="G24">
        <f>E24*F24</f>
        <v/>
      </c>
      <c r="H24">
        <f>'Work Centre Master'!G4</f>
        <v/>
      </c>
      <c r="I24">
        <f>SUMIFS('Job Cards'!$E:$E,'Job Cards'!$N:$N,A24,'Job Cards'!$G:$G,"Released")*H24</f>
        <v/>
      </c>
      <c r="J24">
        <f>SUMIFS('Job Cards'!$E:$E,'Job Cards'!$N:$N,A24,'Job Cards'!$G:$G,"Draft")*H24</f>
        <v/>
      </c>
      <c r="K24">
        <f>I24+J24</f>
        <v/>
      </c>
      <c r="L24">
        <f>MAX(0,G24-K24)</f>
        <v/>
      </c>
      <c r="M24" s="253">
        <f>IF(G24=0,0,K24/G24)</f>
        <v/>
      </c>
      <c r="N24">
        <f>IF(K24&gt;G24,"CAPACITY SHORTFALL",IF(M24&gt;=0.85,"WATCH","OK"))</f>
        <v/>
      </c>
    </row>
    <row r="25">
      <c r="A25" t="n">
        <v>22</v>
      </c>
      <c r="B25" s="247">
        <f>INDEX('Monthly Funding'!$B$6:$B$41,A25)</f>
        <v/>
      </c>
      <c r="C25">
        <f>'Work Centre Master'!A4</f>
        <v/>
      </c>
      <c r="D25">
        <f>'Work Centre Master'!B4</f>
        <v/>
      </c>
      <c r="E25">
        <f>'Work Centre Master'!E4</f>
        <v/>
      </c>
      <c r="F25" s="253">
        <f>'Work Centre Master'!F4</f>
        <v/>
      </c>
      <c r="G25">
        <f>E25*F25</f>
        <v/>
      </c>
      <c r="H25">
        <f>'Work Centre Master'!G4</f>
        <v/>
      </c>
      <c r="I25">
        <f>SUMIFS('Job Cards'!$E:$E,'Job Cards'!$N:$N,A25,'Job Cards'!$G:$G,"Released")*H25</f>
        <v/>
      </c>
      <c r="J25">
        <f>SUMIFS('Job Cards'!$E:$E,'Job Cards'!$N:$N,A25,'Job Cards'!$G:$G,"Draft")*H25</f>
        <v/>
      </c>
      <c r="K25">
        <f>I25+J25</f>
        <v/>
      </c>
      <c r="L25">
        <f>MAX(0,G25-K25)</f>
        <v/>
      </c>
      <c r="M25" s="253">
        <f>IF(G25=0,0,K25/G25)</f>
        <v/>
      </c>
      <c r="N25">
        <f>IF(K25&gt;G25,"CAPACITY SHORTFALL",IF(M25&gt;=0.85,"WATCH","OK"))</f>
        <v/>
      </c>
    </row>
    <row r="26">
      <c r="A26" t="n">
        <v>23</v>
      </c>
      <c r="B26" s="247">
        <f>INDEX('Monthly Funding'!$B$6:$B$41,A26)</f>
        <v/>
      </c>
      <c r="C26">
        <f>'Work Centre Master'!A4</f>
        <v/>
      </c>
      <c r="D26">
        <f>'Work Centre Master'!B4</f>
        <v/>
      </c>
      <c r="E26">
        <f>'Work Centre Master'!E4</f>
        <v/>
      </c>
      <c r="F26" s="253">
        <f>'Work Centre Master'!F4</f>
        <v/>
      </c>
      <c r="G26">
        <f>E26*F26</f>
        <v/>
      </c>
      <c r="H26">
        <f>'Work Centre Master'!G4</f>
        <v/>
      </c>
      <c r="I26">
        <f>SUMIFS('Job Cards'!$E:$E,'Job Cards'!$N:$N,A26,'Job Cards'!$G:$G,"Released")*H26</f>
        <v/>
      </c>
      <c r="J26">
        <f>SUMIFS('Job Cards'!$E:$E,'Job Cards'!$N:$N,A26,'Job Cards'!$G:$G,"Draft")*H26</f>
        <v/>
      </c>
      <c r="K26">
        <f>I26+J26</f>
        <v/>
      </c>
      <c r="L26">
        <f>MAX(0,G26-K26)</f>
        <v/>
      </c>
      <c r="M26" s="253">
        <f>IF(G26=0,0,K26/G26)</f>
        <v/>
      </c>
      <c r="N26">
        <f>IF(K26&gt;G26,"CAPACITY SHORTFALL",IF(M26&gt;=0.85,"WATCH","OK"))</f>
        <v/>
      </c>
    </row>
    <row r="27">
      <c r="A27" t="n">
        <v>24</v>
      </c>
      <c r="B27" s="247">
        <f>INDEX('Monthly Funding'!$B$6:$B$41,A27)</f>
        <v/>
      </c>
      <c r="C27">
        <f>'Work Centre Master'!A4</f>
        <v/>
      </c>
      <c r="D27">
        <f>'Work Centre Master'!B4</f>
        <v/>
      </c>
      <c r="E27">
        <f>'Work Centre Master'!E4</f>
        <v/>
      </c>
      <c r="F27" s="253">
        <f>'Work Centre Master'!F4</f>
        <v/>
      </c>
      <c r="G27">
        <f>E27*F27</f>
        <v/>
      </c>
      <c r="H27">
        <f>'Work Centre Master'!G4</f>
        <v/>
      </c>
      <c r="I27">
        <f>SUMIFS('Job Cards'!$E:$E,'Job Cards'!$N:$N,A27,'Job Cards'!$G:$G,"Released")*H27</f>
        <v/>
      </c>
      <c r="J27">
        <f>SUMIFS('Job Cards'!$E:$E,'Job Cards'!$N:$N,A27,'Job Cards'!$G:$G,"Draft")*H27</f>
        <v/>
      </c>
      <c r="K27">
        <f>I27+J27</f>
        <v/>
      </c>
      <c r="L27">
        <f>MAX(0,G27-K27)</f>
        <v/>
      </c>
      <c r="M27" s="253">
        <f>IF(G27=0,0,K27/G27)</f>
        <v/>
      </c>
      <c r="N27">
        <f>IF(K27&gt;G27,"CAPACITY SHORTFALL",IF(M27&gt;=0.85,"WATCH","OK"))</f>
        <v/>
      </c>
    </row>
    <row r="28">
      <c r="A28" t="n">
        <v>25</v>
      </c>
      <c r="B28" s="247">
        <f>INDEX('Monthly Funding'!$B$6:$B$41,A28)</f>
        <v/>
      </c>
      <c r="C28">
        <f>'Work Centre Master'!A4</f>
        <v/>
      </c>
      <c r="D28">
        <f>'Work Centre Master'!B4</f>
        <v/>
      </c>
      <c r="E28">
        <f>'Work Centre Master'!E4</f>
        <v/>
      </c>
      <c r="F28" s="253">
        <f>'Work Centre Master'!F4</f>
        <v/>
      </c>
      <c r="G28">
        <f>E28*F28</f>
        <v/>
      </c>
      <c r="H28">
        <f>'Work Centre Master'!G4</f>
        <v/>
      </c>
      <c r="I28">
        <f>SUMIFS('Job Cards'!$E:$E,'Job Cards'!$N:$N,A28,'Job Cards'!$G:$G,"Released")*H28</f>
        <v/>
      </c>
      <c r="J28">
        <f>SUMIFS('Job Cards'!$E:$E,'Job Cards'!$N:$N,A28,'Job Cards'!$G:$G,"Draft")*H28</f>
        <v/>
      </c>
      <c r="K28">
        <f>I28+J28</f>
        <v/>
      </c>
      <c r="L28">
        <f>MAX(0,G28-K28)</f>
        <v/>
      </c>
      <c r="M28" s="253">
        <f>IF(G28=0,0,K28/G28)</f>
        <v/>
      </c>
      <c r="N28">
        <f>IF(K28&gt;G28,"CAPACITY SHORTFALL",IF(M28&gt;=0.85,"WATCH","OK"))</f>
        <v/>
      </c>
    </row>
    <row r="29">
      <c r="A29" t="n">
        <v>26</v>
      </c>
      <c r="B29" s="247">
        <f>INDEX('Monthly Funding'!$B$6:$B$41,A29)</f>
        <v/>
      </c>
      <c r="C29">
        <f>'Work Centre Master'!A4</f>
        <v/>
      </c>
      <c r="D29">
        <f>'Work Centre Master'!B4</f>
        <v/>
      </c>
      <c r="E29">
        <f>'Work Centre Master'!E4</f>
        <v/>
      </c>
      <c r="F29" s="253">
        <f>'Work Centre Master'!F4</f>
        <v/>
      </c>
      <c r="G29">
        <f>E29*F29</f>
        <v/>
      </c>
      <c r="H29">
        <f>'Work Centre Master'!G4</f>
        <v/>
      </c>
      <c r="I29">
        <f>SUMIFS('Job Cards'!$E:$E,'Job Cards'!$N:$N,A29,'Job Cards'!$G:$G,"Released")*H29</f>
        <v/>
      </c>
      <c r="J29">
        <f>SUMIFS('Job Cards'!$E:$E,'Job Cards'!$N:$N,A29,'Job Cards'!$G:$G,"Draft")*H29</f>
        <v/>
      </c>
      <c r="K29">
        <f>I29+J29</f>
        <v/>
      </c>
      <c r="L29">
        <f>MAX(0,G29-K29)</f>
        <v/>
      </c>
      <c r="M29" s="253">
        <f>IF(G29=0,0,K29/G29)</f>
        <v/>
      </c>
      <c r="N29">
        <f>IF(K29&gt;G29,"CAPACITY SHORTFALL",IF(M29&gt;=0.85,"WATCH","OK"))</f>
        <v/>
      </c>
    </row>
    <row r="30">
      <c r="A30" t="n">
        <v>27</v>
      </c>
      <c r="B30" s="247">
        <f>INDEX('Monthly Funding'!$B$6:$B$41,A30)</f>
        <v/>
      </c>
      <c r="C30">
        <f>'Work Centre Master'!A4</f>
        <v/>
      </c>
      <c r="D30">
        <f>'Work Centre Master'!B4</f>
        <v/>
      </c>
      <c r="E30">
        <f>'Work Centre Master'!E4</f>
        <v/>
      </c>
      <c r="F30" s="253">
        <f>'Work Centre Master'!F4</f>
        <v/>
      </c>
      <c r="G30">
        <f>E30*F30</f>
        <v/>
      </c>
      <c r="H30">
        <f>'Work Centre Master'!G4</f>
        <v/>
      </c>
      <c r="I30">
        <f>SUMIFS('Job Cards'!$E:$E,'Job Cards'!$N:$N,A30,'Job Cards'!$G:$G,"Released")*H30</f>
        <v/>
      </c>
      <c r="J30">
        <f>SUMIFS('Job Cards'!$E:$E,'Job Cards'!$N:$N,A30,'Job Cards'!$G:$G,"Draft")*H30</f>
        <v/>
      </c>
      <c r="K30">
        <f>I30+J30</f>
        <v/>
      </c>
      <c r="L30">
        <f>MAX(0,G30-K30)</f>
        <v/>
      </c>
      <c r="M30" s="253">
        <f>IF(G30=0,0,K30/G30)</f>
        <v/>
      </c>
      <c r="N30">
        <f>IF(K30&gt;G30,"CAPACITY SHORTFALL",IF(M30&gt;=0.85,"WATCH","OK"))</f>
        <v/>
      </c>
    </row>
    <row r="31">
      <c r="A31" t="n">
        <v>28</v>
      </c>
      <c r="B31" s="247">
        <f>INDEX('Monthly Funding'!$B$6:$B$41,A31)</f>
        <v/>
      </c>
      <c r="C31">
        <f>'Work Centre Master'!A4</f>
        <v/>
      </c>
      <c r="D31">
        <f>'Work Centre Master'!B4</f>
        <v/>
      </c>
      <c r="E31">
        <f>'Work Centre Master'!E4</f>
        <v/>
      </c>
      <c r="F31" s="253">
        <f>'Work Centre Master'!F4</f>
        <v/>
      </c>
      <c r="G31">
        <f>E31*F31</f>
        <v/>
      </c>
      <c r="H31">
        <f>'Work Centre Master'!G4</f>
        <v/>
      </c>
      <c r="I31">
        <f>SUMIFS('Job Cards'!$E:$E,'Job Cards'!$N:$N,A31,'Job Cards'!$G:$G,"Released")*H31</f>
        <v/>
      </c>
      <c r="J31">
        <f>SUMIFS('Job Cards'!$E:$E,'Job Cards'!$N:$N,A31,'Job Cards'!$G:$G,"Draft")*H31</f>
        <v/>
      </c>
      <c r="K31">
        <f>I31+J31</f>
        <v/>
      </c>
      <c r="L31">
        <f>MAX(0,G31-K31)</f>
        <v/>
      </c>
      <c r="M31" s="253">
        <f>IF(G31=0,0,K31/G31)</f>
        <v/>
      </c>
      <c r="N31">
        <f>IF(K31&gt;G31,"CAPACITY SHORTFALL",IF(M31&gt;=0.85,"WATCH","OK"))</f>
        <v/>
      </c>
    </row>
    <row r="32">
      <c r="A32" t="n">
        <v>29</v>
      </c>
      <c r="B32" s="247">
        <f>INDEX('Monthly Funding'!$B$6:$B$41,A32)</f>
        <v/>
      </c>
      <c r="C32">
        <f>'Work Centre Master'!A4</f>
        <v/>
      </c>
      <c r="D32">
        <f>'Work Centre Master'!B4</f>
        <v/>
      </c>
      <c r="E32">
        <f>'Work Centre Master'!E4</f>
        <v/>
      </c>
      <c r="F32" s="253">
        <f>'Work Centre Master'!F4</f>
        <v/>
      </c>
      <c r="G32">
        <f>E32*F32</f>
        <v/>
      </c>
      <c r="H32">
        <f>'Work Centre Master'!G4</f>
        <v/>
      </c>
      <c r="I32">
        <f>SUMIFS('Job Cards'!$E:$E,'Job Cards'!$N:$N,A32,'Job Cards'!$G:$G,"Released")*H32</f>
        <v/>
      </c>
      <c r="J32">
        <f>SUMIFS('Job Cards'!$E:$E,'Job Cards'!$N:$N,A32,'Job Cards'!$G:$G,"Draft")*H32</f>
        <v/>
      </c>
      <c r="K32">
        <f>I32+J32</f>
        <v/>
      </c>
      <c r="L32">
        <f>MAX(0,G32-K32)</f>
        <v/>
      </c>
      <c r="M32" s="253">
        <f>IF(G32=0,0,K32/G32)</f>
        <v/>
      </c>
      <c r="N32">
        <f>IF(K32&gt;G32,"CAPACITY SHORTFALL",IF(M32&gt;=0.85,"WATCH","OK"))</f>
        <v/>
      </c>
    </row>
    <row r="33">
      <c r="A33" t="n">
        <v>30</v>
      </c>
      <c r="B33" s="247">
        <f>INDEX('Monthly Funding'!$B$6:$B$41,A33)</f>
        <v/>
      </c>
      <c r="C33">
        <f>'Work Centre Master'!A4</f>
        <v/>
      </c>
      <c r="D33">
        <f>'Work Centre Master'!B4</f>
        <v/>
      </c>
      <c r="E33">
        <f>'Work Centre Master'!E4</f>
        <v/>
      </c>
      <c r="F33" s="253">
        <f>'Work Centre Master'!F4</f>
        <v/>
      </c>
      <c r="G33">
        <f>E33*F33</f>
        <v/>
      </c>
      <c r="H33">
        <f>'Work Centre Master'!G4</f>
        <v/>
      </c>
      <c r="I33">
        <f>SUMIFS('Job Cards'!$E:$E,'Job Cards'!$N:$N,A33,'Job Cards'!$G:$G,"Released")*H33</f>
        <v/>
      </c>
      <c r="J33">
        <f>SUMIFS('Job Cards'!$E:$E,'Job Cards'!$N:$N,A33,'Job Cards'!$G:$G,"Draft")*H33</f>
        <v/>
      </c>
      <c r="K33">
        <f>I33+J33</f>
        <v/>
      </c>
      <c r="L33">
        <f>MAX(0,G33-K33)</f>
        <v/>
      </c>
      <c r="M33" s="253">
        <f>IF(G33=0,0,K33/G33)</f>
        <v/>
      </c>
      <c r="N33">
        <f>IF(K33&gt;G33,"CAPACITY SHORTFALL",IF(M33&gt;=0.85,"WATCH","OK"))</f>
        <v/>
      </c>
    </row>
    <row r="34">
      <c r="A34" t="n">
        <v>31</v>
      </c>
      <c r="B34" s="247">
        <f>INDEX('Monthly Funding'!$B$6:$B$41,A34)</f>
        <v/>
      </c>
      <c r="C34">
        <f>'Work Centre Master'!A4</f>
        <v/>
      </c>
      <c r="D34">
        <f>'Work Centre Master'!B4</f>
        <v/>
      </c>
      <c r="E34">
        <f>'Work Centre Master'!E4</f>
        <v/>
      </c>
      <c r="F34" s="253">
        <f>'Work Centre Master'!F4</f>
        <v/>
      </c>
      <c r="G34">
        <f>E34*F34</f>
        <v/>
      </c>
      <c r="H34">
        <f>'Work Centre Master'!G4</f>
        <v/>
      </c>
      <c r="I34">
        <f>SUMIFS('Job Cards'!$E:$E,'Job Cards'!$N:$N,A34,'Job Cards'!$G:$G,"Released")*H34</f>
        <v/>
      </c>
      <c r="J34">
        <f>SUMIFS('Job Cards'!$E:$E,'Job Cards'!$N:$N,A34,'Job Cards'!$G:$G,"Draft")*H34</f>
        <v/>
      </c>
      <c r="K34">
        <f>I34+J34</f>
        <v/>
      </c>
      <c r="L34">
        <f>MAX(0,G34-K34)</f>
        <v/>
      </c>
      <c r="M34" s="253">
        <f>IF(G34=0,0,K34/G34)</f>
        <v/>
      </c>
      <c r="N34">
        <f>IF(K34&gt;G34,"CAPACITY SHORTFALL",IF(M34&gt;=0.85,"WATCH","OK"))</f>
        <v/>
      </c>
    </row>
    <row r="35">
      <c r="A35" t="n">
        <v>32</v>
      </c>
      <c r="B35" s="247">
        <f>INDEX('Monthly Funding'!$B$6:$B$41,A35)</f>
        <v/>
      </c>
      <c r="C35">
        <f>'Work Centre Master'!A4</f>
        <v/>
      </c>
      <c r="D35">
        <f>'Work Centre Master'!B4</f>
        <v/>
      </c>
      <c r="E35">
        <f>'Work Centre Master'!E4</f>
        <v/>
      </c>
      <c r="F35" s="253">
        <f>'Work Centre Master'!F4</f>
        <v/>
      </c>
      <c r="G35">
        <f>E35*F35</f>
        <v/>
      </c>
      <c r="H35">
        <f>'Work Centre Master'!G4</f>
        <v/>
      </c>
      <c r="I35">
        <f>SUMIFS('Job Cards'!$E:$E,'Job Cards'!$N:$N,A35,'Job Cards'!$G:$G,"Released")*H35</f>
        <v/>
      </c>
      <c r="J35">
        <f>SUMIFS('Job Cards'!$E:$E,'Job Cards'!$N:$N,A35,'Job Cards'!$G:$G,"Draft")*H35</f>
        <v/>
      </c>
      <c r="K35">
        <f>I35+J35</f>
        <v/>
      </c>
      <c r="L35">
        <f>MAX(0,G35-K35)</f>
        <v/>
      </c>
      <c r="M35" s="253">
        <f>IF(G35=0,0,K35/G35)</f>
        <v/>
      </c>
      <c r="N35">
        <f>IF(K35&gt;G35,"CAPACITY SHORTFALL",IF(M35&gt;=0.85,"WATCH","OK"))</f>
        <v/>
      </c>
    </row>
    <row r="36">
      <c r="A36" t="n">
        <v>33</v>
      </c>
      <c r="B36" s="247">
        <f>INDEX('Monthly Funding'!$B$6:$B$41,A36)</f>
        <v/>
      </c>
      <c r="C36">
        <f>'Work Centre Master'!A4</f>
        <v/>
      </c>
      <c r="D36">
        <f>'Work Centre Master'!B4</f>
        <v/>
      </c>
      <c r="E36">
        <f>'Work Centre Master'!E4</f>
        <v/>
      </c>
      <c r="F36" s="253">
        <f>'Work Centre Master'!F4</f>
        <v/>
      </c>
      <c r="G36">
        <f>E36*F36</f>
        <v/>
      </c>
      <c r="H36">
        <f>'Work Centre Master'!G4</f>
        <v/>
      </c>
      <c r="I36">
        <f>SUMIFS('Job Cards'!$E:$E,'Job Cards'!$N:$N,A36,'Job Cards'!$G:$G,"Released")*H36</f>
        <v/>
      </c>
      <c r="J36">
        <f>SUMIFS('Job Cards'!$E:$E,'Job Cards'!$N:$N,A36,'Job Cards'!$G:$G,"Draft")*H36</f>
        <v/>
      </c>
      <c r="K36">
        <f>I36+J36</f>
        <v/>
      </c>
      <c r="L36">
        <f>MAX(0,G36-K36)</f>
        <v/>
      </c>
      <c r="M36" s="253">
        <f>IF(G36=0,0,K36/G36)</f>
        <v/>
      </c>
      <c r="N36">
        <f>IF(K36&gt;G36,"CAPACITY SHORTFALL",IF(M36&gt;=0.85,"WATCH","OK"))</f>
        <v/>
      </c>
    </row>
    <row r="37">
      <c r="A37" t="n">
        <v>34</v>
      </c>
      <c r="B37" s="247">
        <f>INDEX('Monthly Funding'!$B$6:$B$41,A37)</f>
        <v/>
      </c>
      <c r="C37">
        <f>'Work Centre Master'!A4</f>
        <v/>
      </c>
      <c r="D37">
        <f>'Work Centre Master'!B4</f>
        <v/>
      </c>
      <c r="E37">
        <f>'Work Centre Master'!E4</f>
        <v/>
      </c>
      <c r="F37" s="253">
        <f>'Work Centre Master'!F4</f>
        <v/>
      </c>
      <c r="G37">
        <f>E37*F37</f>
        <v/>
      </c>
      <c r="H37">
        <f>'Work Centre Master'!G4</f>
        <v/>
      </c>
      <c r="I37">
        <f>SUMIFS('Job Cards'!$E:$E,'Job Cards'!$N:$N,A37,'Job Cards'!$G:$G,"Released")*H37</f>
        <v/>
      </c>
      <c r="J37">
        <f>SUMIFS('Job Cards'!$E:$E,'Job Cards'!$N:$N,A37,'Job Cards'!$G:$G,"Draft")*H37</f>
        <v/>
      </c>
      <c r="K37">
        <f>I37+J37</f>
        <v/>
      </c>
      <c r="L37">
        <f>MAX(0,G37-K37)</f>
        <v/>
      </c>
      <c r="M37" s="253">
        <f>IF(G37=0,0,K37/G37)</f>
        <v/>
      </c>
      <c r="N37">
        <f>IF(K37&gt;G37,"CAPACITY SHORTFALL",IF(M37&gt;=0.85,"WATCH","OK"))</f>
        <v/>
      </c>
    </row>
    <row r="38">
      <c r="A38" t="n">
        <v>35</v>
      </c>
      <c r="B38" s="247">
        <f>INDEX('Monthly Funding'!$B$6:$B$41,A38)</f>
        <v/>
      </c>
      <c r="C38">
        <f>'Work Centre Master'!A4</f>
        <v/>
      </c>
      <c r="D38">
        <f>'Work Centre Master'!B4</f>
        <v/>
      </c>
      <c r="E38">
        <f>'Work Centre Master'!E4</f>
        <v/>
      </c>
      <c r="F38" s="253">
        <f>'Work Centre Master'!F4</f>
        <v/>
      </c>
      <c r="G38">
        <f>E38*F38</f>
        <v/>
      </c>
      <c r="H38">
        <f>'Work Centre Master'!G4</f>
        <v/>
      </c>
      <c r="I38">
        <f>SUMIFS('Job Cards'!$E:$E,'Job Cards'!$N:$N,A38,'Job Cards'!$G:$G,"Released")*H38</f>
        <v/>
      </c>
      <c r="J38">
        <f>SUMIFS('Job Cards'!$E:$E,'Job Cards'!$N:$N,A38,'Job Cards'!$G:$G,"Draft")*H38</f>
        <v/>
      </c>
      <c r="K38">
        <f>I38+J38</f>
        <v/>
      </c>
      <c r="L38">
        <f>MAX(0,G38-K38)</f>
        <v/>
      </c>
      <c r="M38" s="253">
        <f>IF(G38=0,0,K38/G38)</f>
        <v/>
      </c>
      <c r="N38">
        <f>IF(K38&gt;G38,"CAPACITY SHORTFALL",IF(M38&gt;=0.85,"WATCH","OK"))</f>
        <v/>
      </c>
    </row>
    <row r="39">
      <c r="A39" t="n">
        <v>36</v>
      </c>
      <c r="B39" s="247">
        <f>INDEX('Monthly Funding'!$B$6:$B$41,A39)</f>
        <v/>
      </c>
      <c r="C39">
        <f>'Work Centre Master'!A4</f>
        <v/>
      </c>
      <c r="D39">
        <f>'Work Centre Master'!B4</f>
        <v/>
      </c>
      <c r="E39">
        <f>'Work Centre Master'!E4</f>
        <v/>
      </c>
      <c r="F39" s="253">
        <f>'Work Centre Master'!F4</f>
        <v/>
      </c>
      <c r="G39">
        <f>E39*F39</f>
        <v/>
      </c>
      <c r="H39">
        <f>'Work Centre Master'!G4</f>
        <v/>
      </c>
      <c r="I39">
        <f>SUMIFS('Job Cards'!$E:$E,'Job Cards'!$N:$N,A39,'Job Cards'!$G:$G,"Released")*H39</f>
        <v/>
      </c>
      <c r="J39">
        <f>SUMIFS('Job Cards'!$E:$E,'Job Cards'!$N:$N,A39,'Job Cards'!$G:$G,"Draft")*H39</f>
        <v/>
      </c>
      <c r="K39">
        <f>I39+J39</f>
        <v/>
      </c>
      <c r="L39">
        <f>MAX(0,G39-K39)</f>
        <v/>
      </c>
      <c r="M39" s="253">
        <f>IF(G39=0,0,K39/G39)</f>
        <v/>
      </c>
      <c r="N39">
        <f>IF(K39&gt;G39,"CAPACITY SHORTFALL",IF(M39&gt;=0.85,"WATCH","OK"))</f>
        <v/>
      </c>
    </row>
    <row r="40">
      <c r="A40" t="n">
        <v>1</v>
      </c>
      <c r="B40" s="247">
        <f>INDEX('Monthly Funding'!$B$6:$B$41,A40)</f>
        <v/>
      </c>
      <c r="C40">
        <f>'Work Centre Master'!A5</f>
        <v/>
      </c>
      <c r="D40">
        <f>'Work Centre Master'!B5</f>
        <v/>
      </c>
      <c r="E40">
        <f>'Work Centre Master'!E5</f>
        <v/>
      </c>
      <c r="F40" s="253">
        <f>'Work Centre Master'!F5</f>
        <v/>
      </c>
      <c r="G40">
        <f>E40*F40</f>
        <v/>
      </c>
      <c r="H40">
        <f>'Work Centre Master'!G5</f>
        <v/>
      </c>
      <c r="I40">
        <f>SUMIFS('Job Cards'!$E:$E,'Job Cards'!$N:$N,A40,'Job Cards'!$G:$G,"Released")*H40</f>
        <v/>
      </c>
      <c r="J40">
        <f>SUMIFS('Job Cards'!$E:$E,'Job Cards'!$N:$N,A40,'Job Cards'!$G:$G,"Draft")*H40</f>
        <v/>
      </c>
      <c r="K40">
        <f>I40+J40</f>
        <v/>
      </c>
      <c r="L40">
        <f>MAX(0,G40-K40)</f>
        <v/>
      </c>
      <c r="M40" s="253">
        <f>IF(G40=0,0,K40/G40)</f>
        <v/>
      </c>
      <c r="N40">
        <f>IF(K40&gt;G40,"CAPACITY SHORTFALL",IF(M40&gt;=0.85,"WATCH","OK"))</f>
        <v/>
      </c>
    </row>
    <row r="41">
      <c r="A41" t="n">
        <v>2</v>
      </c>
      <c r="B41" s="247">
        <f>INDEX('Monthly Funding'!$B$6:$B$41,A41)</f>
        <v/>
      </c>
      <c r="C41">
        <f>'Work Centre Master'!A5</f>
        <v/>
      </c>
      <c r="D41">
        <f>'Work Centre Master'!B5</f>
        <v/>
      </c>
      <c r="E41">
        <f>'Work Centre Master'!E5</f>
        <v/>
      </c>
      <c r="F41" s="253">
        <f>'Work Centre Master'!F5</f>
        <v/>
      </c>
      <c r="G41">
        <f>E41*F41</f>
        <v/>
      </c>
      <c r="H41">
        <f>'Work Centre Master'!G5</f>
        <v/>
      </c>
      <c r="I41">
        <f>SUMIFS('Job Cards'!$E:$E,'Job Cards'!$N:$N,A41,'Job Cards'!$G:$G,"Released")*H41</f>
        <v/>
      </c>
      <c r="J41">
        <f>SUMIFS('Job Cards'!$E:$E,'Job Cards'!$N:$N,A41,'Job Cards'!$G:$G,"Draft")*H41</f>
        <v/>
      </c>
      <c r="K41">
        <f>I41+J41</f>
        <v/>
      </c>
      <c r="L41">
        <f>MAX(0,G41-K41)</f>
        <v/>
      </c>
      <c r="M41" s="253">
        <f>IF(G41=0,0,K41/G41)</f>
        <v/>
      </c>
      <c r="N41">
        <f>IF(K41&gt;G41,"CAPACITY SHORTFALL",IF(M41&gt;=0.85,"WATCH","OK"))</f>
        <v/>
      </c>
    </row>
    <row r="42">
      <c r="A42" t="n">
        <v>3</v>
      </c>
      <c r="B42" s="247">
        <f>INDEX('Monthly Funding'!$B$6:$B$41,A42)</f>
        <v/>
      </c>
      <c r="C42">
        <f>'Work Centre Master'!A5</f>
        <v/>
      </c>
      <c r="D42">
        <f>'Work Centre Master'!B5</f>
        <v/>
      </c>
      <c r="E42">
        <f>'Work Centre Master'!E5</f>
        <v/>
      </c>
      <c r="F42" s="253">
        <f>'Work Centre Master'!F5</f>
        <v/>
      </c>
      <c r="G42">
        <f>E42*F42</f>
        <v/>
      </c>
      <c r="H42">
        <f>'Work Centre Master'!G5</f>
        <v/>
      </c>
      <c r="I42">
        <f>SUMIFS('Job Cards'!$E:$E,'Job Cards'!$N:$N,A42,'Job Cards'!$G:$G,"Released")*H42</f>
        <v/>
      </c>
      <c r="J42">
        <f>SUMIFS('Job Cards'!$E:$E,'Job Cards'!$N:$N,A42,'Job Cards'!$G:$G,"Draft")*H42</f>
        <v/>
      </c>
      <c r="K42">
        <f>I42+J42</f>
        <v/>
      </c>
      <c r="L42">
        <f>MAX(0,G42-K42)</f>
        <v/>
      </c>
      <c r="M42" s="253">
        <f>IF(G42=0,0,K42/G42)</f>
        <v/>
      </c>
      <c r="N42">
        <f>IF(K42&gt;G42,"CAPACITY SHORTFALL",IF(M42&gt;=0.85,"WATCH","OK"))</f>
        <v/>
      </c>
    </row>
    <row r="43">
      <c r="A43" t="n">
        <v>4</v>
      </c>
      <c r="B43" s="247">
        <f>INDEX('Monthly Funding'!$B$6:$B$41,A43)</f>
        <v/>
      </c>
      <c r="C43">
        <f>'Work Centre Master'!A5</f>
        <v/>
      </c>
      <c r="D43">
        <f>'Work Centre Master'!B5</f>
        <v/>
      </c>
      <c r="E43">
        <f>'Work Centre Master'!E5</f>
        <v/>
      </c>
      <c r="F43" s="253">
        <f>'Work Centre Master'!F5</f>
        <v/>
      </c>
      <c r="G43">
        <f>E43*F43</f>
        <v/>
      </c>
      <c r="H43">
        <f>'Work Centre Master'!G5</f>
        <v/>
      </c>
      <c r="I43">
        <f>SUMIFS('Job Cards'!$E:$E,'Job Cards'!$N:$N,A43,'Job Cards'!$G:$G,"Released")*H43</f>
        <v/>
      </c>
      <c r="J43">
        <f>SUMIFS('Job Cards'!$E:$E,'Job Cards'!$N:$N,A43,'Job Cards'!$G:$G,"Draft")*H43</f>
        <v/>
      </c>
      <c r="K43">
        <f>I43+J43</f>
        <v/>
      </c>
      <c r="L43">
        <f>MAX(0,G43-K43)</f>
        <v/>
      </c>
      <c r="M43" s="253">
        <f>IF(G43=0,0,K43/G43)</f>
        <v/>
      </c>
      <c r="N43">
        <f>IF(K43&gt;G43,"CAPACITY SHORTFALL",IF(M43&gt;=0.85,"WATCH","OK"))</f>
        <v/>
      </c>
    </row>
    <row r="44">
      <c r="A44" t="n">
        <v>5</v>
      </c>
      <c r="B44" s="247">
        <f>INDEX('Monthly Funding'!$B$6:$B$41,A44)</f>
        <v/>
      </c>
      <c r="C44">
        <f>'Work Centre Master'!A5</f>
        <v/>
      </c>
      <c r="D44">
        <f>'Work Centre Master'!B5</f>
        <v/>
      </c>
      <c r="E44">
        <f>'Work Centre Master'!E5</f>
        <v/>
      </c>
      <c r="F44" s="253">
        <f>'Work Centre Master'!F5</f>
        <v/>
      </c>
      <c r="G44">
        <f>E44*F44</f>
        <v/>
      </c>
      <c r="H44">
        <f>'Work Centre Master'!G5</f>
        <v/>
      </c>
      <c r="I44">
        <f>SUMIFS('Job Cards'!$E:$E,'Job Cards'!$N:$N,A44,'Job Cards'!$G:$G,"Released")*H44</f>
        <v/>
      </c>
      <c r="J44">
        <f>SUMIFS('Job Cards'!$E:$E,'Job Cards'!$N:$N,A44,'Job Cards'!$G:$G,"Draft")*H44</f>
        <v/>
      </c>
      <c r="K44">
        <f>I44+J44</f>
        <v/>
      </c>
      <c r="L44">
        <f>MAX(0,G44-K44)</f>
        <v/>
      </c>
      <c r="M44" s="253">
        <f>IF(G44=0,0,K44/G44)</f>
        <v/>
      </c>
      <c r="N44">
        <f>IF(K44&gt;G44,"CAPACITY SHORTFALL",IF(M44&gt;=0.85,"WATCH","OK"))</f>
        <v/>
      </c>
    </row>
    <row r="45">
      <c r="A45" t="n">
        <v>6</v>
      </c>
      <c r="B45" s="247">
        <f>INDEX('Monthly Funding'!$B$6:$B$41,A45)</f>
        <v/>
      </c>
      <c r="C45">
        <f>'Work Centre Master'!A5</f>
        <v/>
      </c>
      <c r="D45">
        <f>'Work Centre Master'!B5</f>
        <v/>
      </c>
      <c r="E45">
        <f>'Work Centre Master'!E5</f>
        <v/>
      </c>
      <c r="F45" s="253">
        <f>'Work Centre Master'!F5</f>
        <v/>
      </c>
      <c r="G45">
        <f>E45*F45</f>
        <v/>
      </c>
      <c r="H45">
        <f>'Work Centre Master'!G5</f>
        <v/>
      </c>
      <c r="I45">
        <f>SUMIFS('Job Cards'!$E:$E,'Job Cards'!$N:$N,A45,'Job Cards'!$G:$G,"Released")*H45</f>
        <v/>
      </c>
      <c r="J45">
        <f>SUMIFS('Job Cards'!$E:$E,'Job Cards'!$N:$N,A45,'Job Cards'!$G:$G,"Draft")*H45</f>
        <v/>
      </c>
      <c r="K45">
        <f>I45+J45</f>
        <v/>
      </c>
      <c r="L45">
        <f>MAX(0,G45-K45)</f>
        <v/>
      </c>
      <c r="M45" s="253">
        <f>IF(G45=0,0,K45/G45)</f>
        <v/>
      </c>
      <c r="N45">
        <f>IF(K45&gt;G45,"CAPACITY SHORTFALL",IF(M45&gt;=0.85,"WATCH","OK"))</f>
        <v/>
      </c>
    </row>
    <row r="46">
      <c r="A46" t="n">
        <v>7</v>
      </c>
      <c r="B46" s="247">
        <f>INDEX('Monthly Funding'!$B$6:$B$41,A46)</f>
        <v/>
      </c>
      <c r="C46">
        <f>'Work Centre Master'!A5</f>
        <v/>
      </c>
      <c r="D46">
        <f>'Work Centre Master'!B5</f>
        <v/>
      </c>
      <c r="E46">
        <f>'Work Centre Master'!E5</f>
        <v/>
      </c>
      <c r="F46" s="253">
        <f>'Work Centre Master'!F5</f>
        <v/>
      </c>
      <c r="G46">
        <f>E46*F46</f>
        <v/>
      </c>
      <c r="H46">
        <f>'Work Centre Master'!G5</f>
        <v/>
      </c>
      <c r="I46">
        <f>SUMIFS('Job Cards'!$E:$E,'Job Cards'!$N:$N,A46,'Job Cards'!$G:$G,"Released")*H46</f>
        <v/>
      </c>
      <c r="J46">
        <f>SUMIFS('Job Cards'!$E:$E,'Job Cards'!$N:$N,A46,'Job Cards'!$G:$G,"Draft")*H46</f>
        <v/>
      </c>
      <c r="K46">
        <f>I46+J46</f>
        <v/>
      </c>
      <c r="L46">
        <f>MAX(0,G46-K46)</f>
        <v/>
      </c>
      <c r="M46" s="253">
        <f>IF(G46=0,0,K46/G46)</f>
        <v/>
      </c>
      <c r="N46">
        <f>IF(K46&gt;G46,"CAPACITY SHORTFALL",IF(M46&gt;=0.85,"WATCH","OK"))</f>
        <v/>
      </c>
    </row>
    <row r="47">
      <c r="A47" t="n">
        <v>8</v>
      </c>
      <c r="B47" s="247">
        <f>INDEX('Monthly Funding'!$B$6:$B$41,A47)</f>
        <v/>
      </c>
      <c r="C47">
        <f>'Work Centre Master'!A5</f>
        <v/>
      </c>
      <c r="D47">
        <f>'Work Centre Master'!B5</f>
        <v/>
      </c>
      <c r="E47">
        <f>'Work Centre Master'!E5</f>
        <v/>
      </c>
      <c r="F47" s="253">
        <f>'Work Centre Master'!F5</f>
        <v/>
      </c>
      <c r="G47">
        <f>E47*F47</f>
        <v/>
      </c>
      <c r="H47">
        <f>'Work Centre Master'!G5</f>
        <v/>
      </c>
      <c r="I47">
        <f>SUMIFS('Job Cards'!$E:$E,'Job Cards'!$N:$N,A47,'Job Cards'!$G:$G,"Released")*H47</f>
        <v/>
      </c>
      <c r="J47">
        <f>SUMIFS('Job Cards'!$E:$E,'Job Cards'!$N:$N,A47,'Job Cards'!$G:$G,"Draft")*H47</f>
        <v/>
      </c>
      <c r="K47">
        <f>I47+J47</f>
        <v/>
      </c>
      <c r="L47">
        <f>MAX(0,G47-K47)</f>
        <v/>
      </c>
      <c r="M47" s="253">
        <f>IF(G47=0,0,K47/G47)</f>
        <v/>
      </c>
      <c r="N47">
        <f>IF(K47&gt;G47,"CAPACITY SHORTFALL",IF(M47&gt;=0.85,"WATCH","OK"))</f>
        <v/>
      </c>
    </row>
    <row r="48">
      <c r="A48" t="n">
        <v>9</v>
      </c>
      <c r="B48" s="247">
        <f>INDEX('Monthly Funding'!$B$6:$B$41,A48)</f>
        <v/>
      </c>
      <c r="C48">
        <f>'Work Centre Master'!A5</f>
        <v/>
      </c>
      <c r="D48">
        <f>'Work Centre Master'!B5</f>
        <v/>
      </c>
      <c r="E48">
        <f>'Work Centre Master'!E5</f>
        <v/>
      </c>
      <c r="F48" s="253">
        <f>'Work Centre Master'!F5</f>
        <v/>
      </c>
      <c r="G48">
        <f>E48*F48</f>
        <v/>
      </c>
      <c r="H48">
        <f>'Work Centre Master'!G5</f>
        <v/>
      </c>
      <c r="I48">
        <f>SUMIFS('Job Cards'!$E:$E,'Job Cards'!$N:$N,A48,'Job Cards'!$G:$G,"Released")*H48</f>
        <v/>
      </c>
      <c r="J48">
        <f>SUMIFS('Job Cards'!$E:$E,'Job Cards'!$N:$N,A48,'Job Cards'!$G:$G,"Draft")*H48</f>
        <v/>
      </c>
      <c r="K48">
        <f>I48+J48</f>
        <v/>
      </c>
      <c r="L48">
        <f>MAX(0,G48-K48)</f>
        <v/>
      </c>
      <c r="M48" s="253">
        <f>IF(G48=0,0,K48/G48)</f>
        <v/>
      </c>
      <c r="N48">
        <f>IF(K48&gt;G48,"CAPACITY SHORTFALL",IF(M48&gt;=0.85,"WATCH","OK"))</f>
        <v/>
      </c>
    </row>
    <row r="49">
      <c r="A49" t="n">
        <v>10</v>
      </c>
      <c r="B49" s="247">
        <f>INDEX('Monthly Funding'!$B$6:$B$41,A49)</f>
        <v/>
      </c>
      <c r="C49">
        <f>'Work Centre Master'!A5</f>
        <v/>
      </c>
      <c r="D49">
        <f>'Work Centre Master'!B5</f>
        <v/>
      </c>
      <c r="E49">
        <f>'Work Centre Master'!E5</f>
        <v/>
      </c>
      <c r="F49" s="253">
        <f>'Work Centre Master'!F5</f>
        <v/>
      </c>
      <c r="G49">
        <f>E49*F49</f>
        <v/>
      </c>
      <c r="H49">
        <f>'Work Centre Master'!G5</f>
        <v/>
      </c>
      <c r="I49">
        <f>SUMIFS('Job Cards'!$E:$E,'Job Cards'!$N:$N,A49,'Job Cards'!$G:$G,"Released")*H49</f>
        <v/>
      </c>
      <c r="J49">
        <f>SUMIFS('Job Cards'!$E:$E,'Job Cards'!$N:$N,A49,'Job Cards'!$G:$G,"Draft")*H49</f>
        <v/>
      </c>
      <c r="K49">
        <f>I49+J49</f>
        <v/>
      </c>
      <c r="L49">
        <f>MAX(0,G49-K49)</f>
        <v/>
      </c>
      <c r="M49" s="253">
        <f>IF(G49=0,0,K49/G49)</f>
        <v/>
      </c>
      <c r="N49">
        <f>IF(K49&gt;G49,"CAPACITY SHORTFALL",IF(M49&gt;=0.85,"WATCH","OK"))</f>
        <v/>
      </c>
    </row>
    <row r="50">
      <c r="A50" t="n">
        <v>11</v>
      </c>
      <c r="B50" s="247">
        <f>INDEX('Monthly Funding'!$B$6:$B$41,A50)</f>
        <v/>
      </c>
      <c r="C50">
        <f>'Work Centre Master'!A5</f>
        <v/>
      </c>
      <c r="D50">
        <f>'Work Centre Master'!B5</f>
        <v/>
      </c>
      <c r="E50">
        <f>'Work Centre Master'!E5</f>
        <v/>
      </c>
      <c r="F50" s="253">
        <f>'Work Centre Master'!F5</f>
        <v/>
      </c>
      <c r="G50">
        <f>E50*F50</f>
        <v/>
      </c>
      <c r="H50">
        <f>'Work Centre Master'!G5</f>
        <v/>
      </c>
      <c r="I50">
        <f>SUMIFS('Job Cards'!$E:$E,'Job Cards'!$N:$N,A50,'Job Cards'!$G:$G,"Released")*H50</f>
        <v/>
      </c>
      <c r="J50">
        <f>SUMIFS('Job Cards'!$E:$E,'Job Cards'!$N:$N,A50,'Job Cards'!$G:$G,"Draft")*H50</f>
        <v/>
      </c>
      <c r="K50">
        <f>I50+J50</f>
        <v/>
      </c>
      <c r="L50">
        <f>MAX(0,G50-K50)</f>
        <v/>
      </c>
      <c r="M50" s="253">
        <f>IF(G50=0,0,K50/G50)</f>
        <v/>
      </c>
      <c r="N50">
        <f>IF(K50&gt;G50,"CAPACITY SHORTFALL",IF(M50&gt;=0.85,"WATCH","OK"))</f>
        <v/>
      </c>
    </row>
    <row r="51">
      <c r="A51" t="n">
        <v>12</v>
      </c>
      <c r="B51" s="247">
        <f>INDEX('Monthly Funding'!$B$6:$B$41,A51)</f>
        <v/>
      </c>
      <c r="C51">
        <f>'Work Centre Master'!A5</f>
        <v/>
      </c>
      <c r="D51">
        <f>'Work Centre Master'!B5</f>
        <v/>
      </c>
      <c r="E51">
        <f>'Work Centre Master'!E5</f>
        <v/>
      </c>
      <c r="F51" s="253">
        <f>'Work Centre Master'!F5</f>
        <v/>
      </c>
      <c r="G51">
        <f>E51*F51</f>
        <v/>
      </c>
      <c r="H51">
        <f>'Work Centre Master'!G5</f>
        <v/>
      </c>
      <c r="I51">
        <f>SUMIFS('Job Cards'!$E:$E,'Job Cards'!$N:$N,A51,'Job Cards'!$G:$G,"Released")*H51</f>
        <v/>
      </c>
      <c r="J51">
        <f>SUMIFS('Job Cards'!$E:$E,'Job Cards'!$N:$N,A51,'Job Cards'!$G:$G,"Draft")*H51</f>
        <v/>
      </c>
      <c r="K51">
        <f>I51+J51</f>
        <v/>
      </c>
      <c r="L51">
        <f>MAX(0,G51-K51)</f>
        <v/>
      </c>
      <c r="M51" s="253">
        <f>IF(G51=0,0,K51/G51)</f>
        <v/>
      </c>
      <c r="N51">
        <f>IF(K51&gt;G51,"CAPACITY SHORTFALL",IF(M51&gt;=0.85,"WATCH","OK"))</f>
        <v/>
      </c>
    </row>
    <row r="52">
      <c r="A52" t="n">
        <v>13</v>
      </c>
      <c r="B52" s="247">
        <f>INDEX('Monthly Funding'!$B$6:$B$41,A52)</f>
        <v/>
      </c>
      <c r="C52">
        <f>'Work Centre Master'!A5</f>
        <v/>
      </c>
      <c r="D52">
        <f>'Work Centre Master'!B5</f>
        <v/>
      </c>
      <c r="E52">
        <f>'Work Centre Master'!E5</f>
        <v/>
      </c>
      <c r="F52" s="253">
        <f>'Work Centre Master'!F5</f>
        <v/>
      </c>
      <c r="G52">
        <f>E52*F52</f>
        <v/>
      </c>
      <c r="H52">
        <f>'Work Centre Master'!G5</f>
        <v/>
      </c>
      <c r="I52">
        <f>SUMIFS('Job Cards'!$E:$E,'Job Cards'!$N:$N,A52,'Job Cards'!$G:$G,"Released")*H52</f>
        <v/>
      </c>
      <c r="J52">
        <f>SUMIFS('Job Cards'!$E:$E,'Job Cards'!$N:$N,A52,'Job Cards'!$G:$G,"Draft")*H52</f>
        <v/>
      </c>
      <c r="K52">
        <f>I52+J52</f>
        <v/>
      </c>
      <c r="L52">
        <f>MAX(0,G52-K52)</f>
        <v/>
      </c>
      <c r="M52" s="253">
        <f>IF(G52=0,0,K52/G52)</f>
        <v/>
      </c>
      <c r="N52">
        <f>IF(K52&gt;G52,"CAPACITY SHORTFALL",IF(M52&gt;=0.85,"WATCH","OK"))</f>
        <v/>
      </c>
    </row>
    <row r="53">
      <c r="A53" t="n">
        <v>14</v>
      </c>
      <c r="B53" s="247">
        <f>INDEX('Monthly Funding'!$B$6:$B$41,A53)</f>
        <v/>
      </c>
      <c r="C53">
        <f>'Work Centre Master'!A5</f>
        <v/>
      </c>
      <c r="D53">
        <f>'Work Centre Master'!B5</f>
        <v/>
      </c>
      <c r="E53">
        <f>'Work Centre Master'!E5</f>
        <v/>
      </c>
      <c r="F53" s="253">
        <f>'Work Centre Master'!F5</f>
        <v/>
      </c>
      <c r="G53">
        <f>E53*F53</f>
        <v/>
      </c>
      <c r="H53">
        <f>'Work Centre Master'!G5</f>
        <v/>
      </c>
      <c r="I53">
        <f>SUMIFS('Job Cards'!$E:$E,'Job Cards'!$N:$N,A53,'Job Cards'!$G:$G,"Released")*H53</f>
        <v/>
      </c>
      <c r="J53">
        <f>SUMIFS('Job Cards'!$E:$E,'Job Cards'!$N:$N,A53,'Job Cards'!$G:$G,"Draft")*H53</f>
        <v/>
      </c>
      <c r="K53">
        <f>I53+J53</f>
        <v/>
      </c>
      <c r="L53">
        <f>MAX(0,G53-K53)</f>
        <v/>
      </c>
      <c r="M53" s="253">
        <f>IF(G53=0,0,K53/G53)</f>
        <v/>
      </c>
      <c r="N53">
        <f>IF(K53&gt;G53,"CAPACITY SHORTFALL",IF(M53&gt;=0.85,"WATCH","OK"))</f>
        <v/>
      </c>
    </row>
    <row r="54">
      <c r="A54" t="n">
        <v>15</v>
      </c>
      <c r="B54" s="247">
        <f>INDEX('Monthly Funding'!$B$6:$B$41,A54)</f>
        <v/>
      </c>
      <c r="C54">
        <f>'Work Centre Master'!A5</f>
        <v/>
      </c>
      <c r="D54">
        <f>'Work Centre Master'!B5</f>
        <v/>
      </c>
      <c r="E54">
        <f>'Work Centre Master'!E5</f>
        <v/>
      </c>
      <c r="F54" s="253">
        <f>'Work Centre Master'!F5</f>
        <v/>
      </c>
      <c r="G54">
        <f>E54*F54</f>
        <v/>
      </c>
      <c r="H54">
        <f>'Work Centre Master'!G5</f>
        <v/>
      </c>
      <c r="I54">
        <f>SUMIFS('Job Cards'!$E:$E,'Job Cards'!$N:$N,A54,'Job Cards'!$G:$G,"Released")*H54</f>
        <v/>
      </c>
      <c r="J54">
        <f>SUMIFS('Job Cards'!$E:$E,'Job Cards'!$N:$N,A54,'Job Cards'!$G:$G,"Draft")*H54</f>
        <v/>
      </c>
      <c r="K54">
        <f>I54+J54</f>
        <v/>
      </c>
      <c r="L54">
        <f>MAX(0,G54-K54)</f>
        <v/>
      </c>
      <c r="M54" s="253">
        <f>IF(G54=0,0,K54/G54)</f>
        <v/>
      </c>
      <c r="N54">
        <f>IF(K54&gt;G54,"CAPACITY SHORTFALL",IF(M54&gt;=0.85,"WATCH","OK"))</f>
        <v/>
      </c>
    </row>
    <row r="55">
      <c r="A55" t="n">
        <v>16</v>
      </c>
      <c r="B55" s="247">
        <f>INDEX('Monthly Funding'!$B$6:$B$41,A55)</f>
        <v/>
      </c>
      <c r="C55">
        <f>'Work Centre Master'!A5</f>
        <v/>
      </c>
      <c r="D55">
        <f>'Work Centre Master'!B5</f>
        <v/>
      </c>
      <c r="E55">
        <f>'Work Centre Master'!E5</f>
        <v/>
      </c>
      <c r="F55" s="253">
        <f>'Work Centre Master'!F5</f>
        <v/>
      </c>
      <c r="G55">
        <f>E55*F55</f>
        <v/>
      </c>
      <c r="H55">
        <f>'Work Centre Master'!G5</f>
        <v/>
      </c>
      <c r="I55">
        <f>SUMIFS('Job Cards'!$E:$E,'Job Cards'!$N:$N,A55,'Job Cards'!$G:$G,"Released")*H55</f>
        <v/>
      </c>
      <c r="J55">
        <f>SUMIFS('Job Cards'!$E:$E,'Job Cards'!$N:$N,A55,'Job Cards'!$G:$G,"Draft")*H55</f>
        <v/>
      </c>
      <c r="K55">
        <f>I55+J55</f>
        <v/>
      </c>
      <c r="L55">
        <f>MAX(0,G55-K55)</f>
        <v/>
      </c>
      <c r="M55" s="253">
        <f>IF(G55=0,0,K55/G55)</f>
        <v/>
      </c>
      <c r="N55">
        <f>IF(K55&gt;G55,"CAPACITY SHORTFALL",IF(M55&gt;=0.85,"WATCH","OK"))</f>
        <v/>
      </c>
    </row>
    <row r="56">
      <c r="A56" t="n">
        <v>17</v>
      </c>
      <c r="B56" s="247">
        <f>INDEX('Monthly Funding'!$B$6:$B$41,A56)</f>
        <v/>
      </c>
      <c r="C56">
        <f>'Work Centre Master'!A5</f>
        <v/>
      </c>
      <c r="D56">
        <f>'Work Centre Master'!B5</f>
        <v/>
      </c>
      <c r="E56">
        <f>'Work Centre Master'!E5</f>
        <v/>
      </c>
      <c r="F56" s="253">
        <f>'Work Centre Master'!F5</f>
        <v/>
      </c>
      <c r="G56">
        <f>E56*F56</f>
        <v/>
      </c>
      <c r="H56">
        <f>'Work Centre Master'!G5</f>
        <v/>
      </c>
      <c r="I56">
        <f>SUMIFS('Job Cards'!$E:$E,'Job Cards'!$N:$N,A56,'Job Cards'!$G:$G,"Released")*H56</f>
        <v/>
      </c>
      <c r="J56">
        <f>SUMIFS('Job Cards'!$E:$E,'Job Cards'!$N:$N,A56,'Job Cards'!$G:$G,"Draft")*H56</f>
        <v/>
      </c>
      <c r="K56">
        <f>I56+J56</f>
        <v/>
      </c>
      <c r="L56">
        <f>MAX(0,G56-K56)</f>
        <v/>
      </c>
      <c r="M56" s="253">
        <f>IF(G56=0,0,K56/G56)</f>
        <v/>
      </c>
      <c r="N56">
        <f>IF(K56&gt;G56,"CAPACITY SHORTFALL",IF(M56&gt;=0.85,"WATCH","OK"))</f>
        <v/>
      </c>
    </row>
    <row r="57">
      <c r="A57" t="n">
        <v>18</v>
      </c>
      <c r="B57" s="247">
        <f>INDEX('Monthly Funding'!$B$6:$B$41,A57)</f>
        <v/>
      </c>
      <c r="C57">
        <f>'Work Centre Master'!A5</f>
        <v/>
      </c>
      <c r="D57">
        <f>'Work Centre Master'!B5</f>
        <v/>
      </c>
      <c r="E57">
        <f>'Work Centre Master'!E5</f>
        <v/>
      </c>
      <c r="F57" s="253">
        <f>'Work Centre Master'!F5</f>
        <v/>
      </c>
      <c r="G57">
        <f>E57*F57</f>
        <v/>
      </c>
      <c r="H57">
        <f>'Work Centre Master'!G5</f>
        <v/>
      </c>
      <c r="I57">
        <f>SUMIFS('Job Cards'!$E:$E,'Job Cards'!$N:$N,A57,'Job Cards'!$G:$G,"Released")*H57</f>
        <v/>
      </c>
      <c r="J57">
        <f>SUMIFS('Job Cards'!$E:$E,'Job Cards'!$N:$N,A57,'Job Cards'!$G:$G,"Draft")*H57</f>
        <v/>
      </c>
      <c r="K57">
        <f>I57+J57</f>
        <v/>
      </c>
      <c r="L57">
        <f>MAX(0,G57-K57)</f>
        <v/>
      </c>
      <c r="M57" s="253">
        <f>IF(G57=0,0,K57/G57)</f>
        <v/>
      </c>
      <c r="N57">
        <f>IF(K57&gt;G57,"CAPACITY SHORTFALL",IF(M57&gt;=0.85,"WATCH","OK"))</f>
        <v/>
      </c>
    </row>
    <row r="58">
      <c r="A58" t="n">
        <v>19</v>
      </c>
      <c r="B58" s="247">
        <f>INDEX('Monthly Funding'!$B$6:$B$41,A58)</f>
        <v/>
      </c>
      <c r="C58">
        <f>'Work Centre Master'!A5</f>
        <v/>
      </c>
      <c r="D58">
        <f>'Work Centre Master'!B5</f>
        <v/>
      </c>
      <c r="E58">
        <f>'Work Centre Master'!E5</f>
        <v/>
      </c>
      <c r="F58" s="253">
        <f>'Work Centre Master'!F5</f>
        <v/>
      </c>
      <c r="G58">
        <f>E58*F58</f>
        <v/>
      </c>
      <c r="H58">
        <f>'Work Centre Master'!G5</f>
        <v/>
      </c>
      <c r="I58">
        <f>SUMIFS('Job Cards'!$E:$E,'Job Cards'!$N:$N,A58,'Job Cards'!$G:$G,"Released")*H58</f>
        <v/>
      </c>
      <c r="J58">
        <f>SUMIFS('Job Cards'!$E:$E,'Job Cards'!$N:$N,A58,'Job Cards'!$G:$G,"Draft")*H58</f>
        <v/>
      </c>
      <c r="K58">
        <f>I58+J58</f>
        <v/>
      </c>
      <c r="L58">
        <f>MAX(0,G58-K58)</f>
        <v/>
      </c>
      <c r="M58" s="253">
        <f>IF(G58=0,0,K58/G58)</f>
        <v/>
      </c>
      <c r="N58">
        <f>IF(K58&gt;G58,"CAPACITY SHORTFALL",IF(M58&gt;=0.85,"WATCH","OK"))</f>
        <v/>
      </c>
    </row>
    <row r="59">
      <c r="A59" t="n">
        <v>20</v>
      </c>
      <c r="B59" s="247">
        <f>INDEX('Monthly Funding'!$B$6:$B$41,A59)</f>
        <v/>
      </c>
      <c r="C59">
        <f>'Work Centre Master'!A5</f>
        <v/>
      </c>
      <c r="D59">
        <f>'Work Centre Master'!B5</f>
        <v/>
      </c>
      <c r="E59">
        <f>'Work Centre Master'!E5</f>
        <v/>
      </c>
      <c r="F59" s="253">
        <f>'Work Centre Master'!F5</f>
        <v/>
      </c>
      <c r="G59">
        <f>E59*F59</f>
        <v/>
      </c>
      <c r="H59">
        <f>'Work Centre Master'!G5</f>
        <v/>
      </c>
      <c r="I59">
        <f>SUMIFS('Job Cards'!$E:$E,'Job Cards'!$N:$N,A59,'Job Cards'!$G:$G,"Released")*H59</f>
        <v/>
      </c>
      <c r="J59">
        <f>SUMIFS('Job Cards'!$E:$E,'Job Cards'!$N:$N,A59,'Job Cards'!$G:$G,"Draft")*H59</f>
        <v/>
      </c>
      <c r="K59">
        <f>I59+J59</f>
        <v/>
      </c>
      <c r="L59">
        <f>MAX(0,G59-K59)</f>
        <v/>
      </c>
      <c r="M59" s="253">
        <f>IF(G59=0,0,K59/G59)</f>
        <v/>
      </c>
      <c r="N59">
        <f>IF(K59&gt;G59,"CAPACITY SHORTFALL",IF(M59&gt;=0.85,"WATCH","OK"))</f>
        <v/>
      </c>
    </row>
    <row r="60">
      <c r="A60" t="n">
        <v>21</v>
      </c>
      <c r="B60" s="247">
        <f>INDEX('Monthly Funding'!$B$6:$B$41,A60)</f>
        <v/>
      </c>
      <c r="C60">
        <f>'Work Centre Master'!A5</f>
        <v/>
      </c>
      <c r="D60">
        <f>'Work Centre Master'!B5</f>
        <v/>
      </c>
      <c r="E60">
        <f>'Work Centre Master'!E5</f>
        <v/>
      </c>
      <c r="F60" s="253">
        <f>'Work Centre Master'!F5</f>
        <v/>
      </c>
      <c r="G60">
        <f>E60*F60</f>
        <v/>
      </c>
      <c r="H60">
        <f>'Work Centre Master'!G5</f>
        <v/>
      </c>
      <c r="I60">
        <f>SUMIFS('Job Cards'!$E:$E,'Job Cards'!$N:$N,A60,'Job Cards'!$G:$G,"Released")*H60</f>
        <v/>
      </c>
      <c r="J60">
        <f>SUMIFS('Job Cards'!$E:$E,'Job Cards'!$N:$N,A60,'Job Cards'!$G:$G,"Draft")*H60</f>
        <v/>
      </c>
      <c r="K60">
        <f>I60+J60</f>
        <v/>
      </c>
      <c r="L60">
        <f>MAX(0,G60-K60)</f>
        <v/>
      </c>
      <c r="M60" s="253">
        <f>IF(G60=0,0,K60/G60)</f>
        <v/>
      </c>
      <c r="N60">
        <f>IF(K60&gt;G60,"CAPACITY SHORTFALL",IF(M60&gt;=0.85,"WATCH","OK"))</f>
        <v/>
      </c>
    </row>
    <row r="61">
      <c r="A61" t="n">
        <v>22</v>
      </c>
      <c r="B61" s="247">
        <f>INDEX('Monthly Funding'!$B$6:$B$41,A61)</f>
        <v/>
      </c>
      <c r="C61">
        <f>'Work Centre Master'!A5</f>
        <v/>
      </c>
      <c r="D61">
        <f>'Work Centre Master'!B5</f>
        <v/>
      </c>
      <c r="E61">
        <f>'Work Centre Master'!E5</f>
        <v/>
      </c>
      <c r="F61" s="253">
        <f>'Work Centre Master'!F5</f>
        <v/>
      </c>
      <c r="G61">
        <f>E61*F61</f>
        <v/>
      </c>
      <c r="H61">
        <f>'Work Centre Master'!G5</f>
        <v/>
      </c>
      <c r="I61">
        <f>SUMIFS('Job Cards'!$E:$E,'Job Cards'!$N:$N,A61,'Job Cards'!$G:$G,"Released")*H61</f>
        <v/>
      </c>
      <c r="J61">
        <f>SUMIFS('Job Cards'!$E:$E,'Job Cards'!$N:$N,A61,'Job Cards'!$G:$G,"Draft")*H61</f>
        <v/>
      </c>
      <c r="K61">
        <f>I61+J61</f>
        <v/>
      </c>
      <c r="L61">
        <f>MAX(0,G61-K61)</f>
        <v/>
      </c>
      <c r="M61" s="253">
        <f>IF(G61=0,0,K61/G61)</f>
        <v/>
      </c>
      <c r="N61">
        <f>IF(K61&gt;G61,"CAPACITY SHORTFALL",IF(M61&gt;=0.85,"WATCH","OK"))</f>
        <v/>
      </c>
    </row>
    <row r="62">
      <c r="A62" t="n">
        <v>23</v>
      </c>
      <c r="B62" s="247">
        <f>INDEX('Monthly Funding'!$B$6:$B$41,A62)</f>
        <v/>
      </c>
      <c r="C62">
        <f>'Work Centre Master'!A5</f>
        <v/>
      </c>
      <c r="D62">
        <f>'Work Centre Master'!B5</f>
        <v/>
      </c>
      <c r="E62">
        <f>'Work Centre Master'!E5</f>
        <v/>
      </c>
      <c r="F62" s="253">
        <f>'Work Centre Master'!F5</f>
        <v/>
      </c>
      <c r="G62">
        <f>E62*F62</f>
        <v/>
      </c>
      <c r="H62">
        <f>'Work Centre Master'!G5</f>
        <v/>
      </c>
      <c r="I62">
        <f>SUMIFS('Job Cards'!$E:$E,'Job Cards'!$N:$N,A62,'Job Cards'!$G:$G,"Released")*H62</f>
        <v/>
      </c>
      <c r="J62">
        <f>SUMIFS('Job Cards'!$E:$E,'Job Cards'!$N:$N,A62,'Job Cards'!$G:$G,"Draft")*H62</f>
        <v/>
      </c>
      <c r="K62">
        <f>I62+J62</f>
        <v/>
      </c>
      <c r="L62">
        <f>MAX(0,G62-K62)</f>
        <v/>
      </c>
      <c r="M62" s="253">
        <f>IF(G62=0,0,K62/G62)</f>
        <v/>
      </c>
      <c r="N62">
        <f>IF(K62&gt;G62,"CAPACITY SHORTFALL",IF(M62&gt;=0.85,"WATCH","OK"))</f>
        <v/>
      </c>
    </row>
    <row r="63">
      <c r="A63" t="n">
        <v>24</v>
      </c>
      <c r="B63" s="247">
        <f>INDEX('Monthly Funding'!$B$6:$B$41,A63)</f>
        <v/>
      </c>
      <c r="C63">
        <f>'Work Centre Master'!A5</f>
        <v/>
      </c>
      <c r="D63">
        <f>'Work Centre Master'!B5</f>
        <v/>
      </c>
      <c r="E63">
        <f>'Work Centre Master'!E5</f>
        <v/>
      </c>
      <c r="F63" s="253">
        <f>'Work Centre Master'!F5</f>
        <v/>
      </c>
      <c r="G63">
        <f>E63*F63</f>
        <v/>
      </c>
      <c r="H63">
        <f>'Work Centre Master'!G5</f>
        <v/>
      </c>
      <c r="I63">
        <f>SUMIFS('Job Cards'!$E:$E,'Job Cards'!$N:$N,A63,'Job Cards'!$G:$G,"Released")*H63</f>
        <v/>
      </c>
      <c r="J63">
        <f>SUMIFS('Job Cards'!$E:$E,'Job Cards'!$N:$N,A63,'Job Cards'!$G:$G,"Draft")*H63</f>
        <v/>
      </c>
      <c r="K63">
        <f>I63+J63</f>
        <v/>
      </c>
      <c r="L63">
        <f>MAX(0,G63-K63)</f>
        <v/>
      </c>
      <c r="M63" s="253">
        <f>IF(G63=0,0,K63/G63)</f>
        <v/>
      </c>
      <c r="N63">
        <f>IF(K63&gt;G63,"CAPACITY SHORTFALL",IF(M63&gt;=0.85,"WATCH","OK"))</f>
        <v/>
      </c>
    </row>
    <row r="64">
      <c r="A64" t="n">
        <v>25</v>
      </c>
      <c r="B64" s="247">
        <f>INDEX('Monthly Funding'!$B$6:$B$41,A64)</f>
        <v/>
      </c>
      <c r="C64">
        <f>'Work Centre Master'!A5</f>
        <v/>
      </c>
      <c r="D64">
        <f>'Work Centre Master'!B5</f>
        <v/>
      </c>
      <c r="E64">
        <f>'Work Centre Master'!E5</f>
        <v/>
      </c>
      <c r="F64" s="253">
        <f>'Work Centre Master'!F5</f>
        <v/>
      </c>
      <c r="G64">
        <f>E64*F64</f>
        <v/>
      </c>
      <c r="H64">
        <f>'Work Centre Master'!G5</f>
        <v/>
      </c>
      <c r="I64">
        <f>SUMIFS('Job Cards'!$E:$E,'Job Cards'!$N:$N,A64,'Job Cards'!$G:$G,"Released")*H64</f>
        <v/>
      </c>
      <c r="J64">
        <f>SUMIFS('Job Cards'!$E:$E,'Job Cards'!$N:$N,A64,'Job Cards'!$G:$G,"Draft")*H64</f>
        <v/>
      </c>
      <c r="K64">
        <f>I64+J64</f>
        <v/>
      </c>
      <c r="L64">
        <f>MAX(0,G64-K64)</f>
        <v/>
      </c>
      <c r="M64" s="253">
        <f>IF(G64=0,0,K64/G64)</f>
        <v/>
      </c>
      <c r="N64">
        <f>IF(K64&gt;G64,"CAPACITY SHORTFALL",IF(M64&gt;=0.85,"WATCH","OK"))</f>
        <v/>
      </c>
    </row>
    <row r="65">
      <c r="A65" t="n">
        <v>26</v>
      </c>
      <c r="B65" s="247">
        <f>INDEX('Monthly Funding'!$B$6:$B$41,A65)</f>
        <v/>
      </c>
      <c r="C65">
        <f>'Work Centre Master'!A5</f>
        <v/>
      </c>
      <c r="D65">
        <f>'Work Centre Master'!B5</f>
        <v/>
      </c>
      <c r="E65">
        <f>'Work Centre Master'!E5</f>
        <v/>
      </c>
      <c r="F65" s="253">
        <f>'Work Centre Master'!F5</f>
        <v/>
      </c>
      <c r="G65">
        <f>E65*F65</f>
        <v/>
      </c>
      <c r="H65">
        <f>'Work Centre Master'!G5</f>
        <v/>
      </c>
      <c r="I65">
        <f>SUMIFS('Job Cards'!$E:$E,'Job Cards'!$N:$N,A65,'Job Cards'!$G:$G,"Released")*H65</f>
        <v/>
      </c>
      <c r="J65">
        <f>SUMIFS('Job Cards'!$E:$E,'Job Cards'!$N:$N,A65,'Job Cards'!$G:$G,"Draft")*H65</f>
        <v/>
      </c>
      <c r="K65">
        <f>I65+J65</f>
        <v/>
      </c>
      <c r="L65">
        <f>MAX(0,G65-K65)</f>
        <v/>
      </c>
      <c r="M65" s="253">
        <f>IF(G65=0,0,K65/G65)</f>
        <v/>
      </c>
      <c r="N65">
        <f>IF(K65&gt;G65,"CAPACITY SHORTFALL",IF(M65&gt;=0.85,"WATCH","OK"))</f>
        <v/>
      </c>
    </row>
    <row r="66">
      <c r="A66" t="n">
        <v>27</v>
      </c>
      <c r="B66" s="247">
        <f>INDEX('Monthly Funding'!$B$6:$B$41,A66)</f>
        <v/>
      </c>
      <c r="C66">
        <f>'Work Centre Master'!A5</f>
        <v/>
      </c>
      <c r="D66">
        <f>'Work Centre Master'!B5</f>
        <v/>
      </c>
      <c r="E66">
        <f>'Work Centre Master'!E5</f>
        <v/>
      </c>
      <c r="F66" s="253">
        <f>'Work Centre Master'!F5</f>
        <v/>
      </c>
      <c r="G66">
        <f>E66*F66</f>
        <v/>
      </c>
      <c r="H66">
        <f>'Work Centre Master'!G5</f>
        <v/>
      </c>
      <c r="I66">
        <f>SUMIFS('Job Cards'!$E:$E,'Job Cards'!$N:$N,A66,'Job Cards'!$G:$G,"Released")*H66</f>
        <v/>
      </c>
      <c r="J66">
        <f>SUMIFS('Job Cards'!$E:$E,'Job Cards'!$N:$N,A66,'Job Cards'!$G:$G,"Draft")*H66</f>
        <v/>
      </c>
      <c r="K66">
        <f>I66+J66</f>
        <v/>
      </c>
      <c r="L66">
        <f>MAX(0,G66-K66)</f>
        <v/>
      </c>
      <c r="M66" s="253">
        <f>IF(G66=0,0,K66/G66)</f>
        <v/>
      </c>
      <c r="N66">
        <f>IF(K66&gt;G66,"CAPACITY SHORTFALL",IF(M66&gt;=0.85,"WATCH","OK"))</f>
        <v/>
      </c>
    </row>
    <row r="67">
      <c r="A67" t="n">
        <v>28</v>
      </c>
      <c r="B67" s="247">
        <f>INDEX('Monthly Funding'!$B$6:$B$41,A67)</f>
        <v/>
      </c>
      <c r="C67">
        <f>'Work Centre Master'!A5</f>
        <v/>
      </c>
      <c r="D67">
        <f>'Work Centre Master'!B5</f>
        <v/>
      </c>
      <c r="E67">
        <f>'Work Centre Master'!E5</f>
        <v/>
      </c>
      <c r="F67" s="253">
        <f>'Work Centre Master'!F5</f>
        <v/>
      </c>
      <c r="G67">
        <f>E67*F67</f>
        <v/>
      </c>
      <c r="H67">
        <f>'Work Centre Master'!G5</f>
        <v/>
      </c>
      <c r="I67">
        <f>SUMIFS('Job Cards'!$E:$E,'Job Cards'!$N:$N,A67,'Job Cards'!$G:$G,"Released")*H67</f>
        <v/>
      </c>
      <c r="J67">
        <f>SUMIFS('Job Cards'!$E:$E,'Job Cards'!$N:$N,A67,'Job Cards'!$G:$G,"Draft")*H67</f>
        <v/>
      </c>
      <c r="K67">
        <f>I67+J67</f>
        <v/>
      </c>
      <c r="L67">
        <f>MAX(0,G67-K67)</f>
        <v/>
      </c>
      <c r="M67" s="253">
        <f>IF(G67=0,0,K67/G67)</f>
        <v/>
      </c>
      <c r="N67">
        <f>IF(K67&gt;G67,"CAPACITY SHORTFALL",IF(M67&gt;=0.85,"WATCH","OK"))</f>
        <v/>
      </c>
    </row>
    <row r="68">
      <c r="A68" t="n">
        <v>29</v>
      </c>
      <c r="B68" s="247">
        <f>INDEX('Monthly Funding'!$B$6:$B$41,A68)</f>
        <v/>
      </c>
      <c r="C68">
        <f>'Work Centre Master'!A5</f>
        <v/>
      </c>
      <c r="D68">
        <f>'Work Centre Master'!B5</f>
        <v/>
      </c>
      <c r="E68">
        <f>'Work Centre Master'!E5</f>
        <v/>
      </c>
      <c r="F68" s="253">
        <f>'Work Centre Master'!F5</f>
        <v/>
      </c>
      <c r="G68">
        <f>E68*F68</f>
        <v/>
      </c>
      <c r="H68">
        <f>'Work Centre Master'!G5</f>
        <v/>
      </c>
      <c r="I68">
        <f>SUMIFS('Job Cards'!$E:$E,'Job Cards'!$N:$N,A68,'Job Cards'!$G:$G,"Released")*H68</f>
        <v/>
      </c>
      <c r="J68">
        <f>SUMIFS('Job Cards'!$E:$E,'Job Cards'!$N:$N,A68,'Job Cards'!$G:$G,"Draft")*H68</f>
        <v/>
      </c>
      <c r="K68">
        <f>I68+J68</f>
        <v/>
      </c>
      <c r="L68">
        <f>MAX(0,G68-K68)</f>
        <v/>
      </c>
      <c r="M68" s="253">
        <f>IF(G68=0,0,K68/G68)</f>
        <v/>
      </c>
      <c r="N68">
        <f>IF(K68&gt;G68,"CAPACITY SHORTFALL",IF(M68&gt;=0.85,"WATCH","OK"))</f>
        <v/>
      </c>
    </row>
    <row r="69">
      <c r="A69" t="n">
        <v>30</v>
      </c>
      <c r="B69" s="247">
        <f>INDEX('Monthly Funding'!$B$6:$B$41,A69)</f>
        <v/>
      </c>
      <c r="C69">
        <f>'Work Centre Master'!A5</f>
        <v/>
      </c>
      <c r="D69">
        <f>'Work Centre Master'!B5</f>
        <v/>
      </c>
      <c r="E69">
        <f>'Work Centre Master'!E5</f>
        <v/>
      </c>
      <c r="F69" s="253">
        <f>'Work Centre Master'!F5</f>
        <v/>
      </c>
      <c r="G69">
        <f>E69*F69</f>
        <v/>
      </c>
      <c r="H69">
        <f>'Work Centre Master'!G5</f>
        <v/>
      </c>
      <c r="I69">
        <f>SUMIFS('Job Cards'!$E:$E,'Job Cards'!$N:$N,A69,'Job Cards'!$G:$G,"Released")*H69</f>
        <v/>
      </c>
      <c r="J69">
        <f>SUMIFS('Job Cards'!$E:$E,'Job Cards'!$N:$N,A69,'Job Cards'!$G:$G,"Draft")*H69</f>
        <v/>
      </c>
      <c r="K69">
        <f>I69+J69</f>
        <v/>
      </c>
      <c r="L69">
        <f>MAX(0,G69-K69)</f>
        <v/>
      </c>
      <c r="M69" s="253">
        <f>IF(G69=0,0,K69/G69)</f>
        <v/>
      </c>
      <c r="N69">
        <f>IF(K69&gt;G69,"CAPACITY SHORTFALL",IF(M69&gt;=0.85,"WATCH","OK"))</f>
        <v/>
      </c>
    </row>
    <row r="70">
      <c r="A70" t="n">
        <v>31</v>
      </c>
      <c r="B70" s="247">
        <f>INDEX('Monthly Funding'!$B$6:$B$41,A70)</f>
        <v/>
      </c>
      <c r="C70">
        <f>'Work Centre Master'!A5</f>
        <v/>
      </c>
      <c r="D70">
        <f>'Work Centre Master'!B5</f>
        <v/>
      </c>
      <c r="E70">
        <f>'Work Centre Master'!E5</f>
        <v/>
      </c>
      <c r="F70" s="253">
        <f>'Work Centre Master'!F5</f>
        <v/>
      </c>
      <c r="G70">
        <f>E70*F70</f>
        <v/>
      </c>
      <c r="H70">
        <f>'Work Centre Master'!G5</f>
        <v/>
      </c>
      <c r="I70">
        <f>SUMIFS('Job Cards'!$E:$E,'Job Cards'!$N:$N,A70,'Job Cards'!$G:$G,"Released")*H70</f>
        <v/>
      </c>
      <c r="J70">
        <f>SUMIFS('Job Cards'!$E:$E,'Job Cards'!$N:$N,A70,'Job Cards'!$G:$G,"Draft")*H70</f>
        <v/>
      </c>
      <c r="K70">
        <f>I70+J70</f>
        <v/>
      </c>
      <c r="L70">
        <f>MAX(0,G70-K70)</f>
        <v/>
      </c>
      <c r="M70" s="253">
        <f>IF(G70=0,0,K70/G70)</f>
        <v/>
      </c>
      <c r="N70">
        <f>IF(K70&gt;G70,"CAPACITY SHORTFALL",IF(M70&gt;=0.85,"WATCH","OK"))</f>
        <v/>
      </c>
    </row>
    <row r="71">
      <c r="A71" t="n">
        <v>32</v>
      </c>
      <c r="B71" s="247">
        <f>INDEX('Monthly Funding'!$B$6:$B$41,A71)</f>
        <v/>
      </c>
      <c r="C71">
        <f>'Work Centre Master'!A5</f>
        <v/>
      </c>
      <c r="D71">
        <f>'Work Centre Master'!B5</f>
        <v/>
      </c>
      <c r="E71">
        <f>'Work Centre Master'!E5</f>
        <v/>
      </c>
      <c r="F71" s="253">
        <f>'Work Centre Master'!F5</f>
        <v/>
      </c>
      <c r="G71">
        <f>E71*F71</f>
        <v/>
      </c>
      <c r="H71">
        <f>'Work Centre Master'!G5</f>
        <v/>
      </c>
      <c r="I71">
        <f>SUMIFS('Job Cards'!$E:$E,'Job Cards'!$N:$N,A71,'Job Cards'!$G:$G,"Released")*H71</f>
        <v/>
      </c>
      <c r="J71">
        <f>SUMIFS('Job Cards'!$E:$E,'Job Cards'!$N:$N,A71,'Job Cards'!$G:$G,"Draft")*H71</f>
        <v/>
      </c>
      <c r="K71">
        <f>I71+J71</f>
        <v/>
      </c>
      <c r="L71">
        <f>MAX(0,G71-K71)</f>
        <v/>
      </c>
      <c r="M71" s="253">
        <f>IF(G71=0,0,K71/G71)</f>
        <v/>
      </c>
      <c r="N71">
        <f>IF(K71&gt;G71,"CAPACITY SHORTFALL",IF(M71&gt;=0.85,"WATCH","OK"))</f>
        <v/>
      </c>
    </row>
    <row r="72">
      <c r="A72" t="n">
        <v>33</v>
      </c>
      <c r="B72" s="247">
        <f>INDEX('Monthly Funding'!$B$6:$B$41,A72)</f>
        <v/>
      </c>
      <c r="C72">
        <f>'Work Centre Master'!A5</f>
        <v/>
      </c>
      <c r="D72">
        <f>'Work Centre Master'!B5</f>
        <v/>
      </c>
      <c r="E72">
        <f>'Work Centre Master'!E5</f>
        <v/>
      </c>
      <c r="F72" s="253">
        <f>'Work Centre Master'!F5</f>
        <v/>
      </c>
      <c r="G72">
        <f>E72*F72</f>
        <v/>
      </c>
      <c r="H72">
        <f>'Work Centre Master'!G5</f>
        <v/>
      </c>
      <c r="I72">
        <f>SUMIFS('Job Cards'!$E:$E,'Job Cards'!$N:$N,A72,'Job Cards'!$G:$G,"Released")*H72</f>
        <v/>
      </c>
      <c r="J72">
        <f>SUMIFS('Job Cards'!$E:$E,'Job Cards'!$N:$N,A72,'Job Cards'!$G:$G,"Draft")*H72</f>
        <v/>
      </c>
      <c r="K72">
        <f>I72+J72</f>
        <v/>
      </c>
      <c r="L72">
        <f>MAX(0,G72-K72)</f>
        <v/>
      </c>
      <c r="M72" s="253">
        <f>IF(G72=0,0,K72/G72)</f>
        <v/>
      </c>
      <c r="N72">
        <f>IF(K72&gt;G72,"CAPACITY SHORTFALL",IF(M72&gt;=0.85,"WATCH","OK"))</f>
        <v/>
      </c>
    </row>
    <row r="73">
      <c r="A73" t="n">
        <v>34</v>
      </c>
      <c r="B73" s="247">
        <f>INDEX('Monthly Funding'!$B$6:$B$41,A73)</f>
        <v/>
      </c>
      <c r="C73">
        <f>'Work Centre Master'!A5</f>
        <v/>
      </c>
      <c r="D73">
        <f>'Work Centre Master'!B5</f>
        <v/>
      </c>
      <c r="E73">
        <f>'Work Centre Master'!E5</f>
        <v/>
      </c>
      <c r="F73" s="253">
        <f>'Work Centre Master'!F5</f>
        <v/>
      </c>
      <c r="G73">
        <f>E73*F73</f>
        <v/>
      </c>
      <c r="H73">
        <f>'Work Centre Master'!G5</f>
        <v/>
      </c>
      <c r="I73">
        <f>SUMIFS('Job Cards'!$E:$E,'Job Cards'!$N:$N,A73,'Job Cards'!$G:$G,"Released")*H73</f>
        <v/>
      </c>
      <c r="J73">
        <f>SUMIFS('Job Cards'!$E:$E,'Job Cards'!$N:$N,A73,'Job Cards'!$G:$G,"Draft")*H73</f>
        <v/>
      </c>
      <c r="K73">
        <f>I73+J73</f>
        <v/>
      </c>
      <c r="L73">
        <f>MAX(0,G73-K73)</f>
        <v/>
      </c>
      <c r="M73" s="253">
        <f>IF(G73=0,0,K73/G73)</f>
        <v/>
      </c>
      <c r="N73">
        <f>IF(K73&gt;G73,"CAPACITY SHORTFALL",IF(M73&gt;=0.85,"WATCH","OK"))</f>
        <v/>
      </c>
    </row>
    <row r="74">
      <c r="A74" t="n">
        <v>35</v>
      </c>
      <c r="B74" s="247">
        <f>INDEX('Monthly Funding'!$B$6:$B$41,A74)</f>
        <v/>
      </c>
      <c r="C74">
        <f>'Work Centre Master'!A5</f>
        <v/>
      </c>
      <c r="D74">
        <f>'Work Centre Master'!B5</f>
        <v/>
      </c>
      <c r="E74">
        <f>'Work Centre Master'!E5</f>
        <v/>
      </c>
      <c r="F74" s="253">
        <f>'Work Centre Master'!F5</f>
        <v/>
      </c>
      <c r="G74">
        <f>E74*F74</f>
        <v/>
      </c>
      <c r="H74">
        <f>'Work Centre Master'!G5</f>
        <v/>
      </c>
      <c r="I74">
        <f>SUMIFS('Job Cards'!$E:$E,'Job Cards'!$N:$N,A74,'Job Cards'!$G:$G,"Released")*H74</f>
        <v/>
      </c>
      <c r="J74">
        <f>SUMIFS('Job Cards'!$E:$E,'Job Cards'!$N:$N,A74,'Job Cards'!$G:$G,"Draft")*H74</f>
        <v/>
      </c>
      <c r="K74">
        <f>I74+J74</f>
        <v/>
      </c>
      <c r="L74">
        <f>MAX(0,G74-K74)</f>
        <v/>
      </c>
      <c r="M74" s="253">
        <f>IF(G74=0,0,K74/G74)</f>
        <v/>
      </c>
      <c r="N74">
        <f>IF(K74&gt;G74,"CAPACITY SHORTFALL",IF(M74&gt;=0.85,"WATCH","OK"))</f>
        <v/>
      </c>
    </row>
    <row r="75">
      <c r="A75" t="n">
        <v>36</v>
      </c>
      <c r="B75" s="247">
        <f>INDEX('Monthly Funding'!$B$6:$B$41,A75)</f>
        <v/>
      </c>
      <c r="C75">
        <f>'Work Centre Master'!A5</f>
        <v/>
      </c>
      <c r="D75">
        <f>'Work Centre Master'!B5</f>
        <v/>
      </c>
      <c r="E75">
        <f>'Work Centre Master'!E5</f>
        <v/>
      </c>
      <c r="F75" s="253">
        <f>'Work Centre Master'!F5</f>
        <v/>
      </c>
      <c r="G75">
        <f>E75*F75</f>
        <v/>
      </c>
      <c r="H75">
        <f>'Work Centre Master'!G5</f>
        <v/>
      </c>
      <c r="I75">
        <f>SUMIFS('Job Cards'!$E:$E,'Job Cards'!$N:$N,A75,'Job Cards'!$G:$G,"Released")*H75</f>
        <v/>
      </c>
      <c r="J75">
        <f>SUMIFS('Job Cards'!$E:$E,'Job Cards'!$N:$N,A75,'Job Cards'!$G:$G,"Draft")*H75</f>
        <v/>
      </c>
      <c r="K75">
        <f>I75+J75</f>
        <v/>
      </c>
      <c r="L75">
        <f>MAX(0,G75-K75)</f>
        <v/>
      </c>
      <c r="M75" s="253">
        <f>IF(G75=0,0,K75/G75)</f>
        <v/>
      </c>
      <c r="N75">
        <f>IF(K75&gt;G75,"CAPACITY SHORTFALL",IF(M75&gt;=0.85,"WATCH","OK"))</f>
        <v/>
      </c>
    </row>
    <row r="76">
      <c r="A76" t="n">
        <v>1</v>
      </c>
      <c r="B76" s="247">
        <f>INDEX('Monthly Funding'!$B$6:$B$41,A76)</f>
        <v/>
      </c>
      <c r="C76">
        <f>'Work Centre Master'!A6</f>
        <v/>
      </c>
      <c r="D76">
        <f>'Work Centre Master'!B6</f>
        <v/>
      </c>
      <c r="E76">
        <f>'Work Centre Master'!E6</f>
        <v/>
      </c>
      <c r="F76" s="253">
        <f>'Work Centre Master'!F6</f>
        <v/>
      </c>
      <c r="G76">
        <f>E76*F76</f>
        <v/>
      </c>
      <c r="H76">
        <f>'Work Centre Master'!G6</f>
        <v/>
      </c>
      <c r="I76">
        <f>SUMIFS('Job Cards'!$E:$E,'Job Cards'!$N:$N,A76,'Job Cards'!$G:$G,"Released")*H76</f>
        <v/>
      </c>
      <c r="J76">
        <f>SUMIFS('Job Cards'!$E:$E,'Job Cards'!$N:$N,A76,'Job Cards'!$G:$G,"Draft")*H76</f>
        <v/>
      </c>
      <c r="K76">
        <f>I76+J76</f>
        <v/>
      </c>
      <c r="L76">
        <f>MAX(0,G76-K76)</f>
        <v/>
      </c>
      <c r="M76" s="253">
        <f>IF(G76=0,0,K76/G76)</f>
        <v/>
      </c>
      <c r="N76">
        <f>IF(K76&gt;G76,"CAPACITY SHORTFALL",IF(M76&gt;=0.85,"WATCH","OK"))</f>
        <v/>
      </c>
    </row>
    <row r="77">
      <c r="A77" t="n">
        <v>2</v>
      </c>
      <c r="B77" s="247">
        <f>INDEX('Monthly Funding'!$B$6:$B$41,A77)</f>
        <v/>
      </c>
      <c r="C77">
        <f>'Work Centre Master'!A6</f>
        <v/>
      </c>
      <c r="D77">
        <f>'Work Centre Master'!B6</f>
        <v/>
      </c>
      <c r="E77">
        <f>'Work Centre Master'!E6</f>
        <v/>
      </c>
      <c r="F77" s="253">
        <f>'Work Centre Master'!F6</f>
        <v/>
      </c>
      <c r="G77">
        <f>E77*F77</f>
        <v/>
      </c>
      <c r="H77">
        <f>'Work Centre Master'!G6</f>
        <v/>
      </c>
      <c r="I77">
        <f>SUMIFS('Job Cards'!$E:$E,'Job Cards'!$N:$N,A77,'Job Cards'!$G:$G,"Released")*H77</f>
        <v/>
      </c>
      <c r="J77">
        <f>SUMIFS('Job Cards'!$E:$E,'Job Cards'!$N:$N,A77,'Job Cards'!$G:$G,"Draft")*H77</f>
        <v/>
      </c>
      <c r="K77">
        <f>I77+J77</f>
        <v/>
      </c>
      <c r="L77">
        <f>MAX(0,G77-K77)</f>
        <v/>
      </c>
      <c r="M77" s="253">
        <f>IF(G77=0,0,K77/G77)</f>
        <v/>
      </c>
      <c r="N77">
        <f>IF(K77&gt;G77,"CAPACITY SHORTFALL",IF(M77&gt;=0.85,"WATCH","OK"))</f>
        <v/>
      </c>
    </row>
    <row r="78">
      <c r="A78" t="n">
        <v>3</v>
      </c>
      <c r="B78" s="247">
        <f>INDEX('Monthly Funding'!$B$6:$B$41,A78)</f>
        <v/>
      </c>
      <c r="C78">
        <f>'Work Centre Master'!A6</f>
        <v/>
      </c>
      <c r="D78">
        <f>'Work Centre Master'!B6</f>
        <v/>
      </c>
      <c r="E78">
        <f>'Work Centre Master'!E6</f>
        <v/>
      </c>
      <c r="F78" s="253">
        <f>'Work Centre Master'!F6</f>
        <v/>
      </c>
      <c r="G78">
        <f>E78*F78</f>
        <v/>
      </c>
      <c r="H78">
        <f>'Work Centre Master'!G6</f>
        <v/>
      </c>
      <c r="I78">
        <f>SUMIFS('Job Cards'!$E:$E,'Job Cards'!$N:$N,A78,'Job Cards'!$G:$G,"Released")*H78</f>
        <v/>
      </c>
      <c r="J78">
        <f>SUMIFS('Job Cards'!$E:$E,'Job Cards'!$N:$N,A78,'Job Cards'!$G:$G,"Draft")*H78</f>
        <v/>
      </c>
      <c r="K78">
        <f>I78+J78</f>
        <v/>
      </c>
      <c r="L78">
        <f>MAX(0,G78-K78)</f>
        <v/>
      </c>
      <c r="M78" s="253">
        <f>IF(G78=0,0,K78/G78)</f>
        <v/>
      </c>
      <c r="N78">
        <f>IF(K78&gt;G78,"CAPACITY SHORTFALL",IF(M78&gt;=0.85,"WATCH","OK"))</f>
        <v/>
      </c>
    </row>
    <row r="79">
      <c r="A79" t="n">
        <v>4</v>
      </c>
      <c r="B79" s="247">
        <f>INDEX('Monthly Funding'!$B$6:$B$41,A79)</f>
        <v/>
      </c>
      <c r="C79">
        <f>'Work Centre Master'!A6</f>
        <v/>
      </c>
      <c r="D79">
        <f>'Work Centre Master'!B6</f>
        <v/>
      </c>
      <c r="E79">
        <f>'Work Centre Master'!E6</f>
        <v/>
      </c>
      <c r="F79" s="253">
        <f>'Work Centre Master'!F6</f>
        <v/>
      </c>
      <c r="G79">
        <f>E79*F79</f>
        <v/>
      </c>
      <c r="H79">
        <f>'Work Centre Master'!G6</f>
        <v/>
      </c>
      <c r="I79">
        <f>SUMIFS('Job Cards'!$E:$E,'Job Cards'!$N:$N,A79,'Job Cards'!$G:$G,"Released")*H79</f>
        <v/>
      </c>
      <c r="J79">
        <f>SUMIFS('Job Cards'!$E:$E,'Job Cards'!$N:$N,A79,'Job Cards'!$G:$G,"Draft")*H79</f>
        <v/>
      </c>
      <c r="K79">
        <f>I79+J79</f>
        <v/>
      </c>
      <c r="L79">
        <f>MAX(0,G79-K79)</f>
        <v/>
      </c>
      <c r="M79" s="253">
        <f>IF(G79=0,0,K79/G79)</f>
        <v/>
      </c>
      <c r="N79">
        <f>IF(K79&gt;G79,"CAPACITY SHORTFALL",IF(M79&gt;=0.85,"WATCH","OK"))</f>
        <v/>
      </c>
    </row>
    <row r="80">
      <c r="A80" t="n">
        <v>5</v>
      </c>
      <c r="B80" s="247">
        <f>INDEX('Monthly Funding'!$B$6:$B$41,A80)</f>
        <v/>
      </c>
      <c r="C80">
        <f>'Work Centre Master'!A6</f>
        <v/>
      </c>
      <c r="D80">
        <f>'Work Centre Master'!B6</f>
        <v/>
      </c>
      <c r="E80">
        <f>'Work Centre Master'!E6</f>
        <v/>
      </c>
      <c r="F80" s="253">
        <f>'Work Centre Master'!F6</f>
        <v/>
      </c>
      <c r="G80">
        <f>E80*F80</f>
        <v/>
      </c>
      <c r="H80">
        <f>'Work Centre Master'!G6</f>
        <v/>
      </c>
      <c r="I80">
        <f>SUMIFS('Job Cards'!$E:$E,'Job Cards'!$N:$N,A80,'Job Cards'!$G:$G,"Released")*H80</f>
        <v/>
      </c>
      <c r="J80">
        <f>SUMIFS('Job Cards'!$E:$E,'Job Cards'!$N:$N,A80,'Job Cards'!$G:$G,"Draft")*H80</f>
        <v/>
      </c>
      <c r="K80">
        <f>I80+J80</f>
        <v/>
      </c>
      <c r="L80">
        <f>MAX(0,G80-K80)</f>
        <v/>
      </c>
      <c r="M80" s="253">
        <f>IF(G80=0,0,K80/G80)</f>
        <v/>
      </c>
      <c r="N80">
        <f>IF(K80&gt;G80,"CAPACITY SHORTFALL",IF(M80&gt;=0.85,"WATCH","OK"))</f>
        <v/>
      </c>
    </row>
    <row r="81">
      <c r="A81" t="n">
        <v>6</v>
      </c>
      <c r="B81" s="247">
        <f>INDEX('Monthly Funding'!$B$6:$B$41,A81)</f>
        <v/>
      </c>
      <c r="C81">
        <f>'Work Centre Master'!A6</f>
        <v/>
      </c>
      <c r="D81">
        <f>'Work Centre Master'!B6</f>
        <v/>
      </c>
      <c r="E81">
        <f>'Work Centre Master'!E6</f>
        <v/>
      </c>
      <c r="F81" s="253">
        <f>'Work Centre Master'!F6</f>
        <v/>
      </c>
      <c r="G81">
        <f>E81*F81</f>
        <v/>
      </c>
      <c r="H81">
        <f>'Work Centre Master'!G6</f>
        <v/>
      </c>
      <c r="I81">
        <f>SUMIFS('Job Cards'!$E:$E,'Job Cards'!$N:$N,A81,'Job Cards'!$G:$G,"Released")*H81</f>
        <v/>
      </c>
      <c r="J81">
        <f>SUMIFS('Job Cards'!$E:$E,'Job Cards'!$N:$N,A81,'Job Cards'!$G:$G,"Draft")*H81</f>
        <v/>
      </c>
      <c r="K81">
        <f>I81+J81</f>
        <v/>
      </c>
      <c r="L81">
        <f>MAX(0,G81-K81)</f>
        <v/>
      </c>
      <c r="M81" s="253">
        <f>IF(G81=0,0,K81/G81)</f>
        <v/>
      </c>
      <c r="N81">
        <f>IF(K81&gt;G81,"CAPACITY SHORTFALL",IF(M81&gt;=0.85,"WATCH","OK"))</f>
        <v/>
      </c>
    </row>
    <row r="82">
      <c r="A82" t="n">
        <v>7</v>
      </c>
      <c r="B82" s="247">
        <f>INDEX('Monthly Funding'!$B$6:$B$41,A82)</f>
        <v/>
      </c>
      <c r="C82">
        <f>'Work Centre Master'!A6</f>
        <v/>
      </c>
      <c r="D82">
        <f>'Work Centre Master'!B6</f>
        <v/>
      </c>
      <c r="E82">
        <f>'Work Centre Master'!E6</f>
        <v/>
      </c>
      <c r="F82" s="253">
        <f>'Work Centre Master'!F6</f>
        <v/>
      </c>
      <c r="G82">
        <f>E82*F82</f>
        <v/>
      </c>
      <c r="H82">
        <f>'Work Centre Master'!G6</f>
        <v/>
      </c>
      <c r="I82">
        <f>SUMIFS('Job Cards'!$E:$E,'Job Cards'!$N:$N,A82,'Job Cards'!$G:$G,"Released")*H82</f>
        <v/>
      </c>
      <c r="J82">
        <f>SUMIFS('Job Cards'!$E:$E,'Job Cards'!$N:$N,A82,'Job Cards'!$G:$G,"Draft")*H82</f>
        <v/>
      </c>
      <c r="K82">
        <f>I82+J82</f>
        <v/>
      </c>
      <c r="L82">
        <f>MAX(0,G82-K82)</f>
        <v/>
      </c>
      <c r="M82" s="253">
        <f>IF(G82=0,0,K82/G82)</f>
        <v/>
      </c>
      <c r="N82">
        <f>IF(K82&gt;G82,"CAPACITY SHORTFALL",IF(M82&gt;=0.85,"WATCH","OK"))</f>
        <v/>
      </c>
    </row>
    <row r="83">
      <c r="A83" t="n">
        <v>8</v>
      </c>
      <c r="B83" s="247">
        <f>INDEX('Monthly Funding'!$B$6:$B$41,A83)</f>
        <v/>
      </c>
      <c r="C83">
        <f>'Work Centre Master'!A6</f>
        <v/>
      </c>
      <c r="D83">
        <f>'Work Centre Master'!B6</f>
        <v/>
      </c>
      <c r="E83">
        <f>'Work Centre Master'!E6</f>
        <v/>
      </c>
      <c r="F83" s="253">
        <f>'Work Centre Master'!F6</f>
        <v/>
      </c>
      <c r="G83">
        <f>E83*F83</f>
        <v/>
      </c>
      <c r="H83">
        <f>'Work Centre Master'!G6</f>
        <v/>
      </c>
      <c r="I83">
        <f>SUMIFS('Job Cards'!$E:$E,'Job Cards'!$N:$N,A83,'Job Cards'!$G:$G,"Released")*H83</f>
        <v/>
      </c>
      <c r="J83">
        <f>SUMIFS('Job Cards'!$E:$E,'Job Cards'!$N:$N,A83,'Job Cards'!$G:$G,"Draft")*H83</f>
        <v/>
      </c>
      <c r="K83">
        <f>I83+J83</f>
        <v/>
      </c>
      <c r="L83">
        <f>MAX(0,G83-K83)</f>
        <v/>
      </c>
      <c r="M83" s="253">
        <f>IF(G83=0,0,K83/G83)</f>
        <v/>
      </c>
      <c r="N83">
        <f>IF(K83&gt;G83,"CAPACITY SHORTFALL",IF(M83&gt;=0.85,"WATCH","OK"))</f>
        <v/>
      </c>
    </row>
    <row r="84">
      <c r="A84" t="n">
        <v>9</v>
      </c>
      <c r="B84" s="247">
        <f>INDEX('Monthly Funding'!$B$6:$B$41,A84)</f>
        <v/>
      </c>
      <c r="C84">
        <f>'Work Centre Master'!A6</f>
        <v/>
      </c>
      <c r="D84">
        <f>'Work Centre Master'!B6</f>
        <v/>
      </c>
      <c r="E84">
        <f>'Work Centre Master'!E6</f>
        <v/>
      </c>
      <c r="F84" s="253">
        <f>'Work Centre Master'!F6</f>
        <v/>
      </c>
      <c r="G84">
        <f>E84*F84</f>
        <v/>
      </c>
      <c r="H84">
        <f>'Work Centre Master'!G6</f>
        <v/>
      </c>
      <c r="I84">
        <f>SUMIFS('Job Cards'!$E:$E,'Job Cards'!$N:$N,A84,'Job Cards'!$G:$G,"Released")*H84</f>
        <v/>
      </c>
      <c r="J84">
        <f>SUMIFS('Job Cards'!$E:$E,'Job Cards'!$N:$N,A84,'Job Cards'!$G:$G,"Draft")*H84</f>
        <v/>
      </c>
      <c r="K84">
        <f>I84+J84</f>
        <v/>
      </c>
      <c r="L84">
        <f>MAX(0,G84-K84)</f>
        <v/>
      </c>
      <c r="M84" s="253">
        <f>IF(G84=0,0,K84/G84)</f>
        <v/>
      </c>
      <c r="N84">
        <f>IF(K84&gt;G84,"CAPACITY SHORTFALL",IF(M84&gt;=0.85,"WATCH","OK"))</f>
        <v/>
      </c>
    </row>
    <row r="85">
      <c r="A85" t="n">
        <v>10</v>
      </c>
      <c r="B85" s="247">
        <f>INDEX('Monthly Funding'!$B$6:$B$41,A85)</f>
        <v/>
      </c>
      <c r="C85">
        <f>'Work Centre Master'!A6</f>
        <v/>
      </c>
      <c r="D85">
        <f>'Work Centre Master'!B6</f>
        <v/>
      </c>
      <c r="E85">
        <f>'Work Centre Master'!E6</f>
        <v/>
      </c>
      <c r="F85" s="253">
        <f>'Work Centre Master'!F6</f>
        <v/>
      </c>
      <c r="G85">
        <f>E85*F85</f>
        <v/>
      </c>
      <c r="H85">
        <f>'Work Centre Master'!G6</f>
        <v/>
      </c>
      <c r="I85">
        <f>SUMIFS('Job Cards'!$E:$E,'Job Cards'!$N:$N,A85,'Job Cards'!$G:$G,"Released")*H85</f>
        <v/>
      </c>
      <c r="J85">
        <f>SUMIFS('Job Cards'!$E:$E,'Job Cards'!$N:$N,A85,'Job Cards'!$G:$G,"Draft")*H85</f>
        <v/>
      </c>
      <c r="K85">
        <f>I85+J85</f>
        <v/>
      </c>
      <c r="L85">
        <f>MAX(0,G85-K85)</f>
        <v/>
      </c>
      <c r="M85" s="253">
        <f>IF(G85=0,0,K85/G85)</f>
        <v/>
      </c>
      <c r="N85">
        <f>IF(K85&gt;G85,"CAPACITY SHORTFALL",IF(M85&gt;=0.85,"WATCH","OK"))</f>
        <v/>
      </c>
    </row>
    <row r="86">
      <c r="A86" t="n">
        <v>11</v>
      </c>
      <c r="B86" s="247">
        <f>INDEX('Monthly Funding'!$B$6:$B$41,A86)</f>
        <v/>
      </c>
      <c r="C86">
        <f>'Work Centre Master'!A6</f>
        <v/>
      </c>
      <c r="D86">
        <f>'Work Centre Master'!B6</f>
        <v/>
      </c>
      <c r="E86">
        <f>'Work Centre Master'!E6</f>
        <v/>
      </c>
      <c r="F86" s="253">
        <f>'Work Centre Master'!F6</f>
        <v/>
      </c>
      <c r="G86">
        <f>E86*F86</f>
        <v/>
      </c>
      <c r="H86">
        <f>'Work Centre Master'!G6</f>
        <v/>
      </c>
      <c r="I86">
        <f>SUMIFS('Job Cards'!$E:$E,'Job Cards'!$N:$N,A86,'Job Cards'!$G:$G,"Released")*H86</f>
        <v/>
      </c>
      <c r="J86">
        <f>SUMIFS('Job Cards'!$E:$E,'Job Cards'!$N:$N,A86,'Job Cards'!$G:$G,"Draft")*H86</f>
        <v/>
      </c>
      <c r="K86">
        <f>I86+J86</f>
        <v/>
      </c>
      <c r="L86">
        <f>MAX(0,G86-K86)</f>
        <v/>
      </c>
      <c r="M86" s="253">
        <f>IF(G86=0,0,K86/G86)</f>
        <v/>
      </c>
      <c r="N86">
        <f>IF(K86&gt;G86,"CAPACITY SHORTFALL",IF(M86&gt;=0.85,"WATCH","OK"))</f>
        <v/>
      </c>
    </row>
    <row r="87">
      <c r="A87" t="n">
        <v>12</v>
      </c>
      <c r="B87" s="247">
        <f>INDEX('Monthly Funding'!$B$6:$B$41,A87)</f>
        <v/>
      </c>
      <c r="C87">
        <f>'Work Centre Master'!A6</f>
        <v/>
      </c>
      <c r="D87">
        <f>'Work Centre Master'!B6</f>
        <v/>
      </c>
      <c r="E87">
        <f>'Work Centre Master'!E6</f>
        <v/>
      </c>
      <c r="F87" s="253">
        <f>'Work Centre Master'!F6</f>
        <v/>
      </c>
      <c r="G87">
        <f>E87*F87</f>
        <v/>
      </c>
      <c r="H87">
        <f>'Work Centre Master'!G6</f>
        <v/>
      </c>
      <c r="I87">
        <f>SUMIFS('Job Cards'!$E:$E,'Job Cards'!$N:$N,A87,'Job Cards'!$G:$G,"Released")*H87</f>
        <v/>
      </c>
      <c r="J87">
        <f>SUMIFS('Job Cards'!$E:$E,'Job Cards'!$N:$N,A87,'Job Cards'!$G:$G,"Draft")*H87</f>
        <v/>
      </c>
      <c r="K87">
        <f>I87+J87</f>
        <v/>
      </c>
      <c r="L87">
        <f>MAX(0,G87-K87)</f>
        <v/>
      </c>
      <c r="M87" s="253">
        <f>IF(G87=0,0,K87/G87)</f>
        <v/>
      </c>
      <c r="N87">
        <f>IF(K87&gt;G87,"CAPACITY SHORTFALL",IF(M87&gt;=0.85,"WATCH","OK"))</f>
        <v/>
      </c>
    </row>
    <row r="88">
      <c r="A88" t="n">
        <v>13</v>
      </c>
      <c r="B88" s="247">
        <f>INDEX('Monthly Funding'!$B$6:$B$41,A88)</f>
        <v/>
      </c>
      <c r="C88">
        <f>'Work Centre Master'!A6</f>
        <v/>
      </c>
      <c r="D88">
        <f>'Work Centre Master'!B6</f>
        <v/>
      </c>
      <c r="E88">
        <f>'Work Centre Master'!E6</f>
        <v/>
      </c>
      <c r="F88" s="253">
        <f>'Work Centre Master'!F6</f>
        <v/>
      </c>
      <c r="G88">
        <f>E88*F88</f>
        <v/>
      </c>
      <c r="H88">
        <f>'Work Centre Master'!G6</f>
        <v/>
      </c>
      <c r="I88">
        <f>SUMIFS('Job Cards'!$E:$E,'Job Cards'!$N:$N,A88,'Job Cards'!$G:$G,"Released")*H88</f>
        <v/>
      </c>
      <c r="J88">
        <f>SUMIFS('Job Cards'!$E:$E,'Job Cards'!$N:$N,A88,'Job Cards'!$G:$G,"Draft")*H88</f>
        <v/>
      </c>
      <c r="K88">
        <f>I88+J88</f>
        <v/>
      </c>
      <c r="L88">
        <f>MAX(0,G88-K88)</f>
        <v/>
      </c>
      <c r="M88" s="253">
        <f>IF(G88=0,0,K88/G88)</f>
        <v/>
      </c>
      <c r="N88">
        <f>IF(K88&gt;G88,"CAPACITY SHORTFALL",IF(M88&gt;=0.85,"WATCH","OK"))</f>
        <v/>
      </c>
    </row>
    <row r="89">
      <c r="A89" t="n">
        <v>14</v>
      </c>
      <c r="B89" s="247">
        <f>INDEX('Monthly Funding'!$B$6:$B$41,A89)</f>
        <v/>
      </c>
      <c r="C89">
        <f>'Work Centre Master'!A6</f>
        <v/>
      </c>
      <c r="D89">
        <f>'Work Centre Master'!B6</f>
        <v/>
      </c>
      <c r="E89">
        <f>'Work Centre Master'!E6</f>
        <v/>
      </c>
      <c r="F89" s="253">
        <f>'Work Centre Master'!F6</f>
        <v/>
      </c>
      <c r="G89">
        <f>E89*F89</f>
        <v/>
      </c>
      <c r="H89">
        <f>'Work Centre Master'!G6</f>
        <v/>
      </c>
      <c r="I89">
        <f>SUMIFS('Job Cards'!$E:$E,'Job Cards'!$N:$N,A89,'Job Cards'!$G:$G,"Released")*H89</f>
        <v/>
      </c>
      <c r="J89">
        <f>SUMIFS('Job Cards'!$E:$E,'Job Cards'!$N:$N,A89,'Job Cards'!$G:$G,"Draft")*H89</f>
        <v/>
      </c>
      <c r="K89">
        <f>I89+J89</f>
        <v/>
      </c>
      <c r="L89">
        <f>MAX(0,G89-K89)</f>
        <v/>
      </c>
      <c r="M89" s="253">
        <f>IF(G89=0,0,K89/G89)</f>
        <v/>
      </c>
      <c r="N89">
        <f>IF(K89&gt;G89,"CAPACITY SHORTFALL",IF(M89&gt;=0.85,"WATCH","OK"))</f>
        <v/>
      </c>
    </row>
    <row r="90">
      <c r="A90" t="n">
        <v>15</v>
      </c>
      <c r="B90" s="247">
        <f>INDEX('Monthly Funding'!$B$6:$B$41,A90)</f>
        <v/>
      </c>
      <c r="C90">
        <f>'Work Centre Master'!A6</f>
        <v/>
      </c>
      <c r="D90">
        <f>'Work Centre Master'!B6</f>
        <v/>
      </c>
      <c r="E90">
        <f>'Work Centre Master'!E6</f>
        <v/>
      </c>
      <c r="F90" s="253">
        <f>'Work Centre Master'!F6</f>
        <v/>
      </c>
      <c r="G90">
        <f>E90*F90</f>
        <v/>
      </c>
      <c r="H90">
        <f>'Work Centre Master'!G6</f>
        <v/>
      </c>
      <c r="I90">
        <f>SUMIFS('Job Cards'!$E:$E,'Job Cards'!$N:$N,A90,'Job Cards'!$G:$G,"Released")*H90</f>
        <v/>
      </c>
      <c r="J90">
        <f>SUMIFS('Job Cards'!$E:$E,'Job Cards'!$N:$N,A90,'Job Cards'!$G:$G,"Draft")*H90</f>
        <v/>
      </c>
      <c r="K90">
        <f>I90+J90</f>
        <v/>
      </c>
      <c r="L90">
        <f>MAX(0,G90-K90)</f>
        <v/>
      </c>
      <c r="M90" s="253">
        <f>IF(G90=0,0,K90/G90)</f>
        <v/>
      </c>
      <c r="N90">
        <f>IF(K90&gt;G90,"CAPACITY SHORTFALL",IF(M90&gt;=0.85,"WATCH","OK"))</f>
        <v/>
      </c>
    </row>
    <row r="91">
      <c r="A91" t="n">
        <v>16</v>
      </c>
      <c r="B91" s="247">
        <f>INDEX('Monthly Funding'!$B$6:$B$41,A91)</f>
        <v/>
      </c>
      <c r="C91">
        <f>'Work Centre Master'!A6</f>
        <v/>
      </c>
      <c r="D91">
        <f>'Work Centre Master'!B6</f>
        <v/>
      </c>
      <c r="E91">
        <f>'Work Centre Master'!E6</f>
        <v/>
      </c>
      <c r="F91" s="253">
        <f>'Work Centre Master'!F6</f>
        <v/>
      </c>
      <c r="G91">
        <f>E91*F91</f>
        <v/>
      </c>
      <c r="H91">
        <f>'Work Centre Master'!G6</f>
        <v/>
      </c>
      <c r="I91">
        <f>SUMIFS('Job Cards'!$E:$E,'Job Cards'!$N:$N,A91,'Job Cards'!$G:$G,"Released")*H91</f>
        <v/>
      </c>
      <c r="J91">
        <f>SUMIFS('Job Cards'!$E:$E,'Job Cards'!$N:$N,A91,'Job Cards'!$G:$G,"Draft")*H91</f>
        <v/>
      </c>
      <c r="K91">
        <f>I91+J91</f>
        <v/>
      </c>
      <c r="L91">
        <f>MAX(0,G91-K91)</f>
        <v/>
      </c>
      <c r="M91" s="253">
        <f>IF(G91=0,0,K91/G91)</f>
        <v/>
      </c>
      <c r="N91">
        <f>IF(K91&gt;G91,"CAPACITY SHORTFALL",IF(M91&gt;=0.85,"WATCH","OK"))</f>
        <v/>
      </c>
    </row>
    <row r="92">
      <c r="A92" t="n">
        <v>17</v>
      </c>
      <c r="B92" s="247">
        <f>INDEX('Monthly Funding'!$B$6:$B$41,A92)</f>
        <v/>
      </c>
      <c r="C92">
        <f>'Work Centre Master'!A6</f>
        <v/>
      </c>
      <c r="D92">
        <f>'Work Centre Master'!B6</f>
        <v/>
      </c>
      <c r="E92">
        <f>'Work Centre Master'!E6</f>
        <v/>
      </c>
      <c r="F92" s="253">
        <f>'Work Centre Master'!F6</f>
        <v/>
      </c>
      <c r="G92">
        <f>E92*F92</f>
        <v/>
      </c>
      <c r="H92">
        <f>'Work Centre Master'!G6</f>
        <v/>
      </c>
      <c r="I92">
        <f>SUMIFS('Job Cards'!$E:$E,'Job Cards'!$N:$N,A92,'Job Cards'!$G:$G,"Released")*H92</f>
        <v/>
      </c>
      <c r="J92">
        <f>SUMIFS('Job Cards'!$E:$E,'Job Cards'!$N:$N,A92,'Job Cards'!$G:$G,"Draft")*H92</f>
        <v/>
      </c>
      <c r="K92">
        <f>I92+J92</f>
        <v/>
      </c>
      <c r="L92">
        <f>MAX(0,G92-K92)</f>
        <v/>
      </c>
      <c r="M92" s="253">
        <f>IF(G92=0,0,K92/G92)</f>
        <v/>
      </c>
      <c r="N92">
        <f>IF(K92&gt;G92,"CAPACITY SHORTFALL",IF(M92&gt;=0.85,"WATCH","OK"))</f>
        <v/>
      </c>
    </row>
    <row r="93">
      <c r="A93" t="n">
        <v>18</v>
      </c>
      <c r="B93" s="247">
        <f>INDEX('Monthly Funding'!$B$6:$B$41,A93)</f>
        <v/>
      </c>
      <c r="C93">
        <f>'Work Centre Master'!A6</f>
        <v/>
      </c>
      <c r="D93">
        <f>'Work Centre Master'!B6</f>
        <v/>
      </c>
      <c r="E93">
        <f>'Work Centre Master'!E6</f>
        <v/>
      </c>
      <c r="F93" s="253">
        <f>'Work Centre Master'!F6</f>
        <v/>
      </c>
      <c r="G93">
        <f>E93*F93</f>
        <v/>
      </c>
      <c r="H93">
        <f>'Work Centre Master'!G6</f>
        <v/>
      </c>
      <c r="I93">
        <f>SUMIFS('Job Cards'!$E:$E,'Job Cards'!$N:$N,A93,'Job Cards'!$G:$G,"Released")*H93</f>
        <v/>
      </c>
      <c r="J93">
        <f>SUMIFS('Job Cards'!$E:$E,'Job Cards'!$N:$N,A93,'Job Cards'!$G:$G,"Draft")*H93</f>
        <v/>
      </c>
      <c r="K93">
        <f>I93+J93</f>
        <v/>
      </c>
      <c r="L93">
        <f>MAX(0,G93-K93)</f>
        <v/>
      </c>
      <c r="M93" s="253">
        <f>IF(G93=0,0,K93/G93)</f>
        <v/>
      </c>
      <c r="N93">
        <f>IF(K93&gt;G93,"CAPACITY SHORTFALL",IF(M93&gt;=0.85,"WATCH","OK"))</f>
        <v/>
      </c>
    </row>
    <row r="94">
      <c r="A94" t="n">
        <v>19</v>
      </c>
      <c r="B94" s="247">
        <f>INDEX('Monthly Funding'!$B$6:$B$41,A94)</f>
        <v/>
      </c>
      <c r="C94">
        <f>'Work Centre Master'!A6</f>
        <v/>
      </c>
      <c r="D94">
        <f>'Work Centre Master'!B6</f>
        <v/>
      </c>
      <c r="E94">
        <f>'Work Centre Master'!E6</f>
        <v/>
      </c>
      <c r="F94" s="253">
        <f>'Work Centre Master'!F6</f>
        <v/>
      </c>
      <c r="G94">
        <f>E94*F94</f>
        <v/>
      </c>
      <c r="H94">
        <f>'Work Centre Master'!G6</f>
        <v/>
      </c>
      <c r="I94">
        <f>SUMIFS('Job Cards'!$E:$E,'Job Cards'!$N:$N,A94,'Job Cards'!$G:$G,"Released")*H94</f>
        <v/>
      </c>
      <c r="J94">
        <f>SUMIFS('Job Cards'!$E:$E,'Job Cards'!$N:$N,A94,'Job Cards'!$G:$G,"Draft")*H94</f>
        <v/>
      </c>
      <c r="K94">
        <f>I94+J94</f>
        <v/>
      </c>
      <c r="L94">
        <f>MAX(0,G94-K94)</f>
        <v/>
      </c>
      <c r="M94" s="253">
        <f>IF(G94=0,0,K94/G94)</f>
        <v/>
      </c>
      <c r="N94">
        <f>IF(K94&gt;G94,"CAPACITY SHORTFALL",IF(M94&gt;=0.85,"WATCH","OK"))</f>
        <v/>
      </c>
    </row>
    <row r="95">
      <c r="A95" t="n">
        <v>20</v>
      </c>
      <c r="B95" s="247">
        <f>INDEX('Monthly Funding'!$B$6:$B$41,A95)</f>
        <v/>
      </c>
      <c r="C95">
        <f>'Work Centre Master'!A6</f>
        <v/>
      </c>
      <c r="D95">
        <f>'Work Centre Master'!B6</f>
        <v/>
      </c>
      <c r="E95">
        <f>'Work Centre Master'!E6</f>
        <v/>
      </c>
      <c r="F95" s="253">
        <f>'Work Centre Master'!F6</f>
        <v/>
      </c>
      <c r="G95">
        <f>E95*F95</f>
        <v/>
      </c>
      <c r="H95">
        <f>'Work Centre Master'!G6</f>
        <v/>
      </c>
      <c r="I95">
        <f>SUMIFS('Job Cards'!$E:$E,'Job Cards'!$N:$N,A95,'Job Cards'!$G:$G,"Released")*H95</f>
        <v/>
      </c>
      <c r="J95">
        <f>SUMIFS('Job Cards'!$E:$E,'Job Cards'!$N:$N,A95,'Job Cards'!$G:$G,"Draft")*H95</f>
        <v/>
      </c>
      <c r="K95">
        <f>I95+J95</f>
        <v/>
      </c>
      <c r="L95">
        <f>MAX(0,G95-K95)</f>
        <v/>
      </c>
      <c r="M95" s="253">
        <f>IF(G95=0,0,K95/G95)</f>
        <v/>
      </c>
      <c r="N95">
        <f>IF(K95&gt;G95,"CAPACITY SHORTFALL",IF(M95&gt;=0.85,"WATCH","OK"))</f>
        <v/>
      </c>
    </row>
    <row r="96">
      <c r="A96" t="n">
        <v>21</v>
      </c>
      <c r="B96" s="247">
        <f>INDEX('Monthly Funding'!$B$6:$B$41,A96)</f>
        <v/>
      </c>
      <c r="C96">
        <f>'Work Centre Master'!A6</f>
        <v/>
      </c>
      <c r="D96">
        <f>'Work Centre Master'!B6</f>
        <v/>
      </c>
      <c r="E96">
        <f>'Work Centre Master'!E6</f>
        <v/>
      </c>
      <c r="F96" s="253">
        <f>'Work Centre Master'!F6</f>
        <v/>
      </c>
      <c r="G96">
        <f>E96*F96</f>
        <v/>
      </c>
      <c r="H96">
        <f>'Work Centre Master'!G6</f>
        <v/>
      </c>
      <c r="I96">
        <f>SUMIFS('Job Cards'!$E:$E,'Job Cards'!$N:$N,A96,'Job Cards'!$G:$G,"Released")*H96</f>
        <v/>
      </c>
      <c r="J96">
        <f>SUMIFS('Job Cards'!$E:$E,'Job Cards'!$N:$N,A96,'Job Cards'!$G:$G,"Draft")*H96</f>
        <v/>
      </c>
      <c r="K96">
        <f>I96+J96</f>
        <v/>
      </c>
      <c r="L96">
        <f>MAX(0,G96-K96)</f>
        <v/>
      </c>
      <c r="M96" s="253">
        <f>IF(G96=0,0,K96/G96)</f>
        <v/>
      </c>
      <c r="N96">
        <f>IF(K96&gt;G96,"CAPACITY SHORTFALL",IF(M96&gt;=0.85,"WATCH","OK"))</f>
        <v/>
      </c>
    </row>
    <row r="97">
      <c r="A97" t="n">
        <v>22</v>
      </c>
      <c r="B97" s="247">
        <f>INDEX('Monthly Funding'!$B$6:$B$41,A97)</f>
        <v/>
      </c>
      <c r="C97">
        <f>'Work Centre Master'!A6</f>
        <v/>
      </c>
      <c r="D97">
        <f>'Work Centre Master'!B6</f>
        <v/>
      </c>
      <c r="E97">
        <f>'Work Centre Master'!E6</f>
        <v/>
      </c>
      <c r="F97" s="253">
        <f>'Work Centre Master'!F6</f>
        <v/>
      </c>
      <c r="G97">
        <f>E97*F97</f>
        <v/>
      </c>
      <c r="H97">
        <f>'Work Centre Master'!G6</f>
        <v/>
      </c>
      <c r="I97">
        <f>SUMIFS('Job Cards'!$E:$E,'Job Cards'!$N:$N,A97,'Job Cards'!$G:$G,"Released")*H97</f>
        <v/>
      </c>
      <c r="J97">
        <f>SUMIFS('Job Cards'!$E:$E,'Job Cards'!$N:$N,A97,'Job Cards'!$G:$G,"Draft")*H97</f>
        <v/>
      </c>
      <c r="K97">
        <f>I97+J97</f>
        <v/>
      </c>
      <c r="L97">
        <f>MAX(0,G97-K97)</f>
        <v/>
      </c>
      <c r="M97" s="253">
        <f>IF(G97=0,0,K97/G97)</f>
        <v/>
      </c>
      <c r="N97">
        <f>IF(K97&gt;G97,"CAPACITY SHORTFALL",IF(M97&gt;=0.85,"WATCH","OK"))</f>
        <v/>
      </c>
    </row>
    <row r="98">
      <c r="A98" t="n">
        <v>23</v>
      </c>
      <c r="B98" s="247">
        <f>INDEX('Monthly Funding'!$B$6:$B$41,A98)</f>
        <v/>
      </c>
      <c r="C98">
        <f>'Work Centre Master'!A6</f>
        <v/>
      </c>
      <c r="D98">
        <f>'Work Centre Master'!B6</f>
        <v/>
      </c>
      <c r="E98">
        <f>'Work Centre Master'!E6</f>
        <v/>
      </c>
      <c r="F98" s="253">
        <f>'Work Centre Master'!F6</f>
        <v/>
      </c>
      <c r="G98">
        <f>E98*F98</f>
        <v/>
      </c>
      <c r="H98">
        <f>'Work Centre Master'!G6</f>
        <v/>
      </c>
      <c r="I98">
        <f>SUMIFS('Job Cards'!$E:$E,'Job Cards'!$N:$N,A98,'Job Cards'!$G:$G,"Released")*H98</f>
        <v/>
      </c>
      <c r="J98">
        <f>SUMIFS('Job Cards'!$E:$E,'Job Cards'!$N:$N,A98,'Job Cards'!$G:$G,"Draft")*H98</f>
        <v/>
      </c>
      <c r="K98">
        <f>I98+J98</f>
        <v/>
      </c>
      <c r="L98">
        <f>MAX(0,G98-K98)</f>
        <v/>
      </c>
      <c r="M98" s="253">
        <f>IF(G98=0,0,K98/G98)</f>
        <v/>
      </c>
      <c r="N98">
        <f>IF(K98&gt;G98,"CAPACITY SHORTFALL",IF(M98&gt;=0.85,"WATCH","OK"))</f>
        <v/>
      </c>
    </row>
    <row r="99">
      <c r="A99" t="n">
        <v>24</v>
      </c>
      <c r="B99" s="247">
        <f>INDEX('Monthly Funding'!$B$6:$B$41,A99)</f>
        <v/>
      </c>
      <c r="C99">
        <f>'Work Centre Master'!A6</f>
        <v/>
      </c>
      <c r="D99">
        <f>'Work Centre Master'!B6</f>
        <v/>
      </c>
      <c r="E99">
        <f>'Work Centre Master'!E6</f>
        <v/>
      </c>
      <c r="F99" s="253">
        <f>'Work Centre Master'!F6</f>
        <v/>
      </c>
      <c r="G99">
        <f>E99*F99</f>
        <v/>
      </c>
      <c r="H99">
        <f>'Work Centre Master'!G6</f>
        <v/>
      </c>
      <c r="I99">
        <f>SUMIFS('Job Cards'!$E:$E,'Job Cards'!$N:$N,A99,'Job Cards'!$G:$G,"Released")*H99</f>
        <v/>
      </c>
      <c r="J99">
        <f>SUMIFS('Job Cards'!$E:$E,'Job Cards'!$N:$N,A99,'Job Cards'!$G:$G,"Draft")*H99</f>
        <v/>
      </c>
      <c r="K99">
        <f>I99+J99</f>
        <v/>
      </c>
      <c r="L99">
        <f>MAX(0,G99-K99)</f>
        <v/>
      </c>
      <c r="M99" s="253">
        <f>IF(G99=0,0,K99/G99)</f>
        <v/>
      </c>
      <c r="N99">
        <f>IF(K99&gt;G99,"CAPACITY SHORTFALL",IF(M99&gt;=0.85,"WATCH","OK"))</f>
        <v/>
      </c>
    </row>
    <row r="100">
      <c r="A100" t="n">
        <v>25</v>
      </c>
      <c r="B100" s="247">
        <f>INDEX('Monthly Funding'!$B$6:$B$41,A100)</f>
        <v/>
      </c>
      <c r="C100">
        <f>'Work Centre Master'!A6</f>
        <v/>
      </c>
      <c r="D100">
        <f>'Work Centre Master'!B6</f>
        <v/>
      </c>
      <c r="E100">
        <f>'Work Centre Master'!E6</f>
        <v/>
      </c>
      <c r="F100" s="253">
        <f>'Work Centre Master'!F6</f>
        <v/>
      </c>
      <c r="G100">
        <f>E100*F100</f>
        <v/>
      </c>
      <c r="H100">
        <f>'Work Centre Master'!G6</f>
        <v/>
      </c>
      <c r="I100">
        <f>SUMIFS('Job Cards'!$E:$E,'Job Cards'!$N:$N,A100,'Job Cards'!$G:$G,"Released")*H100</f>
        <v/>
      </c>
      <c r="J100">
        <f>SUMIFS('Job Cards'!$E:$E,'Job Cards'!$N:$N,A100,'Job Cards'!$G:$G,"Draft")*H100</f>
        <v/>
      </c>
      <c r="K100">
        <f>I100+J100</f>
        <v/>
      </c>
      <c r="L100">
        <f>MAX(0,G100-K100)</f>
        <v/>
      </c>
      <c r="M100" s="253">
        <f>IF(G100=0,0,K100/G100)</f>
        <v/>
      </c>
      <c r="N100">
        <f>IF(K100&gt;G100,"CAPACITY SHORTFALL",IF(M100&gt;=0.85,"WATCH","OK"))</f>
        <v/>
      </c>
    </row>
    <row r="101">
      <c r="A101" t="n">
        <v>26</v>
      </c>
      <c r="B101" s="247">
        <f>INDEX('Monthly Funding'!$B$6:$B$41,A101)</f>
        <v/>
      </c>
      <c r="C101">
        <f>'Work Centre Master'!A6</f>
        <v/>
      </c>
      <c r="D101">
        <f>'Work Centre Master'!B6</f>
        <v/>
      </c>
      <c r="E101">
        <f>'Work Centre Master'!E6</f>
        <v/>
      </c>
      <c r="F101" s="253">
        <f>'Work Centre Master'!F6</f>
        <v/>
      </c>
      <c r="G101">
        <f>E101*F101</f>
        <v/>
      </c>
      <c r="H101">
        <f>'Work Centre Master'!G6</f>
        <v/>
      </c>
      <c r="I101">
        <f>SUMIFS('Job Cards'!$E:$E,'Job Cards'!$N:$N,A101,'Job Cards'!$G:$G,"Released")*H101</f>
        <v/>
      </c>
      <c r="J101">
        <f>SUMIFS('Job Cards'!$E:$E,'Job Cards'!$N:$N,A101,'Job Cards'!$G:$G,"Draft")*H101</f>
        <v/>
      </c>
      <c r="K101">
        <f>I101+J101</f>
        <v/>
      </c>
      <c r="L101">
        <f>MAX(0,G101-K101)</f>
        <v/>
      </c>
      <c r="M101" s="253">
        <f>IF(G101=0,0,K101/G101)</f>
        <v/>
      </c>
      <c r="N101">
        <f>IF(K101&gt;G101,"CAPACITY SHORTFALL",IF(M101&gt;=0.85,"WATCH","OK"))</f>
        <v/>
      </c>
    </row>
    <row r="102">
      <c r="A102" t="n">
        <v>27</v>
      </c>
      <c r="B102" s="247">
        <f>INDEX('Monthly Funding'!$B$6:$B$41,A102)</f>
        <v/>
      </c>
      <c r="C102">
        <f>'Work Centre Master'!A6</f>
        <v/>
      </c>
      <c r="D102">
        <f>'Work Centre Master'!B6</f>
        <v/>
      </c>
      <c r="E102">
        <f>'Work Centre Master'!E6</f>
        <v/>
      </c>
      <c r="F102" s="253">
        <f>'Work Centre Master'!F6</f>
        <v/>
      </c>
      <c r="G102">
        <f>E102*F102</f>
        <v/>
      </c>
      <c r="H102">
        <f>'Work Centre Master'!G6</f>
        <v/>
      </c>
      <c r="I102">
        <f>SUMIFS('Job Cards'!$E:$E,'Job Cards'!$N:$N,A102,'Job Cards'!$G:$G,"Released")*H102</f>
        <v/>
      </c>
      <c r="J102">
        <f>SUMIFS('Job Cards'!$E:$E,'Job Cards'!$N:$N,A102,'Job Cards'!$G:$G,"Draft")*H102</f>
        <v/>
      </c>
      <c r="K102">
        <f>I102+J102</f>
        <v/>
      </c>
      <c r="L102">
        <f>MAX(0,G102-K102)</f>
        <v/>
      </c>
      <c r="M102" s="253">
        <f>IF(G102=0,0,K102/G102)</f>
        <v/>
      </c>
      <c r="N102">
        <f>IF(K102&gt;G102,"CAPACITY SHORTFALL",IF(M102&gt;=0.85,"WATCH","OK"))</f>
        <v/>
      </c>
    </row>
    <row r="103">
      <c r="A103" t="n">
        <v>28</v>
      </c>
      <c r="B103" s="247">
        <f>INDEX('Monthly Funding'!$B$6:$B$41,A103)</f>
        <v/>
      </c>
      <c r="C103">
        <f>'Work Centre Master'!A6</f>
        <v/>
      </c>
      <c r="D103">
        <f>'Work Centre Master'!B6</f>
        <v/>
      </c>
      <c r="E103">
        <f>'Work Centre Master'!E6</f>
        <v/>
      </c>
      <c r="F103" s="253">
        <f>'Work Centre Master'!F6</f>
        <v/>
      </c>
      <c r="G103">
        <f>E103*F103</f>
        <v/>
      </c>
      <c r="H103">
        <f>'Work Centre Master'!G6</f>
        <v/>
      </c>
      <c r="I103">
        <f>SUMIFS('Job Cards'!$E:$E,'Job Cards'!$N:$N,A103,'Job Cards'!$G:$G,"Released")*H103</f>
        <v/>
      </c>
      <c r="J103">
        <f>SUMIFS('Job Cards'!$E:$E,'Job Cards'!$N:$N,A103,'Job Cards'!$G:$G,"Draft")*H103</f>
        <v/>
      </c>
      <c r="K103">
        <f>I103+J103</f>
        <v/>
      </c>
      <c r="L103">
        <f>MAX(0,G103-K103)</f>
        <v/>
      </c>
      <c r="M103" s="253">
        <f>IF(G103=0,0,K103/G103)</f>
        <v/>
      </c>
      <c r="N103">
        <f>IF(K103&gt;G103,"CAPACITY SHORTFALL",IF(M103&gt;=0.85,"WATCH","OK"))</f>
        <v/>
      </c>
    </row>
    <row r="104">
      <c r="A104" t="n">
        <v>29</v>
      </c>
      <c r="B104" s="247">
        <f>INDEX('Monthly Funding'!$B$6:$B$41,A104)</f>
        <v/>
      </c>
      <c r="C104">
        <f>'Work Centre Master'!A6</f>
        <v/>
      </c>
      <c r="D104">
        <f>'Work Centre Master'!B6</f>
        <v/>
      </c>
      <c r="E104">
        <f>'Work Centre Master'!E6</f>
        <v/>
      </c>
      <c r="F104" s="253">
        <f>'Work Centre Master'!F6</f>
        <v/>
      </c>
      <c r="G104">
        <f>E104*F104</f>
        <v/>
      </c>
      <c r="H104">
        <f>'Work Centre Master'!G6</f>
        <v/>
      </c>
      <c r="I104">
        <f>SUMIFS('Job Cards'!$E:$E,'Job Cards'!$N:$N,A104,'Job Cards'!$G:$G,"Released")*H104</f>
        <v/>
      </c>
      <c r="J104">
        <f>SUMIFS('Job Cards'!$E:$E,'Job Cards'!$N:$N,A104,'Job Cards'!$G:$G,"Draft")*H104</f>
        <v/>
      </c>
      <c r="K104">
        <f>I104+J104</f>
        <v/>
      </c>
      <c r="L104">
        <f>MAX(0,G104-K104)</f>
        <v/>
      </c>
      <c r="M104" s="253">
        <f>IF(G104=0,0,K104/G104)</f>
        <v/>
      </c>
      <c r="N104">
        <f>IF(K104&gt;G104,"CAPACITY SHORTFALL",IF(M104&gt;=0.85,"WATCH","OK"))</f>
        <v/>
      </c>
    </row>
    <row r="105">
      <c r="A105" t="n">
        <v>30</v>
      </c>
      <c r="B105" s="247">
        <f>INDEX('Monthly Funding'!$B$6:$B$41,A105)</f>
        <v/>
      </c>
      <c r="C105">
        <f>'Work Centre Master'!A6</f>
        <v/>
      </c>
      <c r="D105">
        <f>'Work Centre Master'!B6</f>
        <v/>
      </c>
      <c r="E105">
        <f>'Work Centre Master'!E6</f>
        <v/>
      </c>
      <c r="F105" s="253">
        <f>'Work Centre Master'!F6</f>
        <v/>
      </c>
      <c r="G105">
        <f>E105*F105</f>
        <v/>
      </c>
      <c r="H105">
        <f>'Work Centre Master'!G6</f>
        <v/>
      </c>
      <c r="I105">
        <f>SUMIFS('Job Cards'!$E:$E,'Job Cards'!$N:$N,A105,'Job Cards'!$G:$G,"Released")*H105</f>
        <v/>
      </c>
      <c r="J105">
        <f>SUMIFS('Job Cards'!$E:$E,'Job Cards'!$N:$N,A105,'Job Cards'!$G:$G,"Draft")*H105</f>
        <v/>
      </c>
      <c r="K105">
        <f>I105+J105</f>
        <v/>
      </c>
      <c r="L105">
        <f>MAX(0,G105-K105)</f>
        <v/>
      </c>
      <c r="M105" s="253">
        <f>IF(G105=0,0,K105/G105)</f>
        <v/>
      </c>
      <c r="N105">
        <f>IF(K105&gt;G105,"CAPACITY SHORTFALL",IF(M105&gt;=0.85,"WATCH","OK"))</f>
        <v/>
      </c>
    </row>
    <row r="106">
      <c r="A106" t="n">
        <v>31</v>
      </c>
      <c r="B106" s="247">
        <f>INDEX('Monthly Funding'!$B$6:$B$41,A106)</f>
        <v/>
      </c>
      <c r="C106">
        <f>'Work Centre Master'!A6</f>
        <v/>
      </c>
      <c r="D106">
        <f>'Work Centre Master'!B6</f>
        <v/>
      </c>
      <c r="E106">
        <f>'Work Centre Master'!E6</f>
        <v/>
      </c>
      <c r="F106" s="253">
        <f>'Work Centre Master'!F6</f>
        <v/>
      </c>
      <c r="G106">
        <f>E106*F106</f>
        <v/>
      </c>
      <c r="H106">
        <f>'Work Centre Master'!G6</f>
        <v/>
      </c>
      <c r="I106">
        <f>SUMIFS('Job Cards'!$E:$E,'Job Cards'!$N:$N,A106,'Job Cards'!$G:$G,"Released")*H106</f>
        <v/>
      </c>
      <c r="J106">
        <f>SUMIFS('Job Cards'!$E:$E,'Job Cards'!$N:$N,A106,'Job Cards'!$G:$G,"Draft")*H106</f>
        <v/>
      </c>
      <c r="K106">
        <f>I106+J106</f>
        <v/>
      </c>
      <c r="L106">
        <f>MAX(0,G106-K106)</f>
        <v/>
      </c>
      <c r="M106" s="253">
        <f>IF(G106=0,0,K106/G106)</f>
        <v/>
      </c>
      <c r="N106">
        <f>IF(K106&gt;G106,"CAPACITY SHORTFALL",IF(M106&gt;=0.85,"WATCH","OK"))</f>
        <v/>
      </c>
    </row>
    <row r="107">
      <c r="A107" t="n">
        <v>32</v>
      </c>
      <c r="B107" s="247">
        <f>INDEX('Monthly Funding'!$B$6:$B$41,A107)</f>
        <v/>
      </c>
      <c r="C107">
        <f>'Work Centre Master'!A6</f>
        <v/>
      </c>
      <c r="D107">
        <f>'Work Centre Master'!B6</f>
        <v/>
      </c>
      <c r="E107">
        <f>'Work Centre Master'!E6</f>
        <v/>
      </c>
      <c r="F107" s="253">
        <f>'Work Centre Master'!F6</f>
        <v/>
      </c>
      <c r="G107">
        <f>E107*F107</f>
        <v/>
      </c>
      <c r="H107">
        <f>'Work Centre Master'!G6</f>
        <v/>
      </c>
      <c r="I107">
        <f>SUMIFS('Job Cards'!$E:$E,'Job Cards'!$N:$N,A107,'Job Cards'!$G:$G,"Released")*H107</f>
        <v/>
      </c>
      <c r="J107">
        <f>SUMIFS('Job Cards'!$E:$E,'Job Cards'!$N:$N,A107,'Job Cards'!$G:$G,"Draft")*H107</f>
        <v/>
      </c>
      <c r="K107">
        <f>I107+J107</f>
        <v/>
      </c>
      <c r="L107">
        <f>MAX(0,G107-K107)</f>
        <v/>
      </c>
      <c r="M107" s="253">
        <f>IF(G107=0,0,K107/G107)</f>
        <v/>
      </c>
      <c r="N107">
        <f>IF(K107&gt;G107,"CAPACITY SHORTFALL",IF(M107&gt;=0.85,"WATCH","OK"))</f>
        <v/>
      </c>
    </row>
    <row r="108">
      <c r="A108" t="n">
        <v>33</v>
      </c>
      <c r="B108" s="247">
        <f>INDEX('Monthly Funding'!$B$6:$B$41,A108)</f>
        <v/>
      </c>
      <c r="C108">
        <f>'Work Centre Master'!A6</f>
        <v/>
      </c>
      <c r="D108">
        <f>'Work Centre Master'!B6</f>
        <v/>
      </c>
      <c r="E108">
        <f>'Work Centre Master'!E6</f>
        <v/>
      </c>
      <c r="F108" s="253">
        <f>'Work Centre Master'!F6</f>
        <v/>
      </c>
      <c r="G108">
        <f>E108*F108</f>
        <v/>
      </c>
      <c r="H108">
        <f>'Work Centre Master'!G6</f>
        <v/>
      </c>
      <c r="I108">
        <f>SUMIFS('Job Cards'!$E:$E,'Job Cards'!$N:$N,A108,'Job Cards'!$G:$G,"Released")*H108</f>
        <v/>
      </c>
      <c r="J108">
        <f>SUMIFS('Job Cards'!$E:$E,'Job Cards'!$N:$N,A108,'Job Cards'!$G:$G,"Draft")*H108</f>
        <v/>
      </c>
      <c r="K108">
        <f>I108+J108</f>
        <v/>
      </c>
      <c r="L108">
        <f>MAX(0,G108-K108)</f>
        <v/>
      </c>
      <c r="M108" s="253">
        <f>IF(G108=0,0,K108/G108)</f>
        <v/>
      </c>
      <c r="N108">
        <f>IF(K108&gt;G108,"CAPACITY SHORTFALL",IF(M108&gt;=0.85,"WATCH","OK"))</f>
        <v/>
      </c>
    </row>
    <row r="109">
      <c r="A109" t="n">
        <v>34</v>
      </c>
      <c r="B109" s="247">
        <f>INDEX('Monthly Funding'!$B$6:$B$41,A109)</f>
        <v/>
      </c>
      <c r="C109">
        <f>'Work Centre Master'!A6</f>
        <v/>
      </c>
      <c r="D109">
        <f>'Work Centre Master'!B6</f>
        <v/>
      </c>
      <c r="E109">
        <f>'Work Centre Master'!E6</f>
        <v/>
      </c>
      <c r="F109" s="253">
        <f>'Work Centre Master'!F6</f>
        <v/>
      </c>
      <c r="G109">
        <f>E109*F109</f>
        <v/>
      </c>
      <c r="H109">
        <f>'Work Centre Master'!G6</f>
        <v/>
      </c>
      <c r="I109">
        <f>SUMIFS('Job Cards'!$E:$E,'Job Cards'!$N:$N,A109,'Job Cards'!$G:$G,"Released")*H109</f>
        <v/>
      </c>
      <c r="J109">
        <f>SUMIFS('Job Cards'!$E:$E,'Job Cards'!$N:$N,A109,'Job Cards'!$G:$G,"Draft")*H109</f>
        <v/>
      </c>
      <c r="K109">
        <f>I109+J109</f>
        <v/>
      </c>
      <c r="L109">
        <f>MAX(0,G109-K109)</f>
        <v/>
      </c>
      <c r="M109" s="253">
        <f>IF(G109=0,0,K109/G109)</f>
        <v/>
      </c>
      <c r="N109">
        <f>IF(K109&gt;G109,"CAPACITY SHORTFALL",IF(M109&gt;=0.85,"WATCH","OK"))</f>
        <v/>
      </c>
    </row>
    <row r="110">
      <c r="A110" t="n">
        <v>35</v>
      </c>
      <c r="B110" s="247">
        <f>INDEX('Monthly Funding'!$B$6:$B$41,A110)</f>
        <v/>
      </c>
      <c r="C110">
        <f>'Work Centre Master'!A6</f>
        <v/>
      </c>
      <c r="D110">
        <f>'Work Centre Master'!B6</f>
        <v/>
      </c>
      <c r="E110">
        <f>'Work Centre Master'!E6</f>
        <v/>
      </c>
      <c r="F110" s="253">
        <f>'Work Centre Master'!F6</f>
        <v/>
      </c>
      <c r="G110">
        <f>E110*F110</f>
        <v/>
      </c>
      <c r="H110">
        <f>'Work Centre Master'!G6</f>
        <v/>
      </c>
      <c r="I110">
        <f>SUMIFS('Job Cards'!$E:$E,'Job Cards'!$N:$N,A110,'Job Cards'!$G:$G,"Released")*H110</f>
        <v/>
      </c>
      <c r="J110">
        <f>SUMIFS('Job Cards'!$E:$E,'Job Cards'!$N:$N,A110,'Job Cards'!$G:$G,"Draft")*H110</f>
        <v/>
      </c>
      <c r="K110">
        <f>I110+J110</f>
        <v/>
      </c>
      <c r="L110">
        <f>MAX(0,G110-K110)</f>
        <v/>
      </c>
      <c r="M110" s="253">
        <f>IF(G110=0,0,K110/G110)</f>
        <v/>
      </c>
      <c r="N110">
        <f>IF(K110&gt;G110,"CAPACITY SHORTFALL",IF(M110&gt;=0.85,"WATCH","OK"))</f>
        <v/>
      </c>
    </row>
    <row r="111">
      <c r="A111" t="n">
        <v>36</v>
      </c>
      <c r="B111" s="247">
        <f>INDEX('Monthly Funding'!$B$6:$B$41,A111)</f>
        <v/>
      </c>
      <c r="C111">
        <f>'Work Centre Master'!A6</f>
        <v/>
      </c>
      <c r="D111">
        <f>'Work Centre Master'!B6</f>
        <v/>
      </c>
      <c r="E111">
        <f>'Work Centre Master'!E6</f>
        <v/>
      </c>
      <c r="F111" s="253">
        <f>'Work Centre Master'!F6</f>
        <v/>
      </c>
      <c r="G111">
        <f>E111*F111</f>
        <v/>
      </c>
      <c r="H111">
        <f>'Work Centre Master'!G6</f>
        <v/>
      </c>
      <c r="I111">
        <f>SUMIFS('Job Cards'!$E:$E,'Job Cards'!$N:$N,A111,'Job Cards'!$G:$G,"Released")*H111</f>
        <v/>
      </c>
      <c r="J111">
        <f>SUMIFS('Job Cards'!$E:$E,'Job Cards'!$N:$N,A111,'Job Cards'!$G:$G,"Draft")*H111</f>
        <v/>
      </c>
      <c r="K111">
        <f>I111+J111</f>
        <v/>
      </c>
      <c r="L111">
        <f>MAX(0,G111-K111)</f>
        <v/>
      </c>
      <c r="M111" s="253">
        <f>IF(G111=0,0,K111/G111)</f>
        <v/>
      </c>
      <c r="N111">
        <f>IF(K111&gt;G111,"CAPACITY SHORTFALL",IF(M111&gt;=0.85,"WATCH","OK"))</f>
        <v/>
      </c>
    </row>
    <row r="112">
      <c r="A112" t="n">
        <v>1</v>
      </c>
      <c r="B112" s="247">
        <f>INDEX('Monthly Funding'!$B$6:$B$41,A112)</f>
        <v/>
      </c>
      <c r="C112">
        <f>'Work Centre Master'!A7</f>
        <v/>
      </c>
      <c r="D112">
        <f>'Work Centre Master'!B7</f>
        <v/>
      </c>
      <c r="E112">
        <f>'Work Centre Master'!E7</f>
        <v/>
      </c>
      <c r="F112" s="253">
        <f>'Work Centre Master'!F7</f>
        <v/>
      </c>
      <c r="G112">
        <f>E112*F112</f>
        <v/>
      </c>
      <c r="H112">
        <f>'Work Centre Master'!G7</f>
        <v/>
      </c>
      <c r="I112">
        <f>SUMIFS('Job Cards'!$E:$E,'Job Cards'!$N:$N,A112,'Job Cards'!$G:$G,"Released")*H112</f>
        <v/>
      </c>
      <c r="J112">
        <f>SUMIFS('Job Cards'!$E:$E,'Job Cards'!$N:$N,A112,'Job Cards'!$G:$G,"Draft")*H112</f>
        <v/>
      </c>
      <c r="K112">
        <f>I112+J112</f>
        <v/>
      </c>
      <c r="L112">
        <f>MAX(0,G112-K112)</f>
        <v/>
      </c>
      <c r="M112" s="253">
        <f>IF(G112=0,0,K112/G112)</f>
        <v/>
      </c>
      <c r="N112">
        <f>IF(K112&gt;G112,"CAPACITY SHORTFALL",IF(M112&gt;=0.85,"WATCH","OK"))</f>
        <v/>
      </c>
    </row>
    <row r="113">
      <c r="A113" t="n">
        <v>2</v>
      </c>
      <c r="B113" s="247">
        <f>INDEX('Monthly Funding'!$B$6:$B$41,A113)</f>
        <v/>
      </c>
      <c r="C113">
        <f>'Work Centre Master'!A7</f>
        <v/>
      </c>
      <c r="D113">
        <f>'Work Centre Master'!B7</f>
        <v/>
      </c>
      <c r="E113">
        <f>'Work Centre Master'!E7</f>
        <v/>
      </c>
      <c r="F113" s="253">
        <f>'Work Centre Master'!F7</f>
        <v/>
      </c>
      <c r="G113">
        <f>E113*F113</f>
        <v/>
      </c>
      <c r="H113">
        <f>'Work Centre Master'!G7</f>
        <v/>
      </c>
      <c r="I113">
        <f>SUMIFS('Job Cards'!$E:$E,'Job Cards'!$N:$N,A113,'Job Cards'!$G:$G,"Released")*H113</f>
        <v/>
      </c>
      <c r="J113">
        <f>SUMIFS('Job Cards'!$E:$E,'Job Cards'!$N:$N,A113,'Job Cards'!$G:$G,"Draft")*H113</f>
        <v/>
      </c>
      <c r="K113">
        <f>I113+J113</f>
        <v/>
      </c>
      <c r="L113">
        <f>MAX(0,G113-K113)</f>
        <v/>
      </c>
      <c r="M113" s="253">
        <f>IF(G113=0,0,K113/G113)</f>
        <v/>
      </c>
      <c r="N113">
        <f>IF(K113&gt;G113,"CAPACITY SHORTFALL",IF(M113&gt;=0.85,"WATCH","OK"))</f>
        <v/>
      </c>
    </row>
    <row r="114">
      <c r="A114" t="n">
        <v>3</v>
      </c>
      <c r="B114" s="247">
        <f>INDEX('Monthly Funding'!$B$6:$B$41,A114)</f>
        <v/>
      </c>
      <c r="C114">
        <f>'Work Centre Master'!A7</f>
        <v/>
      </c>
      <c r="D114">
        <f>'Work Centre Master'!B7</f>
        <v/>
      </c>
      <c r="E114">
        <f>'Work Centre Master'!E7</f>
        <v/>
      </c>
      <c r="F114" s="253">
        <f>'Work Centre Master'!F7</f>
        <v/>
      </c>
      <c r="G114">
        <f>E114*F114</f>
        <v/>
      </c>
      <c r="H114">
        <f>'Work Centre Master'!G7</f>
        <v/>
      </c>
      <c r="I114">
        <f>SUMIFS('Job Cards'!$E:$E,'Job Cards'!$N:$N,A114,'Job Cards'!$G:$G,"Released")*H114</f>
        <v/>
      </c>
      <c r="J114">
        <f>SUMIFS('Job Cards'!$E:$E,'Job Cards'!$N:$N,A114,'Job Cards'!$G:$G,"Draft")*H114</f>
        <v/>
      </c>
      <c r="K114">
        <f>I114+J114</f>
        <v/>
      </c>
      <c r="L114">
        <f>MAX(0,G114-K114)</f>
        <v/>
      </c>
      <c r="M114" s="253">
        <f>IF(G114=0,0,K114/G114)</f>
        <v/>
      </c>
      <c r="N114">
        <f>IF(K114&gt;G114,"CAPACITY SHORTFALL",IF(M114&gt;=0.85,"WATCH","OK"))</f>
        <v/>
      </c>
    </row>
    <row r="115">
      <c r="A115" t="n">
        <v>4</v>
      </c>
      <c r="B115" s="247">
        <f>INDEX('Monthly Funding'!$B$6:$B$41,A115)</f>
        <v/>
      </c>
      <c r="C115">
        <f>'Work Centre Master'!A7</f>
        <v/>
      </c>
      <c r="D115">
        <f>'Work Centre Master'!B7</f>
        <v/>
      </c>
      <c r="E115">
        <f>'Work Centre Master'!E7</f>
        <v/>
      </c>
      <c r="F115" s="253">
        <f>'Work Centre Master'!F7</f>
        <v/>
      </c>
      <c r="G115">
        <f>E115*F115</f>
        <v/>
      </c>
      <c r="H115">
        <f>'Work Centre Master'!G7</f>
        <v/>
      </c>
      <c r="I115">
        <f>SUMIFS('Job Cards'!$E:$E,'Job Cards'!$N:$N,A115,'Job Cards'!$G:$G,"Released")*H115</f>
        <v/>
      </c>
      <c r="J115">
        <f>SUMIFS('Job Cards'!$E:$E,'Job Cards'!$N:$N,A115,'Job Cards'!$G:$G,"Draft")*H115</f>
        <v/>
      </c>
      <c r="K115">
        <f>I115+J115</f>
        <v/>
      </c>
      <c r="L115">
        <f>MAX(0,G115-K115)</f>
        <v/>
      </c>
      <c r="M115" s="253">
        <f>IF(G115=0,0,K115/G115)</f>
        <v/>
      </c>
      <c r="N115">
        <f>IF(K115&gt;G115,"CAPACITY SHORTFALL",IF(M115&gt;=0.85,"WATCH","OK"))</f>
        <v/>
      </c>
    </row>
    <row r="116">
      <c r="A116" t="n">
        <v>5</v>
      </c>
      <c r="B116" s="247">
        <f>INDEX('Monthly Funding'!$B$6:$B$41,A116)</f>
        <v/>
      </c>
      <c r="C116">
        <f>'Work Centre Master'!A7</f>
        <v/>
      </c>
      <c r="D116">
        <f>'Work Centre Master'!B7</f>
        <v/>
      </c>
      <c r="E116">
        <f>'Work Centre Master'!E7</f>
        <v/>
      </c>
      <c r="F116" s="253">
        <f>'Work Centre Master'!F7</f>
        <v/>
      </c>
      <c r="G116">
        <f>E116*F116</f>
        <v/>
      </c>
      <c r="H116">
        <f>'Work Centre Master'!G7</f>
        <v/>
      </c>
      <c r="I116">
        <f>SUMIFS('Job Cards'!$E:$E,'Job Cards'!$N:$N,A116,'Job Cards'!$G:$G,"Released")*H116</f>
        <v/>
      </c>
      <c r="J116">
        <f>SUMIFS('Job Cards'!$E:$E,'Job Cards'!$N:$N,A116,'Job Cards'!$G:$G,"Draft")*H116</f>
        <v/>
      </c>
      <c r="K116">
        <f>I116+J116</f>
        <v/>
      </c>
      <c r="L116">
        <f>MAX(0,G116-K116)</f>
        <v/>
      </c>
      <c r="M116" s="253">
        <f>IF(G116=0,0,K116/G116)</f>
        <v/>
      </c>
      <c r="N116">
        <f>IF(K116&gt;G116,"CAPACITY SHORTFALL",IF(M116&gt;=0.85,"WATCH","OK"))</f>
        <v/>
      </c>
    </row>
    <row r="117">
      <c r="A117" t="n">
        <v>6</v>
      </c>
      <c r="B117" s="247">
        <f>INDEX('Monthly Funding'!$B$6:$B$41,A117)</f>
        <v/>
      </c>
      <c r="C117">
        <f>'Work Centre Master'!A7</f>
        <v/>
      </c>
      <c r="D117">
        <f>'Work Centre Master'!B7</f>
        <v/>
      </c>
      <c r="E117">
        <f>'Work Centre Master'!E7</f>
        <v/>
      </c>
      <c r="F117" s="253">
        <f>'Work Centre Master'!F7</f>
        <v/>
      </c>
      <c r="G117">
        <f>E117*F117</f>
        <v/>
      </c>
      <c r="H117">
        <f>'Work Centre Master'!G7</f>
        <v/>
      </c>
      <c r="I117">
        <f>SUMIFS('Job Cards'!$E:$E,'Job Cards'!$N:$N,A117,'Job Cards'!$G:$G,"Released")*H117</f>
        <v/>
      </c>
      <c r="J117">
        <f>SUMIFS('Job Cards'!$E:$E,'Job Cards'!$N:$N,A117,'Job Cards'!$G:$G,"Draft")*H117</f>
        <v/>
      </c>
      <c r="K117">
        <f>I117+J117</f>
        <v/>
      </c>
      <c r="L117">
        <f>MAX(0,G117-K117)</f>
        <v/>
      </c>
      <c r="M117" s="253">
        <f>IF(G117=0,0,K117/G117)</f>
        <v/>
      </c>
      <c r="N117">
        <f>IF(K117&gt;G117,"CAPACITY SHORTFALL",IF(M117&gt;=0.85,"WATCH","OK"))</f>
        <v/>
      </c>
    </row>
    <row r="118">
      <c r="A118" t="n">
        <v>7</v>
      </c>
      <c r="B118" s="247">
        <f>INDEX('Monthly Funding'!$B$6:$B$41,A118)</f>
        <v/>
      </c>
      <c r="C118">
        <f>'Work Centre Master'!A7</f>
        <v/>
      </c>
      <c r="D118">
        <f>'Work Centre Master'!B7</f>
        <v/>
      </c>
      <c r="E118">
        <f>'Work Centre Master'!E7</f>
        <v/>
      </c>
      <c r="F118" s="253">
        <f>'Work Centre Master'!F7</f>
        <v/>
      </c>
      <c r="G118">
        <f>E118*F118</f>
        <v/>
      </c>
      <c r="H118">
        <f>'Work Centre Master'!G7</f>
        <v/>
      </c>
      <c r="I118">
        <f>SUMIFS('Job Cards'!$E:$E,'Job Cards'!$N:$N,A118,'Job Cards'!$G:$G,"Released")*H118</f>
        <v/>
      </c>
      <c r="J118">
        <f>SUMIFS('Job Cards'!$E:$E,'Job Cards'!$N:$N,A118,'Job Cards'!$G:$G,"Draft")*H118</f>
        <v/>
      </c>
      <c r="K118">
        <f>I118+J118</f>
        <v/>
      </c>
      <c r="L118">
        <f>MAX(0,G118-K118)</f>
        <v/>
      </c>
      <c r="M118" s="253">
        <f>IF(G118=0,0,K118/G118)</f>
        <v/>
      </c>
      <c r="N118">
        <f>IF(K118&gt;G118,"CAPACITY SHORTFALL",IF(M118&gt;=0.85,"WATCH","OK"))</f>
        <v/>
      </c>
    </row>
    <row r="119">
      <c r="A119" t="n">
        <v>8</v>
      </c>
      <c r="B119" s="247">
        <f>INDEX('Monthly Funding'!$B$6:$B$41,A119)</f>
        <v/>
      </c>
      <c r="C119">
        <f>'Work Centre Master'!A7</f>
        <v/>
      </c>
      <c r="D119">
        <f>'Work Centre Master'!B7</f>
        <v/>
      </c>
      <c r="E119">
        <f>'Work Centre Master'!E7</f>
        <v/>
      </c>
      <c r="F119" s="253">
        <f>'Work Centre Master'!F7</f>
        <v/>
      </c>
      <c r="G119">
        <f>E119*F119</f>
        <v/>
      </c>
      <c r="H119">
        <f>'Work Centre Master'!G7</f>
        <v/>
      </c>
      <c r="I119">
        <f>SUMIFS('Job Cards'!$E:$E,'Job Cards'!$N:$N,A119,'Job Cards'!$G:$G,"Released")*H119</f>
        <v/>
      </c>
      <c r="J119">
        <f>SUMIFS('Job Cards'!$E:$E,'Job Cards'!$N:$N,A119,'Job Cards'!$G:$G,"Draft")*H119</f>
        <v/>
      </c>
      <c r="K119">
        <f>I119+J119</f>
        <v/>
      </c>
      <c r="L119">
        <f>MAX(0,G119-K119)</f>
        <v/>
      </c>
      <c r="M119" s="253">
        <f>IF(G119=0,0,K119/G119)</f>
        <v/>
      </c>
      <c r="N119">
        <f>IF(K119&gt;G119,"CAPACITY SHORTFALL",IF(M119&gt;=0.85,"WATCH","OK"))</f>
        <v/>
      </c>
    </row>
    <row r="120">
      <c r="A120" t="n">
        <v>9</v>
      </c>
      <c r="B120" s="247">
        <f>INDEX('Monthly Funding'!$B$6:$B$41,A120)</f>
        <v/>
      </c>
      <c r="C120">
        <f>'Work Centre Master'!A7</f>
        <v/>
      </c>
      <c r="D120">
        <f>'Work Centre Master'!B7</f>
        <v/>
      </c>
      <c r="E120">
        <f>'Work Centre Master'!E7</f>
        <v/>
      </c>
      <c r="F120" s="253">
        <f>'Work Centre Master'!F7</f>
        <v/>
      </c>
      <c r="G120">
        <f>E120*F120</f>
        <v/>
      </c>
      <c r="H120">
        <f>'Work Centre Master'!G7</f>
        <v/>
      </c>
      <c r="I120">
        <f>SUMIFS('Job Cards'!$E:$E,'Job Cards'!$N:$N,A120,'Job Cards'!$G:$G,"Released")*H120</f>
        <v/>
      </c>
      <c r="J120">
        <f>SUMIFS('Job Cards'!$E:$E,'Job Cards'!$N:$N,A120,'Job Cards'!$G:$G,"Draft")*H120</f>
        <v/>
      </c>
      <c r="K120">
        <f>I120+J120</f>
        <v/>
      </c>
      <c r="L120">
        <f>MAX(0,G120-K120)</f>
        <v/>
      </c>
      <c r="M120" s="253">
        <f>IF(G120=0,0,K120/G120)</f>
        <v/>
      </c>
      <c r="N120">
        <f>IF(K120&gt;G120,"CAPACITY SHORTFALL",IF(M120&gt;=0.85,"WATCH","OK"))</f>
        <v/>
      </c>
    </row>
    <row r="121">
      <c r="A121" t="n">
        <v>10</v>
      </c>
      <c r="B121" s="247">
        <f>INDEX('Monthly Funding'!$B$6:$B$41,A121)</f>
        <v/>
      </c>
      <c r="C121">
        <f>'Work Centre Master'!A7</f>
        <v/>
      </c>
      <c r="D121">
        <f>'Work Centre Master'!B7</f>
        <v/>
      </c>
      <c r="E121">
        <f>'Work Centre Master'!E7</f>
        <v/>
      </c>
      <c r="F121" s="253">
        <f>'Work Centre Master'!F7</f>
        <v/>
      </c>
      <c r="G121">
        <f>E121*F121</f>
        <v/>
      </c>
      <c r="H121">
        <f>'Work Centre Master'!G7</f>
        <v/>
      </c>
      <c r="I121">
        <f>SUMIFS('Job Cards'!$E:$E,'Job Cards'!$N:$N,A121,'Job Cards'!$G:$G,"Released")*H121</f>
        <v/>
      </c>
      <c r="J121">
        <f>SUMIFS('Job Cards'!$E:$E,'Job Cards'!$N:$N,A121,'Job Cards'!$G:$G,"Draft")*H121</f>
        <v/>
      </c>
      <c r="K121">
        <f>I121+J121</f>
        <v/>
      </c>
      <c r="L121">
        <f>MAX(0,G121-K121)</f>
        <v/>
      </c>
      <c r="M121" s="253">
        <f>IF(G121=0,0,K121/G121)</f>
        <v/>
      </c>
      <c r="N121">
        <f>IF(K121&gt;G121,"CAPACITY SHORTFALL",IF(M121&gt;=0.85,"WATCH","OK"))</f>
        <v/>
      </c>
    </row>
    <row r="122">
      <c r="A122" t="n">
        <v>11</v>
      </c>
      <c r="B122" s="247">
        <f>INDEX('Monthly Funding'!$B$6:$B$41,A122)</f>
        <v/>
      </c>
      <c r="C122">
        <f>'Work Centre Master'!A7</f>
        <v/>
      </c>
      <c r="D122">
        <f>'Work Centre Master'!B7</f>
        <v/>
      </c>
      <c r="E122">
        <f>'Work Centre Master'!E7</f>
        <v/>
      </c>
      <c r="F122" s="253">
        <f>'Work Centre Master'!F7</f>
        <v/>
      </c>
      <c r="G122">
        <f>E122*F122</f>
        <v/>
      </c>
      <c r="H122">
        <f>'Work Centre Master'!G7</f>
        <v/>
      </c>
      <c r="I122">
        <f>SUMIFS('Job Cards'!$E:$E,'Job Cards'!$N:$N,A122,'Job Cards'!$G:$G,"Released")*H122</f>
        <v/>
      </c>
      <c r="J122">
        <f>SUMIFS('Job Cards'!$E:$E,'Job Cards'!$N:$N,A122,'Job Cards'!$G:$G,"Draft")*H122</f>
        <v/>
      </c>
      <c r="K122">
        <f>I122+J122</f>
        <v/>
      </c>
      <c r="L122">
        <f>MAX(0,G122-K122)</f>
        <v/>
      </c>
      <c r="M122" s="253">
        <f>IF(G122=0,0,K122/G122)</f>
        <v/>
      </c>
      <c r="N122">
        <f>IF(K122&gt;G122,"CAPACITY SHORTFALL",IF(M122&gt;=0.85,"WATCH","OK"))</f>
        <v/>
      </c>
    </row>
    <row r="123">
      <c r="A123" t="n">
        <v>12</v>
      </c>
      <c r="B123" s="247">
        <f>INDEX('Monthly Funding'!$B$6:$B$41,A123)</f>
        <v/>
      </c>
      <c r="C123">
        <f>'Work Centre Master'!A7</f>
        <v/>
      </c>
      <c r="D123">
        <f>'Work Centre Master'!B7</f>
        <v/>
      </c>
      <c r="E123">
        <f>'Work Centre Master'!E7</f>
        <v/>
      </c>
      <c r="F123" s="253">
        <f>'Work Centre Master'!F7</f>
        <v/>
      </c>
      <c r="G123">
        <f>E123*F123</f>
        <v/>
      </c>
      <c r="H123">
        <f>'Work Centre Master'!G7</f>
        <v/>
      </c>
      <c r="I123">
        <f>SUMIFS('Job Cards'!$E:$E,'Job Cards'!$N:$N,A123,'Job Cards'!$G:$G,"Released")*H123</f>
        <v/>
      </c>
      <c r="J123">
        <f>SUMIFS('Job Cards'!$E:$E,'Job Cards'!$N:$N,A123,'Job Cards'!$G:$G,"Draft")*H123</f>
        <v/>
      </c>
      <c r="K123">
        <f>I123+J123</f>
        <v/>
      </c>
      <c r="L123">
        <f>MAX(0,G123-K123)</f>
        <v/>
      </c>
      <c r="M123" s="253">
        <f>IF(G123=0,0,K123/G123)</f>
        <v/>
      </c>
      <c r="N123">
        <f>IF(K123&gt;G123,"CAPACITY SHORTFALL",IF(M123&gt;=0.85,"WATCH","OK"))</f>
        <v/>
      </c>
    </row>
    <row r="124">
      <c r="A124" t="n">
        <v>13</v>
      </c>
      <c r="B124" s="247">
        <f>INDEX('Monthly Funding'!$B$6:$B$41,A124)</f>
        <v/>
      </c>
      <c r="C124">
        <f>'Work Centre Master'!A7</f>
        <v/>
      </c>
      <c r="D124">
        <f>'Work Centre Master'!B7</f>
        <v/>
      </c>
      <c r="E124">
        <f>'Work Centre Master'!E7</f>
        <v/>
      </c>
      <c r="F124" s="253">
        <f>'Work Centre Master'!F7</f>
        <v/>
      </c>
      <c r="G124">
        <f>E124*F124</f>
        <v/>
      </c>
      <c r="H124">
        <f>'Work Centre Master'!G7</f>
        <v/>
      </c>
      <c r="I124">
        <f>SUMIFS('Job Cards'!$E:$E,'Job Cards'!$N:$N,A124,'Job Cards'!$G:$G,"Released")*H124</f>
        <v/>
      </c>
      <c r="J124">
        <f>SUMIFS('Job Cards'!$E:$E,'Job Cards'!$N:$N,A124,'Job Cards'!$G:$G,"Draft")*H124</f>
        <v/>
      </c>
      <c r="K124">
        <f>I124+J124</f>
        <v/>
      </c>
      <c r="L124">
        <f>MAX(0,G124-K124)</f>
        <v/>
      </c>
      <c r="M124" s="253">
        <f>IF(G124=0,0,K124/G124)</f>
        <v/>
      </c>
      <c r="N124">
        <f>IF(K124&gt;G124,"CAPACITY SHORTFALL",IF(M124&gt;=0.85,"WATCH","OK"))</f>
        <v/>
      </c>
    </row>
    <row r="125">
      <c r="A125" t="n">
        <v>14</v>
      </c>
      <c r="B125" s="247">
        <f>INDEX('Monthly Funding'!$B$6:$B$41,A125)</f>
        <v/>
      </c>
      <c r="C125">
        <f>'Work Centre Master'!A7</f>
        <v/>
      </c>
      <c r="D125">
        <f>'Work Centre Master'!B7</f>
        <v/>
      </c>
      <c r="E125">
        <f>'Work Centre Master'!E7</f>
        <v/>
      </c>
      <c r="F125" s="253">
        <f>'Work Centre Master'!F7</f>
        <v/>
      </c>
      <c r="G125">
        <f>E125*F125</f>
        <v/>
      </c>
      <c r="H125">
        <f>'Work Centre Master'!G7</f>
        <v/>
      </c>
      <c r="I125">
        <f>SUMIFS('Job Cards'!$E:$E,'Job Cards'!$N:$N,A125,'Job Cards'!$G:$G,"Released")*H125</f>
        <v/>
      </c>
      <c r="J125">
        <f>SUMIFS('Job Cards'!$E:$E,'Job Cards'!$N:$N,A125,'Job Cards'!$G:$G,"Draft")*H125</f>
        <v/>
      </c>
      <c r="K125">
        <f>I125+J125</f>
        <v/>
      </c>
      <c r="L125">
        <f>MAX(0,G125-K125)</f>
        <v/>
      </c>
      <c r="M125" s="253">
        <f>IF(G125=0,0,K125/G125)</f>
        <v/>
      </c>
      <c r="N125">
        <f>IF(K125&gt;G125,"CAPACITY SHORTFALL",IF(M125&gt;=0.85,"WATCH","OK"))</f>
        <v/>
      </c>
    </row>
    <row r="126">
      <c r="A126" t="n">
        <v>15</v>
      </c>
      <c r="B126" s="247">
        <f>INDEX('Monthly Funding'!$B$6:$B$41,A126)</f>
        <v/>
      </c>
      <c r="C126">
        <f>'Work Centre Master'!A7</f>
        <v/>
      </c>
      <c r="D126">
        <f>'Work Centre Master'!B7</f>
        <v/>
      </c>
      <c r="E126">
        <f>'Work Centre Master'!E7</f>
        <v/>
      </c>
      <c r="F126" s="253">
        <f>'Work Centre Master'!F7</f>
        <v/>
      </c>
      <c r="G126">
        <f>E126*F126</f>
        <v/>
      </c>
      <c r="H126">
        <f>'Work Centre Master'!G7</f>
        <v/>
      </c>
      <c r="I126">
        <f>SUMIFS('Job Cards'!$E:$E,'Job Cards'!$N:$N,A126,'Job Cards'!$G:$G,"Released")*H126</f>
        <v/>
      </c>
      <c r="J126">
        <f>SUMIFS('Job Cards'!$E:$E,'Job Cards'!$N:$N,A126,'Job Cards'!$G:$G,"Draft")*H126</f>
        <v/>
      </c>
      <c r="K126">
        <f>I126+J126</f>
        <v/>
      </c>
      <c r="L126">
        <f>MAX(0,G126-K126)</f>
        <v/>
      </c>
      <c r="M126" s="253">
        <f>IF(G126=0,0,K126/G126)</f>
        <v/>
      </c>
      <c r="N126">
        <f>IF(K126&gt;G126,"CAPACITY SHORTFALL",IF(M126&gt;=0.85,"WATCH","OK"))</f>
        <v/>
      </c>
    </row>
    <row r="127">
      <c r="A127" t="n">
        <v>16</v>
      </c>
      <c r="B127" s="247">
        <f>INDEX('Monthly Funding'!$B$6:$B$41,A127)</f>
        <v/>
      </c>
      <c r="C127">
        <f>'Work Centre Master'!A7</f>
        <v/>
      </c>
      <c r="D127">
        <f>'Work Centre Master'!B7</f>
        <v/>
      </c>
      <c r="E127">
        <f>'Work Centre Master'!E7</f>
        <v/>
      </c>
      <c r="F127" s="253">
        <f>'Work Centre Master'!F7</f>
        <v/>
      </c>
      <c r="G127">
        <f>E127*F127</f>
        <v/>
      </c>
      <c r="H127">
        <f>'Work Centre Master'!G7</f>
        <v/>
      </c>
      <c r="I127">
        <f>SUMIFS('Job Cards'!$E:$E,'Job Cards'!$N:$N,A127,'Job Cards'!$G:$G,"Released")*H127</f>
        <v/>
      </c>
      <c r="J127">
        <f>SUMIFS('Job Cards'!$E:$E,'Job Cards'!$N:$N,A127,'Job Cards'!$G:$G,"Draft")*H127</f>
        <v/>
      </c>
      <c r="K127">
        <f>I127+J127</f>
        <v/>
      </c>
      <c r="L127">
        <f>MAX(0,G127-K127)</f>
        <v/>
      </c>
      <c r="M127" s="253">
        <f>IF(G127=0,0,K127/G127)</f>
        <v/>
      </c>
      <c r="N127">
        <f>IF(K127&gt;G127,"CAPACITY SHORTFALL",IF(M127&gt;=0.85,"WATCH","OK"))</f>
        <v/>
      </c>
    </row>
    <row r="128">
      <c r="A128" t="n">
        <v>17</v>
      </c>
      <c r="B128" s="247">
        <f>INDEX('Monthly Funding'!$B$6:$B$41,A128)</f>
        <v/>
      </c>
      <c r="C128">
        <f>'Work Centre Master'!A7</f>
        <v/>
      </c>
      <c r="D128">
        <f>'Work Centre Master'!B7</f>
        <v/>
      </c>
      <c r="E128">
        <f>'Work Centre Master'!E7</f>
        <v/>
      </c>
      <c r="F128" s="253">
        <f>'Work Centre Master'!F7</f>
        <v/>
      </c>
      <c r="G128">
        <f>E128*F128</f>
        <v/>
      </c>
      <c r="H128">
        <f>'Work Centre Master'!G7</f>
        <v/>
      </c>
      <c r="I128">
        <f>SUMIFS('Job Cards'!$E:$E,'Job Cards'!$N:$N,A128,'Job Cards'!$G:$G,"Released")*H128</f>
        <v/>
      </c>
      <c r="J128">
        <f>SUMIFS('Job Cards'!$E:$E,'Job Cards'!$N:$N,A128,'Job Cards'!$G:$G,"Draft")*H128</f>
        <v/>
      </c>
      <c r="K128">
        <f>I128+J128</f>
        <v/>
      </c>
      <c r="L128">
        <f>MAX(0,G128-K128)</f>
        <v/>
      </c>
      <c r="M128" s="253">
        <f>IF(G128=0,0,K128/G128)</f>
        <v/>
      </c>
      <c r="N128">
        <f>IF(K128&gt;G128,"CAPACITY SHORTFALL",IF(M128&gt;=0.85,"WATCH","OK"))</f>
        <v/>
      </c>
    </row>
    <row r="129">
      <c r="A129" t="n">
        <v>18</v>
      </c>
      <c r="B129" s="247">
        <f>INDEX('Monthly Funding'!$B$6:$B$41,A129)</f>
        <v/>
      </c>
      <c r="C129">
        <f>'Work Centre Master'!A7</f>
        <v/>
      </c>
      <c r="D129">
        <f>'Work Centre Master'!B7</f>
        <v/>
      </c>
      <c r="E129">
        <f>'Work Centre Master'!E7</f>
        <v/>
      </c>
      <c r="F129" s="253">
        <f>'Work Centre Master'!F7</f>
        <v/>
      </c>
      <c r="G129">
        <f>E129*F129</f>
        <v/>
      </c>
      <c r="H129">
        <f>'Work Centre Master'!G7</f>
        <v/>
      </c>
      <c r="I129">
        <f>SUMIFS('Job Cards'!$E:$E,'Job Cards'!$N:$N,A129,'Job Cards'!$G:$G,"Released")*H129</f>
        <v/>
      </c>
      <c r="J129">
        <f>SUMIFS('Job Cards'!$E:$E,'Job Cards'!$N:$N,A129,'Job Cards'!$G:$G,"Draft")*H129</f>
        <v/>
      </c>
      <c r="K129">
        <f>I129+J129</f>
        <v/>
      </c>
      <c r="L129">
        <f>MAX(0,G129-K129)</f>
        <v/>
      </c>
      <c r="M129" s="253">
        <f>IF(G129=0,0,K129/G129)</f>
        <v/>
      </c>
      <c r="N129">
        <f>IF(K129&gt;G129,"CAPACITY SHORTFALL",IF(M129&gt;=0.85,"WATCH","OK"))</f>
        <v/>
      </c>
    </row>
    <row r="130">
      <c r="A130" t="n">
        <v>19</v>
      </c>
      <c r="B130" s="247">
        <f>INDEX('Monthly Funding'!$B$6:$B$41,A130)</f>
        <v/>
      </c>
      <c r="C130">
        <f>'Work Centre Master'!A7</f>
        <v/>
      </c>
      <c r="D130">
        <f>'Work Centre Master'!B7</f>
        <v/>
      </c>
      <c r="E130">
        <f>'Work Centre Master'!E7</f>
        <v/>
      </c>
      <c r="F130" s="253">
        <f>'Work Centre Master'!F7</f>
        <v/>
      </c>
      <c r="G130">
        <f>E130*F130</f>
        <v/>
      </c>
      <c r="H130">
        <f>'Work Centre Master'!G7</f>
        <v/>
      </c>
      <c r="I130">
        <f>SUMIFS('Job Cards'!$E:$E,'Job Cards'!$N:$N,A130,'Job Cards'!$G:$G,"Released")*H130</f>
        <v/>
      </c>
      <c r="J130">
        <f>SUMIFS('Job Cards'!$E:$E,'Job Cards'!$N:$N,A130,'Job Cards'!$G:$G,"Draft")*H130</f>
        <v/>
      </c>
      <c r="K130">
        <f>I130+J130</f>
        <v/>
      </c>
      <c r="L130">
        <f>MAX(0,G130-K130)</f>
        <v/>
      </c>
      <c r="M130" s="253">
        <f>IF(G130=0,0,K130/G130)</f>
        <v/>
      </c>
      <c r="N130">
        <f>IF(K130&gt;G130,"CAPACITY SHORTFALL",IF(M130&gt;=0.85,"WATCH","OK"))</f>
        <v/>
      </c>
    </row>
    <row r="131">
      <c r="A131" t="n">
        <v>20</v>
      </c>
      <c r="B131" s="247">
        <f>INDEX('Monthly Funding'!$B$6:$B$41,A131)</f>
        <v/>
      </c>
      <c r="C131">
        <f>'Work Centre Master'!A7</f>
        <v/>
      </c>
      <c r="D131">
        <f>'Work Centre Master'!B7</f>
        <v/>
      </c>
      <c r="E131">
        <f>'Work Centre Master'!E7</f>
        <v/>
      </c>
      <c r="F131" s="253">
        <f>'Work Centre Master'!F7</f>
        <v/>
      </c>
      <c r="G131">
        <f>E131*F131</f>
        <v/>
      </c>
      <c r="H131">
        <f>'Work Centre Master'!G7</f>
        <v/>
      </c>
      <c r="I131">
        <f>SUMIFS('Job Cards'!$E:$E,'Job Cards'!$N:$N,A131,'Job Cards'!$G:$G,"Released")*H131</f>
        <v/>
      </c>
      <c r="J131">
        <f>SUMIFS('Job Cards'!$E:$E,'Job Cards'!$N:$N,A131,'Job Cards'!$G:$G,"Draft")*H131</f>
        <v/>
      </c>
      <c r="K131">
        <f>I131+J131</f>
        <v/>
      </c>
      <c r="L131">
        <f>MAX(0,G131-K131)</f>
        <v/>
      </c>
      <c r="M131" s="253">
        <f>IF(G131=0,0,K131/G131)</f>
        <v/>
      </c>
      <c r="N131">
        <f>IF(K131&gt;G131,"CAPACITY SHORTFALL",IF(M131&gt;=0.85,"WATCH","OK"))</f>
        <v/>
      </c>
    </row>
    <row r="132">
      <c r="A132" t="n">
        <v>21</v>
      </c>
      <c r="B132" s="247">
        <f>INDEX('Monthly Funding'!$B$6:$B$41,A132)</f>
        <v/>
      </c>
      <c r="C132">
        <f>'Work Centre Master'!A7</f>
        <v/>
      </c>
      <c r="D132">
        <f>'Work Centre Master'!B7</f>
        <v/>
      </c>
      <c r="E132">
        <f>'Work Centre Master'!E7</f>
        <v/>
      </c>
      <c r="F132" s="253">
        <f>'Work Centre Master'!F7</f>
        <v/>
      </c>
      <c r="G132">
        <f>E132*F132</f>
        <v/>
      </c>
      <c r="H132">
        <f>'Work Centre Master'!G7</f>
        <v/>
      </c>
      <c r="I132">
        <f>SUMIFS('Job Cards'!$E:$E,'Job Cards'!$N:$N,A132,'Job Cards'!$G:$G,"Released")*H132</f>
        <v/>
      </c>
      <c r="J132">
        <f>SUMIFS('Job Cards'!$E:$E,'Job Cards'!$N:$N,A132,'Job Cards'!$G:$G,"Draft")*H132</f>
        <v/>
      </c>
      <c r="K132">
        <f>I132+J132</f>
        <v/>
      </c>
      <c r="L132">
        <f>MAX(0,G132-K132)</f>
        <v/>
      </c>
      <c r="M132" s="253">
        <f>IF(G132=0,0,K132/G132)</f>
        <v/>
      </c>
      <c r="N132">
        <f>IF(K132&gt;G132,"CAPACITY SHORTFALL",IF(M132&gt;=0.85,"WATCH","OK"))</f>
        <v/>
      </c>
    </row>
    <row r="133">
      <c r="A133" t="n">
        <v>22</v>
      </c>
      <c r="B133" s="247">
        <f>INDEX('Monthly Funding'!$B$6:$B$41,A133)</f>
        <v/>
      </c>
      <c r="C133">
        <f>'Work Centre Master'!A7</f>
        <v/>
      </c>
      <c r="D133">
        <f>'Work Centre Master'!B7</f>
        <v/>
      </c>
      <c r="E133">
        <f>'Work Centre Master'!E7</f>
        <v/>
      </c>
      <c r="F133" s="253">
        <f>'Work Centre Master'!F7</f>
        <v/>
      </c>
      <c r="G133">
        <f>E133*F133</f>
        <v/>
      </c>
      <c r="H133">
        <f>'Work Centre Master'!G7</f>
        <v/>
      </c>
      <c r="I133">
        <f>SUMIFS('Job Cards'!$E:$E,'Job Cards'!$N:$N,A133,'Job Cards'!$G:$G,"Released")*H133</f>
        <v/>
      </c>
      <c r="J133">
        <f>SUMIFS('Job Cards'!$E:$E,'Job Cards'!$N:$N,A133,'Job Cards'!$G:$G,"Draft")*H133</f>
        <v/>
      </c>
      <c r="K133">
        <f>I133+J133</f>
        <v/>
      </c>
      <c r="L133">
        <f>MAX(0,G133-K133)</f>
        <v/>
      </c>
      <c r="M133" s="253">
        <f>IF(G133=0,0,K133/G133)</f>
        <v/>
      </c>
      <c r="N133">
        <f>IF(K133&gt;G133,"CAPACITY SHORTFALL",IF(M133&gt;=0.85,"WATCH","OK"))</f>
        <v/>
      </c>
    </row>
    <row r="134">
      <c r="A134" t="n">
        <v>23</v>
      </c>
      <c r="B134" s="247">
        <f>INDEX('Monthly Funding'!$B$6:$B$41,A134)</f>
        <v/>
      </c>
      <c r="C134">
        <f>'Work Centre Master'!A7</f>
        <v/>
      </c>
      <c r="D134">
        <f>'Work Centre Master'!B7</f>
        <v/>
      </c>
      <c r="E134">
        <f>'Work Centre Master'!E7</f>
        <v/>
      </c>
      <c r="F134" s="253">
        <f>'Work Centre Master'!F7</f>
        <v/>
      </c>
      <c r="G134">
        <f>E134*F134</f>
        <v/>
      </c>
      <c r="H134">
        <f>'Work Centre Master'!G7</f>
        <v/>
      </c>
      <c r="I134">
        <f>SUMIFS('Job Cards'!$E:$E,'Job Cards'!$N:$N,A134,'Job Cards'!$G:$G,"Released")*H134</f>
        <v/>
      </c>
      <c r="J134">
        <f>SUMIFS('Job Cards'!$E:$E,'Job Cards'!$N:$N,A134,'Job Cards'!$G:$G,"Draft")*H134</f>
        <v/>
      </c>
      <c r="K134">
        <f>I134+J134</f>
        <v/>
      </c>
      <c r="L134">
        <f>MAX(0,G134-K134)</f>
        <v/>
      </c>
      <c r="M134" s="253">
        <f>IF(G134=0,0,K134/G134)</f>
        <v/>
      </c>
      <c r="N134">
        <f>IF(K134&gt;G134,"CAPACITY SHORTFALL",IF(M134&gt;=0.85,"WATCH","OK"))</f>
        <v/>
      </c>
    </row>
    <row r="135">
      <c r="A135" t="n">
        <v>24</v>
      </c>
      <c r="B135" s="247">
        <f>INDEX('Monthly Funding'!$B$6:$B$41,A135)</f>
        <v/>
      </c>
      <c r="C135">
        <f>'Work Centre Master'!A7</f>
        <v/>
      </c>
      <c r="D135">
        <f>'Work Centre Master'!B7</f>
        <v/>
      </c>
      <c r="E135">
        <f>'Work Centre Master'!E7</f>
        <v/>
      </c>
      <c r="F135" s="253">
        <f>'Work Centre Master'!F7</f>
        <v/>
      </c>
      <c r="G135">
        <f>E135*F135</f>
        <v/>
      </c>
      <c r="H135">
        <f>'Work Centre Master'!G7</f>
        <v/>
      </c>
      <c r="I135">
        <f>SUMIFS('Job Cards'!$E:$E,'Job Cards'!$N:$N,A135,'Job Cards'!$G:$G,"Released")*H135</f>
        <v/>
      </c>
      <c r="J135">
        <f>SUMIFS('Job Cards'!$E:$E,'Job Cards'!$N:$N,A135,'Job Cards'!$G:$G,"Draft")*H135</f>
        <v/>
      </c>
      <c r="K135">
        <f>I135+J135</f>
        <v/>
      </c>
      <c r="L135">
        <f>MAX(0,G135-K135)</f>
        <v/>
      </c>
      <c r="M135" s="253">
        <f>IF(G135=0,0,K135/G135)</f>
        <v/>
      </c>
      <c r="N135">
        <f>IF(K135&gt;G135,"CAPACITY SHORTFALL",IF(M135&gt;=0.85,"WATCH","OK"))</f>
        <v/>
      </c>
    </row>
    <row r="136">
      <c r="A136" t="n">
        <v>25</v>
      </c>
      <c r="B136" s="247">
        <f>INDEX('Monthly Funding'!$B$6:$B$41,A136)</f>
        <v/>
      </c>
      <c r="C136">
        <f>'Work Centre Master'!A7</f>
        <v/>
      </c>
      <c r="D136">
        <f>'Work Centre Master'!B7</f>
        <v/>
      </c>
      <c r="E136">
        <f>'Work Centre Master'!E7</f>
        <v/>
      </c>
      <c r="F136" s="253">
        <f>'Work Centre Master'!F7</f>
        <v/>
      </c>
      <c r="G136">
        <f>E136*F136</f>
        <v/>
      </c>
      <c r="H136">
        <f>'Work Centre Master'!G7</f>
        <v/>
      </c>
      <c r="I136">
        <f>SUMIFS('Job Cards'!$E:$E,'Job Cards'!$N:$N,A136,'Job Cards'!$G:$G,"Released")*H136</f>
        <v/>
      </c>
      <c r="J136">
        <f>SUMIFS('Job Cards'!$E:$E,'Job Cards'!$N:$N,A136,'Job Cards'!$G:$G,"Draft")*H136</f>
        <v/>
      </c>
      <c r="K136">
        <f>I136+J136</f>
        <v/>
      </c>
      <c r="L136">
        <f>MAX(0,G136-K136)</f>
        <v/>
      </c>
      <c r="M136" s="253">
        <f>IF(G136=0,0,K136/G136)</f>
        <v/>
      </c>
      <c r="N136">
        <f>IF(K136&gt;G136,"CAPACITY SHORTFALL",IF(M136&gt;=0.85,"WATCH","OK"))</f>
        <v/>
      </c>
    </row>
    <row r="137">
      <c r="A137" t="n">
        <v>26</v>
      </c>
      <c r="B137" s="247">
        <f>INDEX('Monthly Funding'!$B$6:$B$41,A137)</f>
        <v/>
      </c>
      <c r="C137">
        <f>'Work Centre Master'!A7</f>
        <v/>
      </c>
      <c r="D137">
        <f>'Work Centre Master'!B7</f>
        <v/>
      </c>
      <c r="E137">
        <f>'Work Centre Master'!E7</f>
        <v/>
      </c>
      <c r="F137" s="253">
        <f>'Work Centre Master'!F7</f>
        <v/>
      </c>
      <c r="G137">
        <f>E137*F137</f>
        <v/>
      </c>
      <c r="H137">
        <f>'Work Centre Master'!G7</f>
        <v/>
      </c>
      <c r="I137">
        <f>SUMIFS('Job Cards'!$E:$E,'Job Cards'!$N:$N,A137,'Job Cards'!$G:$G,"Released")*H137</f>
        <v/>
      </c>
      <c r="J137">
        <f>SUMIFS('Job Cards'!$E:$E,'Job Cards'!$N:$N,A137,'Job Cards'!$G:$G,"Draft")*H137</f>
        <v/>
      </c>
      <c r="K137">
        <f>I137+J137</f>
        <v/>
      </c>
      <c r="L137">
        <f>MAX(0,G137-K137)</f>
        <v/>
      </c>
      <c r="M137" s="253">
        <f>IF(G137=0,0,K137/G137)</f>
        <v/>
      </c>
      <c r="N137">
        <f>IF(K137&gt;G137,"CAPACITY SHORTFALL",IF(M137&gt;=0.85,"WATCH","OK"))</f>
        <v/>
      </c>
    </row>
    <row r="138">
      <c r="A138" t="n">
        <v>27</v>
      </c>
      <c r="B138" s="247">
        <f>INDEX('Monthly Funding'!$B$6:$B$41,A138)</f>
        <v/>
      </c>
      <c r="C138">
        <f>'Work Centre Master'!A7</f>
        <v/>
      </c>
      <c r="D138">
        <f>'Work Centre Master'!B7</f>
        <v/>
      </c>
      <c r="E138">
        <f>'Work Centre Master'!E7</f>
        <v/>
      </c>
      <c r="F138" s="253">
        <f>'Work Centre Master'!F7</f>
        <v/>
      </c>
      <c r="G138">
        <f>E138*F138</f>
        <v/>
      </c>
      <c r="H138">
        <f>'Work Centre Master'!G7</f>
        <v/>
      </c>
      <c r="I138">
        <f>SUMIFS('Job Cards'!$E:$E,'Job Cards'!$N:$N,A138,'Job Cards'!$G:$G,"Released")*H138</f>
        <v/>
      </c>
      <c r="J138">
        <f>SUMIFS('Job Cards'!$E:$E,'Job Cards'!$N:$N,A138,'Job Cards'!$G:$G,"Draft")*H138</f>
        <v/>
      </c>
      <c r="K138">
        <f>I138+J138</f>
        <v/>
      </c>
      <c r="L138">
        <f>MAX(0,G138-K138)</f>
        <v/>
      </c>
      <c r="M138" s="253">
        <f>IF(G138=0,0,K138/G138)</f>
        <v/>
      </c>
      <c r="N138">
        <f>IF(K138&gt;G138,"CAPACITY SHORTFALL",IF(M138&gt;=0.85,"WATCH","OK"))</f>
        <v/>
      </c>
    </row>
    <row r="139">
      <c r="A139" t="n">
        <v>28</v>
      </c>
      <c r="B139" s="247">
        <f>INDEX('Monthly Funding'!$B$6:$B$41,A139)</f>
        <v/>
      </c>
      <c r="C139">
        <f>'Work Centre Master'!A7</f>
        <v/>
      </c>
      <c r="D139">
        <f>'Work Centre Master'!B7</f>
        <v/>
      </c>
      <c r="E139">
        <f>'Work Centre Master'!E7</f>
        <v/>
      </c>
      <c r="F139" s="253">
        <f>'Work Centre Master'!F7</f>
        <v/>
      </c>
      <c r="G139">
        <f>E139*F139</f>
        <v/>
      </c>
      <c r="H139">
        <f>'Work Centre Master'!G7</f>
        <v/>
      </c>
      <c r="I139">
        <f>SUMIFS('Job Cards'!$E:$E,'Job Cards'!$N:$N,A139,'Job Cards'!$G:$G,"Released")*H139</f>
        <v/>
      </c>
      <c r="J139">
        <f>SUMIFS('Job Cards'!$E:$E,'Job Cards'!$N:$N,A139,'Job Cards'!$G:$G,"Draft")*H139</f>
        <v/>
      </c>
      <c r="K139">
        <f>I139+J139</f>
        <v/>
      </c>
      <c r="L139">
        <f>MAX(0,G139-K139)</f>
        <v/>
      </c>
      <c r="M139" s="253">
        <f>IF(G139=0,0,K139/G139)</f>
        <v/>
      </c>
      <c r="N139">
        <f>IF(K139&gt;G139,"CAPACITY SHORTFALL",IF(M139&gt;=0.85,"WATCH","OK"))</f>
        <v/>
      </c>
    </row>
    <row r="140">
      <c r="A140" t="n">
        <v>29</v>
      </c>
      <c r="B140" s="247">
        <f>INDEX('Monthly Funding'!$B$6:$B$41,A140)</f>
        <v/>
      </c>
      <c r="C140">
        <f>'Work Centre Master'!A7</f>
        <v/>
      </c>
      <c r="D140">
        <f>'Work Centre Master'!B7</f>
        <v/>
      </c>
      <c r="E140">
        <f>'Work Centre Master'!E7</f>
        <v/>
      </c>
      <c r="F140" s="253">
        <f>'Work Centre Master'!F7</f>
        <v/>
      </c>
      <c r="G140">
        <f>E140*F140</f>
        <v/>
      </c>
      <c r="H140">
        <f>'Work Centre Master'!G7</f>
        <v/>
      </c>
      <c r="I140">
        <f>SUMIFS('Job Cards'!$E:$E,'Job Cards'!$N:$N,A140,'Job Cards'!$G:$G,"Released")*H140</f>
        <v/>
      </c>
      <c r="J140">
        <f>SUMIFS('Job Cards'!$E:$E,'Job Cards'!$N:$N,A140,'Job Cards'!$G:$G,"Draft")*H140</f>
        <v/>
      </c>
      <c r="K140">
        <f>I140+J140</f>
        <v/>
      </c>
      <c r="L140">
        <f>MAX(0,G140-K140)</f>
        <v/>
      </c>
      <c r="M140" s="253">
        <f>IF(G140=0,0,K140/G140)</f>
        <v/>
      </c>
      <c r="N140">
        <f>IF(K140&gt;G140,"CAPACITY SHORTFALL",IF(M140&gt;=0.85,"WATCH","OK"))</f>
        <v/>
      </c>
    </row>
    <row r="141">
      <c r="A141" t="n">
        <v>30</v>
      </c>
      <c r="B141" s="247">
        <f>INDEX('Monthly Funding'!$B$6:$B$41,A141)</f>
        <v/>
      </c>
      <c r="C141">
        <f>'Work Centre Master'!A7</f>
        <v/>
      </c>
      <c r="D141">
        <f>'Work Centre Master'!B7</f>
        <v/>
      </c>
      <c r="E141">
        <f>'Work Centre Master'!E7</f>
        <v/>
      </c>
      <c r="F141" s="253">
        <f>'Work Centre Master'!F7</f>
        <v/>
      </c>
      <c r="G141">
        <f>E141*F141</f>
        <v/>
      </c>
      <c r="H141">
        <f>'Work Centre Master'!G7</f>
        <v/>
      </c>
      <c r="I141">
        <f>SUMIFS('Job Cards'!$E:$E,'Job Cards'!$N:$N,A141,'Job Cards'!$G:$G,"Released")*H141</f>
        <v/>
      </c>
      <c r="J141">
        <f>SUMIFS('Job Cards'!$E:$E,'Job Cards'!$N:$N,A141,'Job Cards'!$G:$G,"Draft")*H141</f>
        <v/>
      </c>
      <c r="K141">
        <f>I141+J141</f>
        <v/>
      </c>
      <c r="L141">
        <f>MAX(0,G141-K141)</f>
        <v/>
      </c>
      <c r="M141" s="253">
        <f>IF(G141=0,0,K141/G141)</f>
        <v/>
      </c>
      <c r="N141">
        <f>IF(K141&gt;G141,"CAPACITY SHORTFALL",IF(M141&gt;=0.85,"WATCH","OK"))</f>
        <v/>
      </c>
    </row>
    <row r="142">
      <c r="A142" t="n">
        <v>31</v>
      </c>
      <c r="B142" s="247">
        <f>INDEX('Monthly Funding'!$B$6:$B$41,A142)</f>
        <v/>
      </c>
      <c r="C142">
        <f>'Work Centre Master'!A7</f>
        <v/>
      </c>
      <c r="D142">
        <f>'Work Centre Master'!B7</f>
        <v/>
      </c>
      <c r="E142">
        <f>'Work Centre Master'!E7</f>
        <v/>
      </c>
      <c r="F142" s="253">
        <f>'Work Centre Master'!F7</f>
        <v/>
      </c>
      <c r="G142">
        <f>E142*F142</f>
        <v/>
      </c>
      <c r="H142">
        <f>'Work Centre Master'!G7</f>
        <v/>
      </c>
      <c r="I142">
        <f>SUMIFS('Job Cards'!$E:$E,'Job Cards'!$N:$N,A142,'Job Cards'!$G:$G,"Released")*H142</f>
        <v/>
      </c>
      <c r="J142">
        <f>SUMIFS('Job Cards'!$E:$E,'Job Cards'!$N:$N,A142,'Job Cards'!$G:$G,"Draft")*H142</f>
        <v/>
      </c>
      <c r="K142">
        <f>I142+J142</f>
        <v/>
      </c>
      <c r="L142">
        <f>MAX(0,G142-K142)</f>
        <v/>
      </c>
      <c r="M142" s="253">
        <f>IF(G142=0,0,K142/G142)</f>
        <v/>
      </c>
      <c r="N142">
        <f>IF(K142&gt;G142,"CAPACITY SHORTFALL",IF(M142&gt;=0.85,"WATCH","OK"))</f>
        <v/>
      </c>
    </row>
    <row r="143">
      <c r="A143" t="n">
        <v>32</v>
      </c>
      <c r="B143" s="247">
        <f>INDEX('Monthly Funding'!$B$6:$B$41,A143)</f>
        <v/>
      </c>
      <c r="C143">
        <f>'Work Centre Master'!A7</f>
        <v/>
      </c>
      <c r="D143">
        <f>'Work Centre Master'!B7</f>
        <v/>
      </c>
      <c r="E143">
        <f>'Work Centre Master'!E7</f>
        <v/>
      </c>
      <c r="F143" s="253">
        <f>'Work Centre Master'!F7</f>
        <v/>
      </c>
      <c r="G143">
        <f>E143*F143</f>
        <v/>
      </c>
      <c r="H143">
        <f>'Work Centre Master'!G7</f>
        <v/>
      </c>
      <c r="I143">
        <f>SUMIFS('Job Cards'!$E:$E,'Job Cards'!$N:$N,A143,'Job Cards'!$G:$G,"Released")*H143</f>
        <v/>
      </c>
      <c r="J143">
        <f>SUMIFS('Job Cards'!$E:$E,'Job Cards'!$N:$N,A143,'Job Cards'!$G:$G,"Draft")*H143</f>
        <v/>
      </c>
      <c r="K143">
        <f>I143+J143</f>
        <v/>
      </c>
      <c r="L143">
        <f>MAX(0,G143-K143)</f>
        <v/>
      </c>
      <c r="M143" s="253">
        <f>IF(G143=0,0,K143/G143)</f>
        <v/>
      </c>
      <c r="N143">
        <f>IF(K143&gt;G143,"CAPACITY SHORTFALL",IF(M143&gt;=0.85,"WATCH","OK"))</f>
        <v/>
      </c>
    </row>
    <row r="144">
      <c r="A144" t="n">
        <v>33</v>
      </c>
      <c r="B144" s="247">
        <f>INDEX('Monthly Funding'!$B$6:$B$41,A144)</f>
        <v/>
      </c>
      <c r="C144">
        <f>'Work Centre Master'!A7</f>
        <v/>
      </c>
      <c r="D144">
        <f>'Work Centre Master'!B7</f>
        <v/>
      </c>
      <c r="E144">
        <f>'Work Centre Master'!E7</f>
        <v/>
      </c>
      <c r="F144" s="253">
        <f>'Work Centre Master'!F7</f>
        <v/>
      </c>
      <c r="G144">
        <f>E144*F144</f>
        <v/>
      </c>
      <c r="H144">
        <f>'Work Centre Master'!G7</f>
        <v/>
      </c>
      <c r="I144">
        <f>SUMIFS('Job Cards'!$E:$E,'Job Cards'!$N:$N,A144,'Job Cards'!$G:$G,"Released")*H144</f>
        <v/>
      </c>
      <c r="J144">
        <f>SUMIFS('Job Cards'!$E:$E,'Job Cards'!$N:$N,A144,'Job Cards'!$G:$G,"Draft")*H144</f>
        <v/>
      </c>
      <c r="K144">
        <f>I144+J144</f>
        <v/>
      </c>
      <c r="L144">
        <f>MAX(0,G144-K144)</f>
        <v/>
      </c>
      <c r="M144" s="253">
        <f>IF(G144=0,0,K144/G144)</f>
        <v/>
      </c>
      <c r="N144">
        <f>IF(K144&gt;G144,"CAPACITY SHORTFALL",IF(M144&gt;=0.85,"WATCH","OK"))</f>
        <v/>
      </c>
    </row>
    <row r="145">
      <c r="A145" t="n">
        <v>34</v>
      </c>
      <c r="B145" s="247">
        <f>INDEX('Monthly Funding'!$B$6:$B$41,A145)</f>
        <v/>
      </c>
      <c r="C145">
        <f>'Work Centre Master'!A7</f>
        <v/>
      </c>
      <c r="D145">
        <f>'Work Centre Master'!B7</f>
        <v/>
      </c>
      <c r="E145">
        <f>'Work Centre Master'!E7</f>
        <v/>
      </c>
      <c r="F145" s="253">
        <f>'Work Centre Master'!F7</f>
        <v/>
      </c>
      <c r="G145">
        <f>E145*F145</f>
        <v/>
      </c>
      <c r="H145">
        <f>'Work Centre Master'!G7</f>
        <v/>
      </c>
      <c r="I145">
        <f>SUMIFS('Job Cards'!$E:$E,'Job Cards'!$N:$N,A145,'Job Cards'!$G:$G,"Released")*H145</f>
        <v/>
      </c>
      <c r="J145">
        <f>SUMIFS('Job Cards'!$E:$E,'Job Cards'!$N:$N,A145,'Job Cards'!$G:$G,"Draft")*H145</f>
        <v/>
      </c>
      <c r="K145">
        <f>I145+J145</f>
        <v/>
      </c>
      <c r="L145">
        <f>MAX(0,G145-K145)</f>
        <v/>
      </c>
      <c r="M145" s="253">
        <f>IF(G145=0,0,K145/G145)</f>
        <v/>
      </c>
      <c r="N145">
        <f>IF(K145&gt;G145,"CAPACITY SHORTFALL",IF(M145&gt;=0.85,"WATCH","OK"))</f>
        <v/>
      </c>
    </row>
    <row r="146">
      <c r="A146" t="n">
        <v>35</v>
      </c>
      <c r="B146" s="247">
        <f>INDEX('Monthly Funding'!$B$6:$B$41,A146)</f>
        <v/>
      </c>
      <c r="C146">
        <f>'Work Centre Master'!A7</f>
        <v/>
      </c>
      <c r="D146">
        <f>'Work Centre Master'!B7</f>
        <v/>
      </c>
      <c r="E146">
        <f>'Work Centre Master'!E7</f>
        <v/>
      </c>
      <c r="F146" s="253">
        <f>'Work Centre Master'!F7</f>
        <v/>
      </c>
      <c r="G146">
        <f>E146*F146</f>
        <v/>
      </c>
      <c r="H146">
        <f>'Work Centre Master'!G7</f>
        <v/>
      </c>
      <c r="I146">
        <f>SUMIFS('Job Cards'!$E:$E,'Job Cards'!$N:$N,A146,'Job Cards'!$G:$G,"Released")*H146</f>
        <v/>
      </c>
      <c r="J146">
        <f>SUMIFS('Job Cards'!$E:$E,'Job Cards'!$N:$N,A146,'Job Cards'!$G:$G,"Draft")*H146</f>
        <v/>
      </c>
      <c r="K146">
        <f>I146+J146</f>
        <v/>
      </c>
      <c r="L146">
        <f>MAX(0,G146-K146)</f>
        <v/>
      </c>
      <c r="M146" s="253">
        <f>IF(G146=0,0,K146/G146)</f>
        <v/>
      </c>
      <c r="N146">
        <f>IF(K146&gt;G146,"CAPACITY SHORTFALL",IF(M146&gt;=0.85,"WATCH","OK"))</f>
        <v/>
      </c>
    </row>
    <row r="147">
      <c r="A147" t="n">
        <v>36</v>
      </c>
      <c r="B147" s="247">
        <f>INDEX('Monthly Funding'!$B$6:$B$41,A147)</f>
        <v/>
      </c>
      <c r="C147">
        <f>'Work Centre Master'!A7</f>
        <v/>
      </c>
      <c r="D147">
        <f>'Work Centre Master'!B7</f>
        <v/>
      </c>
      <c r="E147">
        <f>'Work Centre Master'!E7</f>
        <v/>
      </c>
      <c r="F147" s="253">
        <f>'Work Centre Master'!F7</f>
        <v/>
      </c>
      <c r="G147">
        <f>E147*F147</f>
        <v/>
      </c>
      <c r="H147">
        <f>'Work Centre Master'!G7</f>
        <v/>
      </c>
      <c r="I147">
        <f>SUMIFS('Job Cards'!$E:$E,'Job Cards'!$N:$N,A147,'Job Cards'!$G:$G,"Released")*H147</f>
        <v/>
      </c>
      <c r="J147">
        <f>SUMIFS('Job Cards'!$E:$E,'Job Cards'!$N:$N,A147,'Job Cards'!$G:$G,"Draft")*H147</f>
        <v/>
      </c>
      <c r="K147">
        <f>I147+J147</f>
        <v/>
      </c>
      <c r="L147">
        <f>MAX(0,G147-K147)</f>
        <v/>
      </c>
      <c r="M147" s="253">
        <f>IF(G147=0,0,K147/G147)</f>
        <v/>
      </c>
      <c r="N147">
        <f>IF(K147&gt;G147,"CAPACITY SHORTFALL",IF(M147&gt;=0.85,"WATCH","OK"))</f>
        <v/>
      </c>
    </row>
    <row r="148">
      <c r="A148" t="n">
        <v>1</v>
      </c>
      <c r="B148" s="247">
        <f>INDEX('Monthly Funding'!$B$6:$B$41,A148)</f>
        <v/>
      </c>
      <c r="C148">
        <f>'Work Centre Master'!A8</f>
        <v/>
      </c>
      <c r="D148">
        <f>'Work Centre Master'!B8</f>
        <v/>
      </c>
      <c r="E148">
        <f>'Work Centre Master'!E8</f>
        <v/>
      </c>
      <c r="F148" s="253">
        <f>'Work Centre Master'!F8</f>
        <v/>
      </c>
      <c r="G148">
        <f>E148*F148</f>
        <v/>
      </c>
      <c r="H148">
        <f>'Work Centre Master'!G8</f>
        <v/>
      </c>
      <c r="I148">
        <f>SUMIFS('Job Cards'!$E:$E,'Job Cards'!$N:$N,A148,'Job Cards'!$G:$G,"Released")*H148</f>
        <v/>
      </c>
      <c r="J148">
        <f>SUMIFS('Job Cards'!$E:$E,'Job Cards'!$N:$N,A148,'Job Cards'!$G:$G,"Draft")*H148</f>
        <v/>
      </c>
      <c r="K148">
        <f>I148+J148</f>
        <v/>
      </c>
      <c r="L148">
        <f>MAX(0,G148-K148)</f>
        <v/>
      </c>
      <c r="M148" s="253">
        <f>IF(G148=0,0,K148/G148)</f>
        <v/>
      </c>
      <c r="N148">
        <f>IF(K148&gt;G148,"CAPACITY SHORTFALL",IF(M148&gt;=0.85,"WATCH","OK"))</f>
        <v/>
      </c>
    </row>
    <row r="149">
      <c r="A149" t="n">
        <v>2</v>
      </c>
      <c r="B149" s="247">
        <f>INDEX('Monthly Funding'!$B$6:$B$41,A149)</f>
        <v/>
      </c>
      <c r="C149">
        <f>'Work Centre Master'!A8</f>
        <v/>
      </c>
      <c r="D149">
        <f>'Work Centre Master'!B8</f>
        <v/>
      </c>
      <c r="E149">
        <f>'Work Centre Master'!E8</f>
        <v/>
      </c>
      <c r="F149" s="253">
        <f>'Work Centre Master'!F8</f>
        <v/>
      </c>
      <c r="G149">
        <f>E149*F149</f>
        <v/>
      </c>
      <c r="H149">
        <f>'Work Centre Master'!G8</f>
        <v/>
      </c>
      <c r="I149">
        <f>SUMIFS('Job Cards'!$E:$E,'Job Cards'!$N:$N,A149,'Job Cards'!$G:$G,"Released")*H149</f>
        <v/>
      </c>
      <c r="J149">
        <f>SUMIFS('Job Cards'!$E:$E,'Job Cards'!$N:$N,A149,'Job Cards'!$G:$G,"Draft")*H149</f>
        <v/>
      </c>
      <c r="K149">
        <f>I149+J149</f>
        <v/>
      </c>
      <c r="L149">
        <f>MAX(0,G149-K149)</f>
        <v/>
      </c>
      <c r="M149" s="253">
        <f>IF(G149=0,0,K149/G149)</f>
        <v/>
      </c>
      <c r="N149">
        <f>IF(K149&gt;G149,"CAPACITY SHORTFALL",IF(M149&gt;=0.85,"WATCH","OK"))</f>
        <v/>
      </c>
    </row>
    <row r="150">
      <c r="A150" t="n">
        <v>3</v>
      </c>
      <c r="B150" s="247">
        <f>INDEX('Monthly Funding'!$B$6:$B$41,A150)</f>
        <v/>
      </c>
      <c r="C150">
        <f>'Work Centre Master'!A8</f>
        <v/>
      </c>
      <c r="D150">
        <f>'Work Centre Master'!B8</f>
        <v/>
      </c>
      <c r="E150">
        <f>'Work Centre Master'!E8</f>
        <v/>
      </c>
      <c r="F150" s="253">
        <f>'Work Centre Master'!F8</f>
        <v/>
      </c>
      <c r="G150">
        <f>E150*F150</f>
        <v/>
      </c>
      <c r="H150">
        <f>'Work Centre Master'!G8</f>
        <v/>
      </c>
      <c r="I150">
        <f>SUMIFS('Job Cards'!$E:$E,'Job Cards'!$N:$N,A150,'Job Cards'!$G:$G,"Released")*H150</f>
        <v/>
      </c>
      <c r="J150">
        <f>SUMIFS('Job Cards'!$E:$E,'Job Cards'!$N:$N,A150,'Job Cards'!$G:$G,"Draft")*H150</f>
        <v/>
      </c>
      <c r="K150">
        <f>I150+J150</f>
        <v/>
      </c>
      <c r="L150">
        <f>MAX(0,G150-K150)</f>
        <v/>
      </c>
      <c r="M150" s="253">
        <f>IF(G150=0,0,K150/G150)</f>
        <v/>
      </c>
      <c r="N150">
        <f>IF(K150&gt;G150,"CAPACITY SHORTFALL",IF(M150&gt;=0.85,"WATCH","OK"))</f>
        <v/>
      </c>
    </row>
    <row r="151">
      <c r="A151" t="n">
        <v>4</v>
      </c>
      <c r="B151" s="247">
        <f>INDEX('Monthly Funding'!$B$6:$B$41,A151)</f>
        <v/>
      </c>
      <c r="C151">
        <f>'Work Centre Master'!A8</f>
        <v/>
      </c>
      <c r="D151">
        <f>'Work Centre Master'!B8</f>
        <v/>
      </c>
      <c r="E151">
        <f>'Work Centre Master'!E8</f>
        <v/>
      </c>
      <c r="F151" s="253">
        <f>'Work Centre Master'!F8</f>
        <v/>
      </c>
      <c r="G151">
        <f>E151*F151</f>
        <v/>
      </c>
      <c r="H151">
        <f>'Work Centre Master'!G8</f>
        <v/>
      </c>
      <c r="I151">
        <f>SUMIFS('Job Cards'!$E:$E,'Job Cards'!$N:$N,A151,'Job Cards'!$G:$G,"Released")*H151</f>
        <v/>
      </c>
      <c r="J151">
        <f>SUMIFS('Job Cards'!$E:$E,'Job Cards'!$N:$N,A151,'Job Cards'!$G:$G,"Draft")*H151</f>
        <v/>
      </c>
      <c r="K151">
        <f>I151+J151</f>
        <v/>
      </c>
      <c r="L151">
        <f>MAX(0,G151-K151)</f>
        <v/>
      </c>
      <c r="M151" s="253">
        <f>IF(G151=0,0,K151/G151)</f>
        <v/>
      </c>
      <c r="N151">
        <f>IF(K151&gt;G151,"CAPACITY SHORTFALL",IF(M151&gt;=0.85,"WATCH","OK"))</f>
        <v/>
      </c>
    </row>
    <row r="152">
      <c r="A152" t="n">
        <v>5</v>
      </c>
      <c r="B152" s="247">
        <f>INDEX('Monthly Funding'!$B$6:$B$41,A152)</f>
        <v/>
      </c>
      <c r="C152">
        <f>'Work Centre Master'!A8</f>
        <v/>
      </c>
      <c r="D152">
        <f>'Work Centre Master'!B8</f>
        <v/>
      </c>
      <c r="E152">
        <f>'Work Centre Master'!E8</f>
        <v/>
      </c>
      <c r="F152" s="253">
        <f>'Work Centre Master'!F8</f>
        <v/>
      </c>
      <c r="G152">
        <f>E152*F152</f>
        <v/>
      </c>
      <c r="H152">
        <f>'Work Centre Master'!G8</f>
        <v/>
      </c>
      <c r="I152">
        <f>SUMIFS('Job Cards'!$E:$E,'Job Cards'!$N:$N,A152,'Job Cards'!$G:$G,"Released")*H152</f>
        <v/>
      </c>
      <c r="J152">
        <f>SUMIFS('Job Cards'!$E:$E,'Job Cards'!$N:$N,A152,'Job Cards'!$G:$G,"Draft")*H152</f>
        <v/>
      </c>
      <c r="K152">
        <f>I152+J152</f>
        <v/>
      </c>
      <c r="L152">
        <f>MAX(0,G152-K152)</f>
        <v/>
      </c>
      <c r="M152" s="253">
        <f>IF(G152=0,0,K152/G152)</f>
        <v/>
      </c>
      <c r="N152">
        <f>IF(K152&gt;G152,"CAPACITY SHORTFALL",IF(M152&gt;=0.85,"WATCH","OK"))</f>
        <v/>
      </c>
    </row>
    <row r="153">
      <c r="A153" t="n">
        <v>6</v>
      </c>
      <c r="B153" s="247">
        <f>INDEX('Monthly Funding'!$B$6:$B$41,A153)</f>
        <v/>
      </c>
      <c r="C153">
        <f>'Work Centre Master'!A8</f>
        <v/>
      </c>
      <c r="D153">
        <f>'Work Centre Master'!B8</f>
        <v/>
      </c>
      <c r="E153">
        <f>'Work Centre Master'!E8</f>
        <v/>
      </c>
      <c r="F153" s="253">
        <f>'Work Centre Master'!F8</f>
        <v/>
      </c>
      <c r="G153">
        <f>E153*F153</f>
        <v/>
      </c>
      <c r="H153">
        <f>'Work Centre Master'!G8</f>
        <v/>
      </c>
      <c r="I153">
        <f>SUMIFS('Job Cards'!$E:$E,'Job Cards'!$N:$N,A153,'Job Cards'!$G:$G,"Released")*H153</f>
        <v/>
      </c>
      <c r="J153">
        <f>SUMIFS('Job Cards'!$E:$E,'Job Cards'!$N:$N,A153,'Job Cards'!$G:$G,"Draft")*H153</f>
        <v/>
      </c>
      <c r="K153">
        <f>I153+J153</f>
        <v/>
      </c>
      <c r="L153">
        <f>MAX(0,G153-K153)</f>
        <v/>
      </c>
      <c r="M153" s="253">
        <f>IF(G153=0,0,K153/G153)</f>
        <v/>
      </c>
      <c r="N153">
        <f>IF(K153&gt;G153,"CAPACITY SHORTFALL",IF(M153&gt;=0.85,"WATCH","OK"))</f>
        <v/>
      </c>
    </row>
    <row r="154">
      <c r="A154" t="n">
        <v>7</v>
      </c>
      <c r="B154" s="247">
        <f>INDEX('Monthly Funding'!$B$6:$B$41,A154)</f>
        <v/>
      </c>
      <c r="C154">
        <f>'Work Centre Master'!A8</f>
        <v/>
      </c>
      <c r="D154">
        <f>'Work Centre Master'!B8</f>
        <v/>
      </c>
      <c r="E154">
        <f>'Work Centre Master'!E8</f>
        <v/>
      </c>
      <c r="F154" s="253">
        <f>'Work Centre Master'!F8</f>
        <v/>
      </c>
      <c r="G154">
        <f>E154*F154</f>
        <v/>
      </c>
      <c r="H154">
        <f>'Work Centre Master'!G8</f>
        <v/>
      </c>
      <c r="I154">
        <f>SUMIFS('Job Cards'!$E:$E,'Job Cards'!$N:$N,A154,'Job Cards'!$G:$G,"Released")*H154</f>
        <v/>
      </c>
      <c r="J154">
        <f>SUMIFS('Job Cards'!$E:$E,'Job Cards'!$N:$N,A154,'Job Cards'!$G:$G,"Draft")*H154</f>
        <v/>
      </c>
      <c r="K154">
        <f>I154+J154</f>
        <v/>
      </c>
      <c r="L154">
        <f>MAX(0,G154-K154)</f>
        <v/>
      </c>
      <c r="M154" s="253">
        <f>IF(G154=0,0,K154/G154)</f>
        <v/>
      </c>
      <c r="N154">
        <f>IF(K154&gt;G154,"CAPACITY SHORTFALL",IF(M154&gt;=0.85,"WATCH","OK"))</f>
        <v/>
      </c>
    </row>
    <row r="155">
      <c r="A155" t="n">
        <v>8</v>
      </c>
      <c r="B155" s="247">
        <f>INDEX('Monthly Funding'!$B$6:$B$41,A155)</f>
        <v/>
      </c>
      <c r="C155">
        <f>'Work Centre Master'!A8</f>
        <v/>
      </c>
      <c r="D155">
        <f>'Work Centre Master'!B8</f>
        <v/>
      </c>
      <c r="E155">
        <f>'Work Centre Master'!E8</f>
        <v/>
      </c>
      <c r="F155" s="253">
        <f>'Work Centre Master'!F8</f>
        <v/>
      </c>
      <c r="G155">
        <f>E155*F155</f>
        <v/>
      </c>
      <c r="H155">
        <f>'Work Centre Master'!G8</f>
        <v/>
      </c>
      <c r="I155">
        <f>SUMIFS('Job Cards'!$E:$E,'Job Cards'!$N:$N,A155,'Job Cards'!$G:$G,"Released")*H155</f>
        <v/>
      </c>
      <c r="J155">
        <f>SUMIFS('Job Cards'!$E:$E,'Job Cards'!$N:$N,A155,'Job Cards'!$G:$G,"Draft")*H155</f>
        <v/>
      </c>
      <c r="K155">
        <f>I155+J155</f>
        <v/>
      </c>
      <c r="L155">
        <f>MAX(0,G155-K155)</f>
        <v/>
      </c>
      <c r="M155" s="253">
        <f>IF(G155=0,0,K155/G155)</f>
        <v/>
      </c>
      <c r="N155">
        <f>IF(K155&gt;G155,"CAPACITY SHORTFALL",IF(M155&gt;=0.85,"WATCH","OK"))</f>
        <v/>
      </c>
    </row>
    <row r="156">
      <c r="A156" t="n">
        <v>9</v>
      </c>
      <c r="B156" s="247">
        <f>INDEX('Monthly Funding'!$B$6:$B$41,A156)</f>
        <v/>
      </c>
      <c r="C156">
        <f>'Work Centre Master'!A8</f>
        <v/>
      </c>
      <c r="D156">
        <f>'Work Centre Master'!B8</f>
        <v/>
      </c>
      <c r="E156">
        <f>'Work Centre Master'!E8</f>
        <v/>
      </c>
      <c r="F156" s="253">
        <f>'Work Centre Master'!F8</f>
        <v/>
      </c>
      <c r="G156">
        <f>E156*F156</f>
        <v/>
      </c>
      <c r="H156">
        <f>'Work Centre Master'!G8</f>
        <v/>
      </c>
      <c r="I156">
        <f>SUMIFS('Job Cards'!$E:$E,'Job Cards'!$N:$N,A156,'Job Cards'!$G:$G,"Released")*H156</f>
        <v/>
      </c>
      <c r="J156">
        <f>SUMIFS('Job Cards'!$E:$E,'Job Cards'!$N:$N,A156,'Job Cards'!$G:$G,"Draft")*H156</f>
        <v/>
      </c>
      <c r="K156">
        <f>I156+J156</f>
        <v/>
      </c>
      <c r="L156">
        <f>MAX(0,G156-K156)</f>
        <v/>
      </c>
      <c r="M156" s="253">
        <f>IF(G156=0,0,K156/G156)</f>
        <v/>
      </c>
      <c r="N156">
        <f>IF(K156&gt;G156,"CAPACITY SHORTFALL",IF(M156&gt;=0.85,"WATCH","OK"))</f>
        <v/>
      </c>
    </row>
    <row r="157">
      <c r="A157" t="n">
        <v>10</v>
      </c>
      <c r="B157" s="247">
        <f>INDEX('Monthly Funding'!$B$6:$B$41,A157)</f>
        <v/>
      </c>
      <c r="C157">
        <f>'Work Centre Master'!A8</f>
        <v/>
      </c>
      <c r="D157">
        <f>'Work Centre Master'!B8</f>
        <v/>
      </c>
      <c r="E157">
        <f>'Work Centre Master'!E8</f>
        <v/>
      </c>
      <c r="F157" s="253">
        <f>'Work Centre Master'!F8</f>
        <v/>
      </c>
      <c r="G157">
        <f>E157*F157</f>
        <v/>
      </c>
      <c r="H157">
        <f>'Work Centre Master'!G8</f>
        <v/>
      </c>
      <c r="I157">
        <f>SUMIFS('Job Cards'!$E:$E,'Job Cards'!$N:$N,A157,'Job Cards'!$G:$G,"Released")*H157</f>
        <v/>
      </c>
      <c r="J157">
        <f>SUMIFS('Job Cards'!$E:$E,'Job Cards'!$N:$N,A157,'Job Cards'!$G:$G,"Draft")*H157</f>
        <v/>
      </c>
      <c r="K157">
        <f>I157+J157</f>
        <v/>
      </c>
      <c r="L157">
        <f>MAX(0,G157-K157)</f>
        <v/>
      </c>
      <c r="M157" s="253">
        <f>IF(G157=0,0,K157/G157)</f>
        <v/>
      </c>
      <c r="N157">
        <f>IF(K157&gt;G157,"CAPACITY SHORTFALL",IF(M157&gt;=0.85,"WATCH","OK"))</f>
        <v/>
      </c>
    </row>
    <row r="158">
      <c r="A158" t="n">
        <v>11</v>
      </c>
      <c r="B158" s="247">
        <f>INDEX('Monthly Funding'!$B$6:$B$41,A158)</f>
        <v/>
      </c>
      <c r="C158">
        <f>'Work Centre Master'!A8</f>
        <v/>
      </c>
      <c r="D158">
        <f>'Work Centre Master'!B8</f>
        <v/>
      </c>
      <c r="E158">
        <f>'Work Centre Master'!E8</f>
        <v/>
      </c>
      <c r="F158" s="253">
        <f>'Work Centre Master'!F8</f>
        <v/>
      </c>
      <c r="G158">
        <f>E158*F158</f>
        <v/>
      </c>
      <c r="H158">
        <f>'Work Centre Master'!G8</f>
        <v/>
      </c>
      <c r="I158">
        <f>SUMIFS('Job Cards'!$E:$E,'Job Cards'!$N:$N,A158,'Job Cards'!$G:$G,"Released")*H158</f>
        <v/>
      </c>
      <c r="J158">
        <f>SUMIFS('Job Cards'!$E:$E,'Job Cards'!$N:$N,A158,'Job Cards'!$G:$G,"Draft")*H158</f>
        <v/>
      </c>
      <c r="K158">
        <f>I158+J158</f>
        <v/>
      </c>
      <c r="L158">
        <f>MAX(0,G158-K158)</f>
        <v/>
      </c>
      <c r="M158" s="253">
        <f>IF(G158=0,0,K158/G158)</f>
        <v/>
      </c>
      <c r="N158">
        <f>IF(K158&gt;G158,"CAPACITY SHORTFALL",IF(M158&gt;=0.85,"WATCH","OK"))</f>
        <v/>
      </c>
    </row>
    <row r="159">
      <c r="A159" t="n">
        <v>12</v>
      </c>
      <c r="B159" s="247">
        <f>INDEX('Monthly Funding'!$B$6:$B$41,A159)</f>
        <v/>
      </c>
      <c r="C159">
        <f>'Work Centre Master'!A8</f>
        <v/>
      </c>
      <c r="D159">
        <f>'Work Centre Master'!B8</f>
        <v/>
      </c>
      <c r="E159">
        <f>'Work Centre Master'!E8</f>
        <v/>
      </c>
      <c r="F159" s="253">
        <f>'Work Centre Master'!F8</f>
        <v/>
      </c>
      <c r="G159">
        <f>E159*F159</f>
        <v/>
      </c>
      <c r="H159">
        <f>'Work Centre Master'!G8</f>
        <v/>
      </c>
      <c r="I159">
        <f>SUMIFS('Job Cards'!$E:$E,'Job Cards'!$N:$N,A159,'Job Cards'!$G:$G,"Released")*H159</f>
        <v/>
      </c>
      <c r="J159">
        <f>SUMIFS('Job Cards'!$E:$E,'Job Cards'!$N:$N,A159,'Job Cards'!$G:$G,"Draft")*H159</f>
        <v/>
      </c>
      <c r="K159">
        <f>I159+J159</f>
        <v/>
      </c>
      <c r="L159">
        <f>MAX(0,G159-K159)</f>
        <v/>
      </c>
      <c r="M159" s="253">
        <f>IF(G159=0,0,K159/G159)</f>
        <v/>
      </c>
      <c r="N159">
        <f>IF(K159&gt;G159,"CAPACITY SHORTFALL",IF(M159&gt;=0.85,"WATCH","OK"))</f>
        <v/>
      </c>
    </row>
    <row r="160">
      <c r="A160" t="n">
        <v>13</v>
      </c>
      <c r="B160" s="247">
        <f>INDEX('Monthly Funding'!$B$6:$B$41,A160)</f>
        <v/>
      </c>
      <c r="C160">
        <f>'Work Centre Master'!A8</f>
        <v/>
      </c>
      <c r="D160">
        <f>'Work Centre Master'!B8</f>
        <v/>
      </c>
      <c r="E160">
        <f>'Work Centre Master'!E8</f>
        <v/>
      </c>
      <c r="F160" s="253">
        <f>'Work Centre Master'!F8</f>
        <v/>
      </c>
      <c r="G160">
        <f>E160*F160</f>
        <v/>
      </c>
      <c r="H160">
        <f>'Work Centre Master'!G8</f>
        <v/>
      </c>
      <c r="I160">
        <f>SUMIFS('Job Cards'!$E:$E,'Job Cards'!$N:$N,A160,'Job Cards'!$G:$G,"Released")*H160</f>
        <v/>
      </c>
      <c r="J160">
        <f>SUMIFS('Job Cards'!$E:$E,'Job Cards'!$N:$N,A160,'Job Cards'!$G:$G,"Draft")*H160</f>
        <v/>
      </c>
      <c r="K160">
        <f>I160+J160</f>
        <v/>
      </c>
      <c r="L160">
        <f>MAX(0,G160-K160)</f>
        <v/>
      </c>
      <c r="M160" s="253">
        <f>IF(G160=0,0,K160/G160)</f>
        <v/>
      </c>
      <c r="N160">
        <f>IF(K160&gt;G160,"CAPACITY SHORTFALL",IF(M160&gt;=0.85,"WATCH","OK"))</f>
        <v/>
      </c>
    </row>
    <row r="161">
      <c r="A161" t="n">
        <v>14</v>
      </c>
      <c r="B161" s="247">
        <f>INDEX('Monthly Funding'!$B$6:$B$41,A161)</f>
        <v/>
      </c>
      <c r="C161">
        <f>'Work Centre Master'!A8</f>
        <v/>
      </c>
      <c r="D161">
        <f>'Work Centre Master'!B8</f>
        <v/>
      </c>
      <c r="E161">
        <f>'Work Centre Master'!E8</f>
        <v/>
      </c>
      <c r="F161" s="253">
        <f>'Work Centre Master'!F8</f>
        <v/>
      </c>
      <c r="G161">
        <f>E161*F161</f>
        <v/>
      </c>
      <c r="H161">
        <f>'Work Centre Master'!G8</f>
        <v/>
      </c>
      <c r="I161">
        <f>SUMIFS('Job Cards'!$E:$E,'Job Cards'!$N:$N,A161,'Job Cards'!$G:$G,"Released")*H161</f>
        <v/>
      </c>
      <c r="J161">
        <f>SUMIFS('Job Cards'!$E:$E,'Job Cards'!$N:$N,A161,'Job Cards'!$G:$G,"Draft")*H161</f>
        <v/>
      </c>
      <c r="K161">
        <f>I161+J161</f>
        <v/>
      </c>
      <c r="L161">
        <f>MAX(0,G161-K161)</f>
        <v/>
      </c>
      <c r="M161" s="253">
        <f>IF(G161=0,0,K161/G161)</f>
        <v/>
      </c>
      <c r="N161">
        <f>IF(K161&gt;G161,"CAPACITY SHORTFALL",IF(M161&gt;=0.85,"WATCH","OK"))</f>
        <v/>
      </c>
    </row>
    <row r="162">
      <c r="A162" t="n">
        <v>15</v>
      </c>
      <c r="B162" s="247">
        <f>INDEX('Monthly Funding'!$B$6:$B$41,A162)</f>
        <v/>
      </c>
      <c r="C162">
        <f>'Work Centre Master'!A8</f>
        <v/>
      </c>
      <c r="D162">
        <f>'Work Centre Master'!B8</f>
        <v/>
      </c>
      <c r="E162">
        <f>'Work Centre Master'!E8</f>
        <v/>
      </c>
      <c r="F162" s="253">
        <f>'Work Centre Master'!F8</f>
        <v/>
      </c>
      <c r="G162">
        <f>E162*F162</f>
        <v/>
      </c>
      <c r="H162">
        <f>'Work Centre Master'!G8</f>
        <v/>
      </c>
      <c r="I162">
        <f>SUMIFS('Job Cards'!$E:$E,'Job Cards'!$N:$N,A162,'Job Cards'!$G:$G,"Released")*H162</f>
        <v/>
      </c>
      <c r="J162">
        <f>SUMIFS('Job Cards'!$E:$E,'Job Cards'!$N:$N,A162,'Job Cards'!$G:$G,"Draft")*H162</f>
        <v/>
      </c>
      <c r="K162">
        <f>I162+J162</f>
        <v/>
      </c>
      <c r="L162">
        <f>MAX(0,G162-K162)</f>
        <v/>
      </c>
      <c r="M162" s="253">
        <f>IF(G162=0,0,K162/G162)</f>
        <v/>
      </c>
      <c r="N162">
        <f>IF(K162&gt;G162,"CAPACITY SHORTFALL",IF(M162&gt;=0.85,"WATCH","OK"))</f>
        <v/>
      </c>
    </row>
    <row r="163">
      <c r="A163" t="n">
        <v>16</v>
      </c>
      <c r="B163" s="247">
        <f>INDEX('Monthly Funding'!$B$6:$B$41,A163)</f>
        <v/>
      </c>
      <c r="C163">
        <f>'Work Centre Master'!A8</f>
        <v/>
      </c>
      <c r="D163">
        <f>'Work Centre Master'!B8</f>
        <v/>
      </c>
      <c r="E163">
        <f>'Work Centre Master'!E8</f>
        <v/>
      </c>
      <c r="F163" s="253">
        <f>'Work Centre Master'!F8</f>
        <v/>
      </c>
      <c r="G163">
        <f>E163*F163</f>
        <v/>
      </c>
      <c r="H163">
        <f>'Work Centre Master'!G8</f>
        <v/>
      </c>
      <c r="I163">
        <f>SUMIFS('Job Cards'!$E:$E,'Job Cards'!$N:$N,A163,'Job Cards'!$G:$G,"Released")*H163</f>
        <v/>
      </c>
      <c r="J163">
        <f>SUMIFS('Job Cards'!$E:$E,'Job Cards'!$N:$N,A163,'Job Cards'!$G:$G,"Draft")*H163</f>
        <v/>
      </c>
      <c r="K163">
        <f>I163+J163</f>
        <v/>
      </c>
      <c r="L163">
        <f>MAX(0,G163-K163)</f>
        <v/>
      </c>
      <c r="M163" s="253">
        <f>IF(G163=0,0,K163/G163)</f>
        <v/>
      </c>
      <c r="N163">
        <f>IF(K163&gt;G163,"CAPACITY SHORTFALL",IF(M163&gt;=0.85,"WATCH","OK"))</f>
        <v/>
      </c>
    </row>
    <row r="164">
      <c r="A164" t="n">
        <v>17</v>
      </c>
      <c r="B164" s="247">
        <f>INDEX('Monthly Funding'!$B$6:$B$41,A164)</f>
        <v/>
      </c>
      <c r="C164">
        <f>'Work Centre Master'!A8</f>
        <v/>
      </c>
      <c r="D164">
        <f>'Work Centre Master'!B8</f>
        <v/>
      </c>
      <c r="E164">
        <f>'Work Centre Master'!E8</f>
        <v/>
      </c>
      <c r="F164" s="253">
        <f>'Work Centre Master'!F8</f>
        <v/>
      </c>
      <c r="G164">
        <f>E164*F164</f>
        <v/>
      </c>
      <c r="H164">
        <f>'Work Centre Master'!G8</f>
        <v/>
      </c>
      <c r="I164">
        <f>SUMIFS('Job Cards'!$E:$E,'Job Cards'!$N:$N,A164,'Job Cards'!$G:$G,"Released")*H164</f>
        <v/>
      </c>
      <c r="J164">
        <f>SUMIFS('Job Cards'!$E:$E,'Job Cards'!$N:$N,A164,'Job Cards'!$G:$G,"Draft")*H164</f>
        <v/>
      </c>
      <c r="K164">
        <f>I164+J164</f>
        <v/>
      </c>
      <c r="L164">
        <f>MAX(0,G164-K164)</f>
        <v/>
      </c>
      <c r="M164" s="253">
        <f>IF(G164=0,0,K164/G164)</f>
        <v/>
      </c>
      <c r="N164">
        <f>IF(K164&gt;G164,"CAPACITY SHORTFALL",IF(M164&gt;=0.85,"WATCH","OK"))</f>
        <v/>
      </c>
    </row>
    <row r="165">
      <c r="A165" t="n">
        <v>18</v>
      </c>
      <c r="B165" s="247">
        <f>INDEX('Monthly Funding'!$B$6:$B$41,A165)</f>
        <v/>
      </c>
      <c r="C165">
        <f>'Work Centre Master'!A8</f>
        <v/>
      </c>
      <c r="D165">
        <f>'Work Centre Master'!B8</f>
        <v/>
      </c>
      <c r="E165">
        <f>'Work Centre Master'!E8</f>
        <v/>
      </c>
      <c r="F165" s="253">
        <f>'Work Centre Master'!F8</f>
        <v/>
      </c>
      <c r="G165">
        <f>E165*F165</f>
        <v/>
      </c>
      <c r="H165">
        <f>'Work Centre Master'!G8</f>
        <v/>
      </c>
      <c r="I165">
        <f>SUMIFS('Job Cards'!$E:$E,'Job Cards'!$N:$N,A165,'Job Cards'!$G:$G,"Released")*H165</f>
        <v/>
      </c>
      <c r="J165">
        <f>SUMIFS('Job Cards'!$E:$E,'Job Cards'!$N:$N,A165,'Job Cards'!$G:$G,"Draft")*H165</f>
        <v/>
      </c>
      <c r="K165">
        <f>I165+J165</f>
        <v/>
      </c>
      <c r="L165">
        <f>MAX(0,G165-K165)</f>
        <v/>
      </c>
      <c r="M165" s="253">
        <f>IF(G165=0,0,K165/G165)</f>
        <v/>
      </c>
      <c r="N165">
        <f>IF(K165&gt;G165,"CAPACITY SHORTFALL",IF(M165&gt;=0.85,"WATCH","OK"))</f>
        <v/>
      </c>
    </row>
    <row r="166">
      <c r="A166" t="n">
        <v>19</v>
      </c>
      <c r="B166" s="247">
        <f>INDEX('Monthly Funding'!$B$6:$B$41,A166)</f>
        <v/>
      </c>
      <c r="C166">
        <f>'Work Centre Master'!A8</f>
        <v/>
      </c>
      <c r="D166">
        <f>'Work Centre Master'!B8</f>
        <v/>
      </c>
      <c r="E166">
        <f>'Work Centre Master'!E8</f>
        <v/>
      </c>
      <c r="F166" s="253">
        <f>'Work Centre Master'!F8</f>
        <v/>
      </c>
      <c r="G166">
        <f>E166*F166</f>
        <v/>
      </c>
      <c r="H166">
        <f>'Work Centre Master'!G8</f>
        <v/>
      </c>
      <c r="I166">
        <f>SUMIFS('Job Cards'!$E:$E,'Job Cards'!$N:$N,A166,'Job Cards'!$G:$G,"Released")*H166</f>
        <v/>
      </c>
      <c r="J166">
        <f>SUMIFS('Job Cards'!$E:$E,'Job Cards'!$N:$N,A166,'Job Cards'!$G:$G,"Draft")*H166</f>
        <v/>
      </c>
      <c r="K166">
        <f>I166+J166</f>
        <v/>
      </c>
      <c r="L166">
        <f>MAX(0,G166-K166)</f>
        <v/>
      </c>
      <c r="M166" s="253">
        <f>IF(G166=0,0,K166/G166)</f>
        <v/>
      </c>
      <c r="N166">
        <f>IF(K166&gt;G166,"CAPACITY SHORTFALL",IF(M166&gt;=0.85,"WATCH","OK"))</f>
        <v/>
      </c>
    </row>
    <row r="167">
      <c r="A167" t="n">
        <v>20</v>
      </c>
      <c r="B167" s="247">
        <f>INDEX('Monthly Funding'!$B$6:$B$41,A167)</f>
        <v/>
      </c>
      <c r="C167">
        <f>'Work Centre Master'!A8</f>
        <v/>
      </c>
      <c r="D167">
        <f>'Work Centre Master'!B8</f>
        <v/>
      </c>
      <c r="E167">
        <f>'Work Centre Master'!E8</f>
        <v/>
      </c>
      <c r="F167" s="253">
        <f>'Work Centre Master'!F8</f>
        <v/>
      </c>
      <c r="G167">
        <f>E167*F167</f>
        <v/>
      </c>
      <c r="H167">
        <f>'Work Centre Master'!G8</f>
        <v/>
      </c>
      <c r="I167">
        <f>SUMIFS('Job Cards'!$E:$E,'Job Cards'!$N:$N,A167,'Job Cards'!$G:$G,"Released")*H167</f>
        <v/>
      </c>
      <c r="J167">
        <f>SUMIFS('Job Cards'!$E:$E,'Job Cards'!$N:$N,A167,'Job Cards'!$G:$G,"Draft")*H167</f>
        <v/>
      </c>
      <c r="K167">
        <f>I167+J167</f>
        <v/>
      </c>
      <c r="L167">
        <f>MAX(0,G167-K167)</f>
        <v/>
      </c>
      <c r="M167" s="253">
        <f>IF(G167=0,0,K167/G167)</f>
        <v/>
      </c>
      <c r="N167">
        <f>IF(K167&gt;G167,"CAPACITY SHORTFALL",IF(M167&gt;=0.85,"WATCH","OK"))</f>
        <v/>
      </c>
    </row>
    <row r="168">
      <c r="A168" t="n">
        <v>21</v>
      </c>
      <c r="B168" s="247">
        <f>INDEX('Monthly Funding'!$B$6:$B$41,A168)</f>
        <v/>
      </c>
      <c r="C168">
        <f>'Work Centre Master'!A8</f>
        <v/>
      </c>
      <c r="D168">
        <f>'Work Centre Master'!B8</f>
        <v/>
      </c>
      <c r="E168">
        <f>'Work Centre Master'!E8</f>
        <v/>
      </c>
      <c r="F168" s="253">
        <f>'Work Centre Master'!F8</f>
        <v/>
      </c>
      <c r="G168">
        <f>E168*F168</f>
        <v/>
      </c>
      <c r="H168">
        <f>'Work Centre Master'!G8</f>
        <v/>
      </c>
      <c r="I168">
        <f>SUMIFS('Job Cards'!$E:$E,'Job Cards'!$N:$N,A168,'Job Cards'!$G:$G,"Released")*H168</f>
        <v/>
      </c>
      <c r="J168">
        <f>SUMIFS('Job Cards'!$E:$E,'Job Cards'!$N:$N,A168,'Job Cards'!$G:$G,"Draft")*H168</f>
        <v/>
      </c>
      <c r="K168">
        <f>I168+J168</f>
        <v/>
      </c>
      <c r="L168">
        <f>MAX(0,G168-K168)</f>
        <v/>
      </c>
      <c r="M168" s="253">
        <f>IF(G168=0,0,K168/G168)</f>
        <v/>
      </c>
      <c r="N168">
        <f>IF(K168&gt;G168,"CAPACITY SHORTFALL",IF(M168&gt;=0.85,"WATCH","OK"))</f>
        <v/>
      </c>
    </row>
    <row r="169">
      <c r="A169" t="n">
        <v>22</v>
      </c>
      <c r="B169" s="247">
        <f>INDEX('Monthly Funding'!$B$6:$B$41,A169)</f>
        <v/>
      </c>
      <c r="C169">
        <f>'Work Centre Master'!A8</f>
        <v/>
      </c>
      <c r="D169">
        <f>'Work Centre Master'!B8</f>
        <v/>
      </c>
      <c r="E169">
        <f>'Work Centre Master'!E8</f>
        <v/>
      </c>
      <c r="F169" s="253">
        <f>'Work Centre Master'!F8</f>
        <v/>
      </c>
      <c r="G169">
        <f>E169*F169</f>
        <v/>
      </c>
      <c r="H169">
        <f>'Work Centre Master'!G8</f>
        <v/>
      </c>
      <c r="I169">
        <f>SUMIFS('Job Cards'!$E:$E,'Job Cards'!$N:$N,A169,'Job Cards'!$G:$G,"Released")*H169</f>
        <v/>
      </c>
      <c r="J169">
        <f>SUMIFS('Job Cards'!$E:$E,'Job Cards'!$N:$N,A169,'Job Cards'!$G:$G,"Draft")*H169</f>
        <v/>
      </c>
      <c r="K169">
        <f>I169+J169</f>
        <v/>
      </c>
      <c r="L169">
        <f>MAX(0,G169-K169)</f>
        <v/>
      </c>
      <c r="M169" s="253">
        <f>IF(G169=0,0,K169/G169)</f>
        <v/>
      </c>
      <c r="N169">
        <f>IF(K169&gt;G169,"CAPACITY SHORTFALL",IF(M169&gt;=0.85,"WATCH","OK"))</f>
        <v/>
      </c>
    </row>
    <row r="170">
      <c r="A170" t="n">
        <v>23</v>
      </c>
      <c r="B170" s="247">
        <f>INDEX('Monthly Funding'!$B$6:$B$41,A170)</f>
        <v/>
      </c>
      <c r="C170">
        <f>'Work Centre Master'!A8</f>
        <v/>
      </c>
      <c r="D170">
        <f>'Work Centre Master'!B8</f>
        <v/>
      </c>
      <c r="E170">
        <f>'Work Centre Master'!E8</f>
        <v/>
      </c>
      <c r="F170" s="253">
        <f>'Work Centre Master'!F8</f>
        <v/>
      </c>
      <c r="G170">
        <f>E170*F170</f>
        <v/>
      </c>
      <c r="H170">
        <f>'Work Centre Master'!G8</f>
        <v/>
      </c>
      <c r="I170">
        <f>SUMIFS('Job Cards'!$E:$E,'Job Cards'!$N:$N,A170,'Job Cards'!$G:$G,"Released")*H170</f>
        <v/>
      </c>
      <c r="J170">
        <f>SUMIFS('Job Cards'!$E:$E,'Job Cards'!$N:$N,A170,'Job Cards'!$G:$G,"Draft")*H170</f>
        <v/>
      </c>
      <c r="K170">
        <f>I170+J170</f>
        <v/>
      </c>
      <c r="L170">
        <f>MAX(0,G170-K170)</f>
        <v/>
      </c>
      <c r="M170" s="253">
        <f>IF(G170=0,0,K170/G170)</f>
        <v/>
      </c>
      <c r="N170">
        <f>IF(K170&gt;G170,"CAPACITY SHORTFALL",IF(M170&gt;=0.85,"WATCH","OK"))</f>
        <v/>
      </c>
    </row>
    <row r="171">
      <c r="A171" t="n">
        <v>24</v>
      </c>
      <c r="B171" s="247">
        <f>INDEX('Monthly Funding'!$B$6:$B$41,A171)</f>
        <v/>
      </c>
      <c r="C171">
        <f>'Work Centre Master'!A8</f>
        <v/>
      </c>
      <c r="D171">
        <f>'Work Centre Master'!B8</f>
        <v/>
      </c>
      <c r="E171">
        <f>'Work Centre Master'!E8</f>
        <v/>
      </c>
      <c r="F171" s="253">
        <f>'Work Centre Master'!F8</f>
        <v/>
      </c>
      <c r="G171">
        <f>E171*F171</f>
        <v/>
      </c>
      <c r="H171">
        <f>'Work Centre Master'!G8</f>
        <v/>
      </c>
      <c r="I171">
        <f>SUMIFS('Job Cards'!$E:$E,'Job Cards'!$N:$N,A171,'Job Cards'!$G:$G,"Released")*H171</f>
        <v/>
      </c>
      <c r="J171">
        <f>SUMIFS('Job Cards'!$E:$E,'Job Cards'!$N:$N,A171,'Job Cards'!$G:$G,"Draft")*H171</f>
        <v/>
      </c>
      <c r="K171">
        <f>I171+J171</f>
        <v/>
      </c>
      <c r="L171">
        <f>MAX(0,G171-K171)</f>
        <v/>
      </c>
      <c r="M171" s="253">
        <f>IF(G171=0,0,K171/G171)</f>
        <v/>
      </c>
      <c r="N171">
        <f>IF(K171&gt;G171,"CAPACITY SHORTFALL",IF(M171&gt;=0.85,"WATCH","OK"))</f>
        <v/>
      </c>
    </row>
    <row r="172">
      <c r="A172" t="n">
        <v>25</v>
      </c>
      <c r="B172" s="247">
        <f>INDEX('Monthly Funding'!$B$6:$B$41,A172)</f>
        <v/>
      </c>
      <c r="C172">
        <f>'Work Centre Master'!A8</f>
        <v/>
      </c>
      <c r="D172">
        <f>'Work Centre Master'!B8</f>
        <v/>
      </c>
      <c r="E172">
        <f>'Work Centre Master'!E8</f>
        <v/>
      </c>
      <c r="F172" s="253">
        <f>'Work Centre Master'!F8</f>
        <v/>
      </c>
      <c r="G172">
        <f>E172*F172</f>
        <v/>
      </c>
      <c r="H172">
        <f>'Work Centre Master'!G8</f>
        <v/>
      </c>
      <c r="I172">
        <f>SUMIFS('Job Cards'!$E:$E,'Job Cards'!$N:$N,A172,'Job Cards'!$G:$G,"Released")*H172</f>
        <v/>
      </c>
      <c r="J172">
        <f>SUMIFS('Job Cards'!$E:$E,'Job Cards'!$N:$N,A172,'Job Cards'!$G:$G,"Draft")*H172</f>
        <v/>
      </c>
      <c r="K172">
        <f>I172+J172</f>
        <v/>
      </c>
      <c r="L172">
        <f>MAX(0,G172-K172)</f>
        <v/>
      </c>
      <c r="M172" s="253">
        <f>IF(G172=0,0,K172/G172)</f>
        <v/>
      </c>
      <c r="N172">
        <f>IF(K172&gt;G172,"CAPACITY SHORTFALL",IF(M172&gt;=0.85,"WATCH","OK"))</f>
        <v/>
      </c>
    </row>
    <row r="173">
      <c r="A173" t="n">
        <v>26</v>
      </c>
      <c r="B173" s="247">
        <f>INDEX('Monthly Funding'!$B$6:$B$41,A173)</f>
        <v/>
      </c>
      <c r="C173">
        <f>'Work Centre Master'!A8</f>
        <v/>
      </c>
      <c r="D173">
        <f>'Work Centre Master'!B8</f>
        <v/>
      </c>
      <c r="E173">
        <f>'Work Centre Master'!E8</f>
        <v/>
      </c>
      <c r="F173" s="253">
        <f>'Work Centre Master'!F8</f>
        <v/>
      </c>
      <c r="G173">
        <f>E173*F173</f>
        <v/>
      </c>
      <c r="H173">
        <f>'Work Centre Master'!G8</f>
        <v/>
      </c>
      <c r="I173">
        <f>SUMIFS('Job Cards'!$E:$E,'Job Cards'!$N:$N,A173,'Job Cards'!$G:$G,"Released")*H173</f>
        <v/>
      </c>
      <c r="J173">
        <f>SUMIFS('Job Cards'!$E:$E,'Job Cards'!$N:$N,A173,'Job Cards'!$G:$G,"Draft")*H173</f>
        <v/>
      </c>
      <c r="K173">
        <f>I173+J173</f>
        <v/>
      </c>
      <c r="L173">
        <f>MAX(0,G173-K173)</f>
        <v/>
      </c>
      <c r="M173" s="253">
        <f>IF(G173=0,0,K173/G173)</f>
        <v/>
      </c>
      <c r="N173">
        <f>IF(K173&gt;G173,"CAPACITY SHORTFALL",IF(M173&gt;=0.85,"WATCH","OK"))</f>
        <v/>
      </c>
    </row>
    <row r="174">
      <c r="A174" t="n">
        <v>27</v>
      </c>
      <c r="B174" s="247">
        <f>INDEX('Monthly Funding'!$B$6:$B$41,A174)</f>
        <v/>
      </c>
      <c r="C174">
        <f>'Work Centre Master'!A8</f>
        <v/>
      </c>
      <c r="D174">
        <f>'Work Centre Master'!B8</f>
        <v/>
      </c>
      <c r="E174">
        <f>'Work Centre Master'!E8</f>
        <v/>
      </c>
      <c r="F174" s="253">
        <f>'Work Centre Master'!F8</f>
        <v/>
      </c>
      <c r="G174">
        <f>E174*F174</f>
        <v/>
      </c>
      <c r="H174">
        <f>'Work Centre Master'!G8</f>
        <v/>
      </c>
      <c r="I174">
        <f>SUMIFS('Job Cards'!$E:$E,'Job Cards'!$N:$N,A174,'Job Cards'!$G:$G,"Released")*H174</f>
        <v/>
      </c>
      <c r="J174">
        <f>SUMIFS('Job Cards'!$E:$E,'Job Cards'!$N:$N,A174,'Job Cards'!$G:$G,"Draft")*H174</f>
        <v/>
      </c>
      <c r="K174">
        <f>I174+J174</f>
        <v/>
      </c>
      <c r="L174">
        <f>MAX(0,G174-K174)</f>
        <v/>
      </c>
      <c r="M174" s="253">
        <f>IF(G174=0,0,K174/G174)</f>
        <v/>
      </c>
      <c r="N174">
        <f>IF(K174&gt;G174,"CAPACITY SHORTFALL",IF(M174&gt;=0.85,"WATCH","OK"))</f>
        <v/>
      </c>
    </row>
    <row r="175">
      <c r="A175" t="n">
        <v>28</v>
      </c>
      <c r="B175" s="247">
        <f>INDEX('Monthly Funding'!$B$6:$B$41,A175)</f>
        <v/>
      </c>
      <c r="C175">
        <f>'Work Centre Master'!A8</f>
        <v/>
      </c>
      <c r="D175">
        <f>'Work Centre Master'!B8</f>
        <v/>
      </c>
      <c r="E175">
        <f>'Work Centre Master'!E8</f>
        <v/>
      </c>
      <c r="F175" s="253">
        <f>'Work Centre Master'!F8</f>
        <v/>
      </c>
      <c r="G175">
        <f>E175*F175</f>
        <v/>
      </c>
      <c r="H175">
        <f>'Work Centre Master'!G8</f>
        <v/>
      </c>
      <c r="I175">
        <f>SUMIFS('Job Cards'!$E:$E,'Job Cards'!$N:$N,A175,'Job Cards'!$G:$G,"Released")*H175</f>
        <v/>
      </c>
      <c r="J175">
        <f>SUMIFS('Job Cards'!$E:$E,'Job Cards'!$N:$N,A175,'Job Cards'!$G:$G,"Draft")*H175</f>
        <v/>
      </c>
      <c r="K175">
        <f>I175+J175</f>
        <v/>
      </c>
      <c r="L175">
        <f>MAX(0,G175-K175)</f>
        <v/>
      </c>
      <c r="M175" s="253">
        <f>IF(G175=0,0,K175/G175)</f>
        <v/>
      </c>
      <c r="N175">
        <f>IF(K175&gt;G175,"CAPACITY SHORTFALL",IF(M175&gt;=0.85,"WATCH","OK"))</f>
        <v/>
      </c>
    </row>
    <row r="176">
      <c r="A176" t="n">
        <v>29</v>
      </c>
      <c r="B176" s="247">
        <f>INDEX('Monthly Funding'!$B$6:$B$41,A176)</f>
        <v/>
      </c>
      <c r="C176">
        <f>'Work Centre Master'!A8</f>
        <v/>
      </c>
      <c r="D176">
        <f>'Work Centre Master'!B8</f>
        <v/>
      </c>
      <c r="E176">
        <f>'Work Centre Master'!E8</f>
        <v/>
      </c>
      <c r="F176" s="253">
        <f>'Work Centre Master'!F8</f>
        <v/>
      </c>
      <c r="G176">
        <f>E176*F176</f>
        <v/>
      </c>
      <c r="H176">
        <f>'Work Centre Master'!G8</f>
        <v/>
      </c>
      <c r="I176">
        <f>SUMIFS('Job Cards'!$E:$E,'Job Cards'!$N:$N,A176,'Job Cards'!$G:$G,"Released")*H176</f>
        <v/>
      </c>
      <c r="J176">
        <f>SUMIFS('Job Cards'!$E:$E,'Job Cards'!$N:$N,A176,'Job Cards'!$G:$G,"Draft")*H176</f>
        <v/>
      </c>
      <c r="K176">
        <f>I176+J176</f>
        <v/>
      </c>
      <c r="L176">
        <f>MAX(0,G176-K176)</f>
        <v/>
      </c>
      <c r="M176" s="253">
        <f>IF(G176=0,0,K176/G176)</f>
        <v/>
      </c>
      <c r="N176">
        <f>IF(K176&gt;G176,"CAPACITY SHORTFALL",IF(M176&gt;=0.85,"WATCH","OK"))</f>
        <v/>
      </c>
    </row>
    <row r="177">
      <c r="A177" t="n">
        <v>30</v>
      </c>
      <c r="B177" s="247">
        <f>INDEX('Monthly Funding'!$B$6:$B$41,A177)</f>
        <v/>
      </c>
      <c r="C177">
        <f>'Work Centre Master'!A8</f>
        <v/>
      </c>
      <c r="D177">
        <f>'Work Centre Master'!B8</f>
        <v/>
      </c>
      <c r="E177">
        <f>'Work Centre Master'!E8</f>
        <v/>
      </c>
      <c r="F177" s="253">
        <f>'Work Centre Master'!F8</f>
        <v/>
      </c>
      <c r="G177">
        <f>E177*F177</f>
        <v/>
      </c>
      <c r="H177">
        <f>'Work Centre Master'!G8</f>
        <v/>
      </c>
      <c r="I177">
        <f>SUMIFS('Job Cards'!$E:$E,'Job Cards'!$N:$N,A177,'Job Cards'!$G:$G,"Released")*H177</f>
        <v/>
      </c>
      <c r="J177">
        <f>SUMIFS('Job Cards'!$E:$E,'Job Cards'!$N:$N,A177,'Job Cards'!$G:$G,"Draft")*H177</f>
        <v/>
      </c>
      <c r="K177">
        <f>I177+J177</f>
        <v/>
      </c>
      <c r="L177">
        <f>MAX(0,G177-K177)</f>
        <v/>
      </c>
      <c r="M177" s="253">
        <f>IF(G177=0,0,K177/G177)</f>
        <v/>
      </c>
      <c r="N177">
        <f>IF(K177&gt;G177,"CAPACITY SHORTFALL",IF(M177&gt;=0.85,"WATCH","OK"))</f>
        <v/>
      </c>
    </row>
    <row r="178">
      <c r="A178" t="n">
        <v>31</v>
      </c>
      <c r="B178" s="247">
        <f>INDEX('Monthly Funding'!$B$6:$B$41,A178)</f>
        <v/>
      </c>
      <c r="C178">
        <f>'Work Centre Master'!A8</f>
        <v/>
      </c>
      <c r="D178">
        <f>'Work Centre Master'!B8</f>
        <v/>
      </c>
      <c r="E178">
        <f>'Work Centre Master'!E8</f>
        <v/>
      </c>
      <c r="F178" s="253">
        <f>'Work Centre Master'!F8</f>
        <v/>
      </c>
      <c r="G178">
        <f>E178*F178</f>
        <v/>
      </c>
      <c r="H178">
        <f>'Work Centre Master'!G8</f>
        <v/>
      </c>
      <c r="I178">
        <f>SUMIFS('Job Cards'!$E:$E,'Job Cards'!$N:$N,A178,'Job Cards'!$G:$G,"Released")*H178</f>
        <v/>
      </c>
      <c r="J178">
        <f>SUMIFS('Job Cards'!$E:$E,'Job Cards'!$N:$N,A178,'Job Cards'!$G:$G,"Draft")*H178</f>
        <v/>
      </c>
      <c r="K178">
        <f>I178+J178</f>
        <v/>
      </c>
      <c r="L178">
        <f>MAX(0,G178-K178)</f>
        <v/>
      </c>
      <c r="M178" s="253">
        <f>IF(G178=0,0,K178/G178)</f>
        <v/>
      </c>
      <c r="N178">
        <f>IF(K178&gt;G178,"CAPACITY SHORTFALL",IF(M178&gt;=0.85,"WATCH","OK"))</f>
        <v/>
      </c>
    </row>
    <row r="179">
      <c r="A179" t="n">
        <v>32</v>
      </c>
      <c r="B179" s="247">
        <f>INDEX('Monthly Funding'!$B$6:$B$41,A179)</f>
        <v/>
      </c>
      <c r="C179">
        <f>'Work Centre Master'!A8</f>
        <v/>
      </c>
      <c r="D179">
        <f>'Work Centre Master'!B8</f>
        <v/>
      </c>
      <c r="E179">
        <f>'Work Centre Master'!E8</f>
        <v/>
      </c>
      <c r="F179" s="253">
        <f>'Work Centre Master'!F8</f>
        <v/>
      </c>
      <c r="G179">
        <f>E179*F179</f>
        <v/>
      </c>
      <c r="H179">
        <f>'Work Centre Master'!G8</f>
        <v/>
      </c>
      <c r="I179">
        <f>SUMIFS('Job Cards'!$E:$E,'Job Cards'!$N:$N,A179,'Job Cards'!$G:$G,"Released")*H179</f>
        <v/>
      </c>
      <c r="J179">
        <f>SUMIFS('Job Cards'!$E:$E,'Job Cards'!$N:$N,A179,'Job Cards'!$G:$G,"Draft")*H179</f>
        <v/>
      </c>
      <c r="K179">
        <f>I179+J179</f>
        <v/>
      </c>
      <c r="L179">
        <f>MAX(0,G179-K179)</f>
        <v/>
      </c>
      <c r="M179" s="253">
        <f>IF(G179=0,0,K179/G179)</f>
        <v/>
      </c>
      <c r="N179">
        <f>IF(K179&gt;G179,"CAPACITY SHORTFALL",IF(M179&gt;=0.85,"WATCH","OK"))</f>
        <v/>
      </c>
    </row>
    <row r="180">
      <c r="A180" t="n">
        <v>33</v>
      </c>
      <c r="B180" s="247">
        <f>INDEX('Monthly Funding'!$B$6:$B$41,A180)</f>
        <v/>
      </c>
      <c r="C180">
        <f>'Work Centre Master'!A8</f>
        <v/>
      </c>
      <c r="D180">
        <f>'Work Centre Master'!B8</f>
        <v/>
      </c>
      <c r="E180">
        <f>'Work Centre Master'!E8</f>
        <v/>
      </c>
      <c r="F180" s="253">
        <f>'Work Centre Master'!F8</f>
        <v/>
      </c>
      <c r="G180">
        <f>E180*F180</f>
        <v/>
      </c>
      <c r="H180">
        <f>'Work Centre Master'!G8</f>
        <v/>
      </c>
      <c r="I180">
        <f>SUMIFS('Job Cards'!$E:$E,'Job Cards'!$N:$N,A180,'Job Cards'!$G:$G,"Released")*H180</f>
        <v/>
      </c>
      <c r="J180">
        <f>SUMIFS('Job Cards'!$E:$E,'Job Cards'!$N:$N,A180,'Job Cards'!$G:$G,"Draft")*H180</f>
        <v/>
      </c>
      <c r="K180">
        <f>I180+J180</f>
        <v/>
      </c>
      <c r="L180">
        <f>MAX(0,G180-K180)</f>
        <v/>
      </c>
      <c r="M180" s="253">
        <f>IF(G180=0,0,K180/G180)</f>
        <v/>
      </c>
      <c r="N180">
        <f>IF(K180&gt;G180,"CAPACITY SHORTFALL",IF(M180&gt;=0.85,"WATCH","OK"))</f>
        <v/>
      </c>
    </row>
    <row r="181">
      <c r="A181" t="n">
        <v>34</v>
      </c>
      <c r="B181" s="247">
        <f>INDEX('Monthly Funding'!$B$6:$B$41,A181)</f>
        <v/>
      </c>
      <c r="C181">
        <f>'Work Centre Master'!A8</f>
        <v/>
      </c>
      <c r="D181">
        <f>'Work Centre Master'!B8</f>
        <v/>
      </c>
      <c r="E181">
        <f>'Work Centre Master'!E8</f>
        <v/>
      </c>
      <c r="F181" s="253">
        <f>'Work Centre Master'!F8</f>
        <v/>
      </c>
      <c r="G181">
        <f>E181*F181</f>
        <v/>
      </c>
      <c r="H181">
        <f>'Work Centre Master'!G8</f>
        <v/>
      </c>
      <c r="I181">
        <f>SUMIFS('Job Cards'!$E:$E,'Job Cards'!$N:$N,A181,'Job Cards'!$G:$G,"Released")*H181</f>
        <v/>
      </c>
      <c r="J181">
        <f>SUMIFS('Job Cards'!$E:$E,'Job Cards'!$N:$N,A181,'Job Cards'!$G:$G,"Draft")*H181</f>
        <v/>
      </c>
      <c r="K181">
        <f>I181+J181</f>
        <v/>
      </c>
      <c r="L181">
        <f>MAX(0,G181-K181)</f>
        <v/>
      </c>
      <c r="M181" s="253">
        <f>IF(G181=0,0,K181/G181)</f>
        <v/>
      </c>
      <c r="N181">
        <f>IF(K181&gt;G181,"CAPACITY SHORTFALL",IF(M181&gt;=0.85,"WATCH","OK"))</f>
        <v/>
      </c>
    </row>
    <row r="182">
      <c r="A182" t="n">
        <v>35</v>
      </c>
      <c r="B182" s="247">
        <f>INDEX('Monthly Funding'!$B$6:$B$41,A182)</f>
        <v/>
      </c>
      <c r="C182">
        <f>'Work Centre Master'!A8</f>
        <v/>
      </c>
      <c r="D182">
        <f>'Work Centre Master'!B8</f>
        <v/>
      </c>
      <c r="E182">
        <f>'Work Centre Master'!E8</f>
        <v/>
      </c>
      <c r="F182" s="253">
        <f>'Work Centre Master'!F8</f>
        <v/>
      </c>
      <c r="G182">
        <f>E182*F182</f>
        <v/>
      </c>
      <c r="H182">
        <f>'Work Centre Master'!G8</f>
        <v/>
      </c>
      <c r="I182">
        <f>SUMIFS('Job Cards'!$E:$E,'Job Cards'!$N:$N,A182,'Job Cards'!$G:$G,"Released")*H182</f>
        <v/>
      </c>
      <c r="J182">
        <f>SUMIFS('Job Cards'!$E:$E,'Job Cards'!$N:$N,A182,'Job Cards'!$G:$G,"Draft")*H182</f>
        <v/>
      </c>
      <c r="K182">
        <f>I182+J182</f>
        <v/>
      </c>
      <c r="L182">
        <f>MAX(0,G182-K182)</f>
        <v/>
      </c>
      <c r="M182" s="253">
        <f>IF(G182=0,0,K182/G182)</f>
        <v/>
      </c>
      <c r="N182">
        <f>IF(K182&gt;G182,"CAPACITY SHORTFALL",IF(M182&gt;=0.85,"WATCH","OK"))</f>
        <v/>
      </c>
    </row>
    <row r="183">
      <c r="A183" t="n">
        <v>36</v>
      </c>
      <c r="B183" s="247">
        <f>INDEX('Monthly Funding'!$B$6:$B$41,A183)</f>
        <v/>
      </c>
      <c r="C183">
        <f>'Work Centre Master'!A8</f>
        <v/>
      </c>
      <c r="D183">
        <f>'Work Centre Master'!B8</f>
        <v/>
      </c>
      <c r="E183">
        <f>'Work Centre Master'!E8</f>
        <v/>
      </c>
      <c r="F183" s="253">
        <f>'Work Centre Master'!F8</f>
        <v/>
      </c>
      <c r="G183">
        <f>E183*F183</f>
        <v/>
      </c>
      <c r="H183">
        <f>'Work Centre Master'!G8</f>
        <v/>
      </c>
      <c r="I183">
        <f>SUMIFS('Job Cards'!$E:$E,'Job Cards'!$N:$N,A183,'Job Cards'!$G:$G,"Released")*H183</f>
        <v/>
      </c>
      <c r="J183">
        <f>SUMIFS('Job Cards'!$E:$E,'Job Cards'!$N:$N,A183,'Job Cards'!$G:$G,"Draft")*H183</f>
        <v/>
      </c>
      <c r="K183">
        <f>I183+J183</f>
        <v/>
      </c>
      <c r="L183">
        <f>MAX(0,G183-K183)</f>
        <v/>
      </c>
      <c r="M183" s="253">
        <f>IF(G183=0,0,K183/G183)</f>
        <v/>
      </c>
      <c r="N183">
        <f>IF(K183&gt;G183,"CAPACITY SHORTFALL",IF(M183&gt;=0.85,"WATCH","OK"))</f>
        <v/>
      </c>
    </row>
    <row r="184">
      <c r="A184" t="n">
        <v>1</v>
      </c>
      <c r="B184" s="247">
        <f>INDEX('Monthly Funding'!$B$6:$B$41,A184)</f>
        <v/>
      </c>
      <c r="C184">
        <f>'Work Centre Master'!A9</f>
        <v/>
      </c>
      <c r="D184">
        <f>'Work Centre Master'!B9</f>
        <v/>
      </c>
      <c r="E184">
        <f>'Work Centre Master'!E9</f>
        <v/>
      </c>
      <c r="F184" s="253">
        <f>'Work Centre Master'!F9</f>
        <v/>
      </c>
      <c r="G184">
        <f>E184*F184</f>
        <v/>
      </c>
      <c r="H184">
        <f>'Work Centre Master'!G9</f>
        <v/>
      </c>
      <c r="I184">
        <f>SUMIFS('Job Cards'!$E:$E,'Job Cards'!$N:$N,A184,'Job Cards'!$G:$G,"Released")*H184</f>
        <v/>
      </c>
      <c r="J184">
        <f>SUMIFS('Job Cards'!$E:$E,'Job Cards'!$N:$N,A184,'Job Cards'!$G:$G,"Draft")*H184</f>
        <v/>
      </c>
      <c r="K184">
        <f>I184+J184</f>
        <v/>
      </c>
      <c r="L184">
        <f>MAX(0,G184-K184)</f>
        <v/>
      </c>
      <c r="M184" s="253">
        <f>IF(G184=0,0,K184/G184)</f>
        <v/>
      </c>
      <c r="N184">
        <f>IF(K184&gt;G184,"CAPACITY SHORTFALL",IF(M184&gt;=0.85,"WATCH","OK"))</f>
        <v/>
      </c>
    </row>
    <row r="185">
      <c r="A185" t="n">
        <v>2</v>
      </c>
      <c r="B185" s="247">
        <f>INDEX('Monthly Funding'!$B$6:$B$41,A185)</f>
        <v/>
      </c>
      <c r="C185">
        <f>'Work Centre Master'!A9</f>
        <v/>
      </c>
      <c r="D185">
        <f>'Work Centre Master'!B9</f>
        <v/>
      </c>
      <c r="E185">
        <f>'Work Centre Master'!E9</f>
        <v/>
      </c>
      <c r="F185" s="253">
        <f>'Work Centre Master'!F9</f>
        <v/>
      </c>
      <c r="G185">
        <f>E185*F185</f>
        <v/>
      </c>
      <c r="H185">
        <f>'Work Centre Master'!G9</f>
        <v/>
      </c>
      <c r="I185">
        <f>SUMIFS('Job Cards'!$E:$E,'Job Cards'!$N:$N,A185,'Job Cards'!$G:$G,"Released")*H185</f>
        <v/>
      </c>
      <c r="J185">
        <f>SUMIFS('Job Cards'!$E:$E,'Job Cards'!$N:$N,A185,'Job Cards'!$G:$G,"Draft")*H185</f>
        <v/>
      </c>
      <c r="K185">
        <f>I185+J185</f>
        <v/>
      </c>
      <c r="L185">
        <f>MAX(0,G185-K185)</f>
        <v/>
      </c>
      <c r="M185" s="253">
        <f>IF(G185=0,0,K185/G185)</f>
        <v/>
      </c>
      <c r="N185">
        <f>IF(K185&gt;G185,"CAPACITY SHORTFALL",IF(M185&gt;=0.85,"WATCH","OK"))</f>
        <v/>
      </c>
    </row>
    <row r="186">
      <c r="A186" t="n">
        <v>3</v>
      </c>
      <c r="B186" s="247">
        <f>INDEX('Monthly Funding'!$B$6:$B$41,A186)</f>
        <v/>
      </c>
      <c r="C186">
        <f>'Work Centre Master'!A9</f>
        <v/>
      </c>
      <c r="D186">
        <f>'Work Centre Master'!B9</f>
        <v/>
      </c>
      <c r="E186">
        <f>'Work Centre Master'!E9</f>
        <v/>
      </c>
      <c r="F186" s="253">
        <f>'Work Centre Master'!F9</f>
        <v/>
      </c>
      <c r="G186">
        <f>E186*F186</f>
        <v/>
      </c>
      <c r="H186">
        <f>'Work Centre Master'!G9</f>
        <v/>
      </c>
      <c r="I186">
        <f>SUMIFS('Job Cards'!$E:$E,'Job Cards'!$N:$N,A186,'Job Cards'!$G:$G,"Released")*H186</f>
        <v/>
      </c>
      <c r="J186">
        <f>SUMIFS('Job Cards'!$E:$E,'Job Cards'!$N:$N,A186,'Job Cards'!$G:$G,"Draft")*H186</f>
        <v/>
      </c>
      <c r="K186">
        <f>I186+J186</f>
        <v/>
      </c>
      <c r="L186">
        <f>MAX(0,G186-K186)</f>
        <v/>
      </c>
      <c r="M186" s="253">
        <f>IF(G186=0,0,K186/G186)</f>
        <v/>
      </c>
      <c r="N186">
        <f>IF(K186&gt;G186,"CAPACITY SHORTFALL",IF(M186&gt;=0.85,"WATCH","OK"))</f>
        <v/>
      </c>
    </row>
    <row r="187">
      <c r="A187" t="n">
        <v>4</v>
      </c>
      <c r="B187" s="247">
        <f>INDEX('Monthly Funding'!$B$6:$B$41,A187)</f>
        <v/>
      </c>
      <c r="C187">
        <f>'Work Centre Master'!A9</f>
        <v/>
      </c>
      <c r="D187">
        <f>'Work Centre Master'!B9</f>
        <v/>
      </c>
      <c r="E187">
        <f>'Work Centre Master'!E9</f>
        <v/>
      </c>
      <c r="F187" s="253">
        <f>'Work Centre Master'!F9</f>
        <v/>
      </c>
      <c r="G187">
        <f>E187*F187</f>
        <v/>
      </c>
      <c r="H187">
        <f>'Work Centre Master'!G9</f>
        <v/>
      </c>
      <c r="I187">
        <f>SUMIFS('Job Cards'!$E:$E,'Job Cards'!$N:$N,A187,'Job Cards'!$G:$G,"Released")*H187</f>
        <v/>
      </c>
      <c r="J187">
        <f>SUMIFS('Job Cards'!$E:$E,'Job Cards'!$N:$N,A187,'Job Cards'!$G:$G,"Draft")*H187</f>
        <v/>
      </c>
      <c r="K187">
        <f>I187+J187</f>
        <v/>
      </c>
      <c r="L187">
        <f>MAX(0,G187-K187)</f>
        <v/>
      </c>
      <c r="M187" s="253">
        <f>IF(G187=0,0,K187/G187)</f>
        <v/>
      </c>
      <c r="N187">
        <f>IF(K187&gt;G187,"CAPACITY SHORTFALL",IF(M187&gt;=0.85,"WATCH","OK"))</f>
        <v/>
      </c>
    </row>
    <row r="188">
      <c r="A188" t="n">
        <v>5</v>
      </c>
      <c r="B188" s="247">
        <f>INDEX('Monthly Funding'!$B$6:$B$41,A188)</f>
        <v/>
      </c>
      <c r="C188">
        <f>'Work Centre Master'!A9</f>
        <v/>
      </c>
      <c r="D188">
        <f>'Work Centre Master'!B9</f>
        <v/>
      </c>
      <c r="E188">
        <f>'Work Centre Master'!E9</f>
        <v/>
      </c>
      <c r="F188" s="253">
        <f>'Work Centre Master'!F9</f>
        <v/>
      </c>
      <c r="G188">
        <f>E188*F188</f>
        <v/>
      </c>
      <c r="H188">
        <f>'Work Centre Master'!G9</f>
        <v/>
      </c>
      <c r="I188">
        <f>SUMIFS('Job Cards'!$E:$E,'Job Cards'!$N:$N,A188,'Job Cards'!$G:$G,"Released")*H188</f>
        <v/>
      </c>
      <c r="J188">
        <f>SUMIFS('Job Cards'!$E:$E,'Job Cards'!$N:$N,A188,'Job Cards'!$G:$G,"Draft")*H188</f>
        <v/>
      </c>
      <c r="K188">
        <f>I188+J188</f>
        <v/>
      </c>
      <c r="L188">
        <f>MAX(0,G188-K188)</f>
        <v/>
      </c>
      <c r="M188" s="253">
        <f>IF(G188=0,0,K188/G188)</f>
        <v/>
      </c>
      <c r="N188">
        <f>IF(K188&gt;G188,"CAPACITY SHORTFALL",IF(M188&gt;=0.85,"WATCH","OK"))</f>
        <v/>
      </c>
    </row>
    <row r="189">
      <c r="A189" t="n">
        <v>6</v>
      </c>
      <c r="B189" s="247">
        <f>INDEX('Monthly Funding'!$B$6:$B$41,A189)</f>
        <v/>
      </c>
      <c r="C189">
        <f>'Work Centre Master'!A9</f>
        <v/>
      </c>
      <c r="D189">
        <f>'Work Centre Master'!B9</f>
        <v/>
      </c>
      <c r="E189">
        <f>'Work Centre Master'!E9</f>
        <v/>
      </c>
      <c r="F189" s="253">
        <f>'Work Centre Master'!F9</f>
        <v/>
      </c>
      <c r="G189">
        <f>E189*F189</f>
        <v/>
      </c>
      <c r="H189">
        <f>'Work Centre Master'!G9</f>
        <v/>
      </c>
      <c r="I189">
        <f>SUMIFS('Job Cards'!$E:$E,'Job Cards'!$N:$N,A189,'Job Cards'!$G:$G,"Released")*H189</f>
        <v/>
      </c>
      <c r="J189">
        <f>SUMIFS('Job Cards'!$E:$E,'Job Cards'!$N:$N,A189,'Job Cards'!$G:$G,"Draft")*H189</f>
        <v/>
      </c>
      <c r="K189">
        <f>I189+J189</f>
        <v/>
      </c>
      <c r="L189">
        <f>MAX(0,G189-K189)</f>
        <v/>
      </c>
      <c r="M189" s="253">
        <f>IF(G189=0,0,K189/G189)</f>
        <v/>
      </c>
      <c r="N189">
        <f>IF(K189&gt;G189,"CAPACITY SHORTFALL",IF(M189&gt;=0.85,"WATCH","OK"))</f>
        <v/>
      </c>
    </row>
    <row r="190">
      <c r="A190" t="n">
        <v>7</v>
      </c>
      <c r="B190" s="247">
        <f>INDEX('Monthly Funding'!$B$6:$B$41,A190)</f>
        <v/>
      </c>
      <c r="C190">
        <f>'Work Centre Master'!A9</f>
        <v/>
      </c>
      <c r="D190">
        <f>'Work Centre Master'!B9</f>
        <v/>
      </c>
      <c r="E190">
        <f>'Work Centre Master'!E9</f>
        <v/>
      </c>
      <c r="F190" s="253">
        <f>'Work Centre Master'!F9</f>
        <v/>
      </c>
      <c r="G190">
        <f>E190*F190</f>
        <v/>
      </c>
      <c r="H190">
        <f>'Work Centre Master'!G9</f>
        <v/>
      </c>
      <c r="I190">
        <f>SUMIFS('Job Cards'!$E:$E,'Job Cards'!$N:$N,A190,'Job Cards'!$G:$G,"Released")*H190</f>
        <v/>
      </c>
      <c r="J190">
        <f>SUMIFS('Job Cards'!$E:$E,'Job Cards'!$N:$N,A190,'Job Cards'!$G:$G,"Draft")*H190</f>
        <v/>
      </c>
      <c r="K190">
        <f>I190+J190</f>
        <v/>
      </c>
      <c r="L190">
        <f>MAX(0,G190-K190)</f>
        <v/>
      </c>
      <c r="M190" s="253">
        <f>IF(G190=0,0,K190/G190)</f>
        <v/>
      </c>
      <c r="N190">
        <f>IF(K190&gt;G190,"CAPACITY SHORTFALL",IF(M190&gt;=0.85,"WATCH","OK"))</f>
        <v/>
      </c>
    </row>
    <row r="191">
      <c r="A191" t="n">
        <v>8</v>
      </c>
      <c r="B191" s="247">
        <f>INDEX('Monthly Funding'!$B$6:$B$41,A191)</f>
        <v/>
      </c>
      <c r="C191">
        <f>'Work Centre Master'!A9</f>
        <v/>
      </c>
      <c r="D191">
        <f>'Work Centre Master'!B9</f>
        <v/>
      </c>
      <c r="E191">
        <f>'Work Centre Master'!E9</f>
        <v/>
      </c>
      <c r="F191" s="253">
        <f>'Work Centre Master'!F9</f>
        <v/>
      </c>
      <c r="G191">
        <f>E191*F191</f>
        <v/>
      </c>
      <c r="H191">
        <f>'Work Centre Master'!G9</f>
        <v/>
      </c>
      <c r="I191">
        <f>SUMIFS('Job Cards'!$E:$E,'Job Cards'!$N:$N,A191,'Job Cards'!$G:$G,"Released")*H191</f>
        <v/>
      </c>
      <c r="J191">
        <f>SUMIFS('Job Cards'!$E:$E,'Job Cards'!$N:$N,A191,'Job Cards'!$G:$G,"Draft")*H191</f>
        <v/>
      </c>
      <c r="K191">
        <f>I191+J191</f>
        <v/>
      </c>
      <c r="L191">
        <f>MAX(0,G191-K191)</f>
        <v/>
      </c>
      <c r="M191" s="253">
        <f>IF(G191=0,0,K191/G191)</f>
        <v/>
      </c>
      <c r="N191">
        <f>IF(K191&gt;G191,"CAPACITY SHORTFALL",IF(M191&gt;=0.85,"WATCH","OK"))</f>
        <v/>
      </c>
    </row>
    <row r="192">
      <c r="A192" t="n">
        <v>9</v>
      </c>
      <c r="B192" s="247">
        <f>INDEX('Monthly Funding'!$B$6:$B$41,A192)</f>
        <v/>
      </c>
      <c r="C192">
        <f>'Work Centre Master'!A9</f>
        <v/>
      </c>
      <c r="D192">
        <f>'Work Centre Master'!B9</f>
        <v/>
      </c>
      <c r="E192">
        <f>'Work Centre Master'!E9</f>
        <v/>
      </c>
      <c r="F192" s="253">
        <f>'Work Centre Master'!F9</f>
        <v/>
      </c>
      <c r="G192">
        <f>E192*F192</f>
        <v/>
      </c>
      <c r="H192">
        <f>'Work Centre Master'!G9</f>
        <v/>
      </c>
      <c r="I192">
        <f>SUMIFS('Job Cards'!$E:$E,'Job Cards'!$N:$N,A192,'Job Cards'!$G:$G,"Released")*H192</f>
        <v/>
      </c>
      <c r="J192">
        <f>SUMIFS('Job Cards'!$E:$E,'Job Cards'!$N:$N,A192,'Job Cards'!$G:$G,"Draft")*H192</f>
        <v/>
      </c>
      <c r="K192">
        <f>I192+J192</f>
        <v/>
      </c>
      <c r="L192">
        <f>MAX(0,G192-K192)</f>
        <v/>
      </c>
      <c r="M192" s="253">
        <f>IF(G192=0,0,K192/G192)</f>
        <v/>
      </c>
      <c r="N192">
        <f>IF(K192&gt;G192,"CAPACITY SHORTFALL",IF(M192&gt;=0.85,"WATCH","OK"))</f>
        <v/>
      </c>
    </row>
    <row r="193">
      <c r="A193" t="n">
        <v>10</v>
      </c>
      <c r="B193" s="247">
        <f>INDEX('Monthly Funding'!$B$6:$B$41,A193)</f>
        <v/>
      </c>
      <c r="C193">
        <f>'Work Centre Master'!A9</f>
        <v/>
      </c>
      <c r="D193">
        <f>'Work Centre Master'!B9</f>
        <v/>
      </c>
      <c r="E193">
        <f>'Work Centre Master'!E9</f>
        <v/>
      </c>
      <c r="F193" s="253">
        <f>'Work Centre Master'!F9</f>
        <v/>
      </c>
      <c r="G193">
        <f>E193*F193</f>
        <v/>
      </c>
      <c r="H193">
        <f>'Work Centre Master'!G9</f>
        <v/>
      </c>
      <c r="I193">
        <f>SUMIFS('Job Cards'!$E:$E,'Job Cards'!$N:$N,A193,'Job Cards'!$G:$G,"Released")*H193</f>
        <v/>
      </c>
      <c r="J193">
        <f>SUMIFS('Job Cards'!$E:$E,'Job Cards'!$N:$N,A193,'Job Cards'!$G:$G,"Draft")*H193</f>
        <v/>
      </c>
      <c r="K193">
        <f>I193+J193</f>
        <v/>
      </c>
      <c r="L193">
        <f>MAX(0,G193-K193)</f>
        <v/>
      </c>
      <c r="M193" s="253">
        <f>IF(G193=0,0,K193/G193)</f>
        <v/>
      </c>
      <c r="N193">
        <f>IF(K193&gt;G193,"CAPACITY SHORTFALL",IF(M193&gt;=0.85,"WATCH","OK"))</f>
        <v/>
      </c>
    </row>
    <row r="194">
      <c r="A194" t="n">
        <v>11</v>
      </c>
      <c r="B194" s="247">
        <f>INDEX('Monthly Funding'!$B$6:$B$41,A194)</f>
        <v/>
      </c>
      <c r="C194">
        <f>'Work Centre Master'!A9</f>
        <v/>
      </c>
      <c r="D194">
        <f>'Work Centre Master'!B9</f>
        <v/>
      </c>
      <c r="E194">
        <f>'Work Centre Master'!E9</f>
        <v/>
      </c>
      <c r="F194" s="253">
        <f>'Work Centre Master'!F9</f>
        <v/>
      </c>
      <c r="G194">
        <f>E194*F194</f>
        <v/>
      </c>
      <c r="H194">
        <f>'Work Centre Master'!G9</f>
        <v/>
      </c>
      <c r="I194">
        <f>SUMIFS('Job Cards'!$E:$E,'Job Cards'!$N:$N,A194,'Job Cards'!$G:$G,"Released")*H194</f>
        <v/>
      </c>
      <c r="J194">
        <f>SUMIFS('Job Cards'!$E:$E,'Job Cards'!$N:$N,A194,'Job Cards'!$G:$G,"Draft")*H194</f>
        <v/>
      </c>
      <c r="K194">
        <f>I194+J194</f>
        <v/>
      </c>
      <c r="L194">
        <f>MAX(0,G194-K194)</f>
        <v/>
      </c>
      <c r="M194" s="253">
        <f>IF(G194=0,0,K194/G194)</f>
        <v/>
      </c>
      <c r="N194">
        <f>IF(K194&gt;G194,"CAPACITY SHORTFALL",IF(M194&gt;=0.85,"WATCH","OK"))</f>
        <v/>
      </c>
    </row>
    <row r="195">
      <c r="A195" t="n">
        <v>12</v>
      </c>
      <c r="B195" s="247">
        <f>INDEX('Monthly Funding'!$B$6:$B$41,A195)</f>
        <v/>
      </c>
      <c r="C195">
        <f>'Work Centre Master'!A9</f>
        <v/>
      </c>
      <c r="D195">
        <f>'Work Centre Master'!B9</f>
        <v/>
      </c>
      <c r="E195">
        <f>'Work Centre Master'!E9</f>
        <v/>
      </c>
      <c r="F195" s="253">
        <f>'Work Centre Master'!F9</f>
        <v/>
      </c>
      <c r="G195">
        <f>E195*F195</f>
        <v/>
      </c>
      <c r="H195">
        <f>'Work Centre Master'!G9</f>
        <v/>
      </c>
      <c r="I195">
        <f>SUMIFS('Job Cards'!$E:$E,'Job Cards'!$N:$N,A195,'Job Cards'!$G:$G,"Released")*H195</f>
        <v/>
      </c>
      <c r="J195">
        <f>SUMIFS('Job Cards'!$E:$E,'Job Cards'!$N:$N,A195,'Job Cards'!$G:$G,"Draft")*H195</f>
        <v/>
      </c>
      <c r="K195">
        <f>I195+J195</f>
        <v/>
      </c>
      <c r="L195">
        <f>MAX(0,G195-K195)</f>
        <v/>
      </c>
      <c r="M195" s="253">
        <f>IF(G195=0,0,K195/G195)</f>
        <v/>
      </c>
      <c r="N195">
        <f>IF(K195&gt;G195,"CAPACITY SHORTFALL",IF(M195&gt;=0.85,"WATCH","OK"))</f>
        <v/>
      </c>
    </row>
    <row r="196">
      <c r="A196" t="n">
        <v>13</v>
      </c>
      <c r="B196" s="247">
        <f>INDEX('Monthly Funding'!$B$6:$B$41,A196)</f>
        <v/>
      </c>
      <c r="C196">
        <f>'Work Centre Master'!A9</f>
        <v/>
      </c>
      <c r="D196">
        <f>'Work Centre Master'!B9</f>
        <v/>
      </c>
      <c r="E196">
        <f>'Work Centre Master'!E9</f>
        <v/>
      </c>
      <c r="F196" s="253">
        <f>'Work Centre Master'!F9</f>
        <v/>
      </c>
      <c r="G196">
        <f>E196*F196</f>
        <v/>
      </c>
      <c r="H196">
        <f>'Work Centre Master'!G9</f>
        <v/>
      </c>
      <c r="I196">
        <f>SUMIFS('Job Cards'!$E:$E,'Job Cards'!$N:$N,A196,'Job Cards'!$G:$G,"Released")*H196</f>
        <v/>
      </c>
      <c r="J196">
        <f>SUMIFS('Job Cards'!$E:$E,'Job Cards'!$N:$N,A196,'Job Cards'!$G:$G,"Draft")*H196</f>
        <v/>
      </c>
      <c r="K196">
        <f>I196+J196</f>
        <v/>
      </c>
      <c r="L196">
        <f>MAX(0,G196-K196)</f>
        <v/>
      </c>
      <c r="M196" s="253">
        <f>IF(G196=0,0,K196/G196)</f>
        <v/>
      </c>
      <c r="N196">
        <f>IF(K196&gt;G196,"CAPACITY SHORTFALL",IF(M196&gt;=0.85,"WATCH","OK"))</f>
        <v/>
      </c>
    </row>
    <row r="197">
      <c r="A197" t="n">
        <v>14</v>
      </c>
      <c r="B197" s="247">
        <f>INDEX('Monthly Funding'!$B$6:$B$41,A197)</f>
        <v/>
      </c>
      <c r="C197">
        <f>'Work Centre Master'!A9</f>
        <v/>
      </c>
      <c r="D197">
        <f>'Work Centre Master'!B9</f>
        <v/>
      </c>
      <c r="E197">
        <f>'Work Centre Master'!E9</f>
        <v/>
      </c>
      <c r="F197" s="253">
        <f>'Work Centre Master'!F9</f>
        <v/>
      </c>
      <c r="G197">
        <f>E197*F197</f>
        <v/>
      </c>
      <c r="H197">
        <f>'Work Centre Master'!G9</f>
        <v/>
      </c>
      <c r="I197">
        <f>SUMIFS('Job Cards'!$E:$E,'Job Cards'!$N:$N,A197,'Job Cards'!$G:$G,"Released")*H197</f>
        <v/>
      </c>
      <c r="J197">
        <f>SUMIFS('Job Cards'!$E:$E,'Job Cards'!$N:$N,A197,'Job Cards'!$G:$G,"Draft")*H197</f>
        <v/>
      </c>
      <c r="K197">
        <f>I197+J197</f>
        <v/>
      </c>
      <c r="L197">
        <f>MAX(0,G197-K197)</f>
        <v/>
      </c>
      <c r="M197" s="253">
        <f>IF(G197=0,0,K197/G197)</f>
        <v/>
      </c>
      <c r="N197">
        <f>IF(K197&gt;G197,"CAPACITY SHORTFALL",IF(M197&gt;=0.85,"WATCH","OK"))</f>
        <v/>
      </c>
    </row>
    <row r="198">
      <c r="A198" t="n">
        <v>15</v>
      </c>
      <c r="B198" s="247">
        <f>INDEX('Monthly Funding'!$B$6:$B$41,A198)</f>
        <v/>
      </c>
      <c r="C198">
        <f>'Work Centre Master'!A9</f>
        <v/>
      </c>
      <c r="D198">
        <f>'Work Centre Master'!B9</f>
        <v/>
      </c>
      <c r="E198">
        <f>'Work Centre Master'!E9</f>
        <v/>
      </c>
      <c r="F198" s="253">
        <f>'Work Centre Master'!F9</f>
        <v/>
      </c>
      <c r="G198">
        <f>E198*F198</f>
        <v/>
      </c>
      <c r="H198">
        <f>'Work Centre Master'!G9</f>
        <v/>
      </c>
      <c r="I198">
        <f>SUMIFS('Job Cards'!$E:$E,'Job Cards'!$N:$N,A198,'Job Cards'!$G:$G,"Released")*H198</f>
        <v/>
      </c>
      <c r="J198">
        <f>SUMIFS('Job Cards'!$E:$E,'Job Cards'!$N:$N,A198,'Job Cards'!$G:$G,"Draft")*H198</f>
        <v/>
      </c>
      <c r="K198">
        <f>I198+J198</f>
        <v/>
      </c>
      <c r="L198">
        <f>MAX(0,G198-K198)</f>
        <v/>
      </c>
      <c r="M198" s="253">
        <f>IF(G198=0,0,K198/G198)</f>
        <v/>
      </c>
      <c r="N198">
        <f>IF(K198&gt;G198,"CAPACITY SHORTFALL",IF(M198&gt;=0.85,"WATCH","OK"))</f>
        <v/>
      </c>
    </row>
    <row r="199">
      <c r="A199" t="n">
        <v>16</v>
      </c>
      <c r="B199" s="247">
        <f>INDEX('Monthly Funding'!$B$6:$B$41,A199)</f>
        <v/>
      </c>
      <c r="C199">
        <f>'Work Centre Master'!A9</f>
        <v/>
      </c>
      <c r="D199">
        <f>'Work Centre Master'!B9</f>
        <v/>
      </c>
      <c r="E199">
        <f>'Work Centre Master'!E9</f>
        <v/>
      </c>
      <c r="F199" s="253">
        <f>'Work Centre Master'!F9</f>
        <v/>
      </c>
      <c r="G199">
        <f>E199*F199</f>
        <v/>
      </c>
      <c r="H199">
        <f>'Work Centre Master'!G9</f>
        <v/>
      </c>
      <c r="I199">
        <f>SUMIFS('Job Cards'!$E:$E,'Job Cards'!$N:$N,A199,'Job Cards'!$G:$G,"Released")*H199</f>
        <v/>
      </c>
      <c r="J199">
        <f>SUMIFS('Job Cards'!$E:$E,'Job Cards'!$N:$N,A199,'Job Cards'!$G:$G,"Draft")*H199</f>
        <v/>
      </c>
      <c r="K199">
        <f>I199+J199</f>
        <v/>
      </c>
      <c r="L199">
        <f>MAX(0,G199-K199)</f>
        <v/>
      </c>
      <c r="M199" s="253">
        <f>IF(G199=0,0,K199/G199)</f>
        <v/>
      </c>
      <c r="N199">
        <f>IF(K199&gt;G199,"CAPACITY SHORTFALL",IF(M199&gt;=0.85,"WATCH","OK"))</f>
        <v/>
      </c>
    </row>
    <row r="200">
      <c r="A200" t="n">
        <v>17</v>
      </c>
      <c r="B200" s="247">
        <f>INDEX('Monthly Funding'!$B$6:$B$41,A200)</f>
        <v/>
      </c>
      <c r="C200">
        <f>'Work Centre Master'!A9</f>
        <v/>
      </c>
      <c r="D200">
        <f>'Work Centre Master'!B9</f>
        <v/>
      </c>
      <c r="E200">
        <f>'Work Centre Master'!E9</f>
        <v/>
      </c>
      <c r="F200" s="253">
        <f>'Work Centre Master'!F9</f>
        <v/>
      </c>
      <c r="G200">
        <f>E200*F200</f>
        <v/>
      </c>
      <c r="H200">
        <f>'Work Centre Master'!G9</f>
        <v/>
      </c>
      <c r="I200">
        <f>SUMIFS('Job Cards'!$E:$E,'Job Cards'!$N:$N,A200,'Job Cards'!$G:$G,"Released")*H200</f>
        <v/>
      </c>
      <c r="J200">
        <f>SUMIFS('Job Cards'!$E:$E,'Job Cards'!$N:$N,A200,'Job Cards'!$G:$G,"Draft")*H200</f>
        <v/>
      </c>
      <c r="K200">
        <f>I200+J200</f>
        <v/>
      </c>
      <c r="L200">
        <f>MAX(0,G200-K200)</f>
        <v/>
      </c>
      <c r="M200" s="253">
        <f>IF(G200=0,0,K200/G200)</f>
        <v/>
      </c>
      <c r="N200">
        <f>IF(K200&gt;G200,"CAPACITY SHORTFALL",IF(M200&gt;=0.85,"WATCH","OK"))</f>
        <v/>
      </c>
    </row>
    <row r="201">
      <c r="A201" t="n">
        <v>18</v>
      </c>
      <c r="B201" s="247">
        <f>INDEX('Monthly Funding'!$B$6:$B$41,A201)</f>
        <v/>
      </c>
      <c r="C201">
        <f>'Work Centre Master'!A9</f>
        <v/>
      </c>
      <c r="D201">
        <f>'Work Centre Master'!B9</f>
        <v/>
      </c>
      <c r="E201">
        <f>'Work Centre Master'!E9</f>
        <v/>
      </c>
      <c r="F201" s="253">
        <f>'Work Centre Master'!F9</f>
        <v/>
      </c>
      <c r="G201">
        <f>E201*F201</f>
        <v/>
      </c>
      <c r="H201">
        <f>'Work Centre Master'!G9</f>
        <v/>
      </c>
      <c r="I201">
        <f>SUMIFS('Job Cards'!$E:$E,'Job Cards'!$N:$N,A201,'Job Cards'!$G:$G,"Released")*H201</f>
        <v/>
      </c>
      <c r="J201">
        <f>SUMIFS('Job Cards'!$E:$E,'Job Cards'!$N:$N,A201,'Job Cards'!$G:$G,"Draft")*H201</f>
        <v/>
      </c>
      <c r="K201">
        <f>I201+J201</f>
        <v/>
      </c>
      <c r="L201">
        <f>MAX(0,G201-K201)</f>
        <v/>
      </c>
      <c r="M201" s="253">
        <f>IF(G201=0,0,K201/G201)</f>
        <v/>
      </c>
      <c r="N201">
        <f>IF(K201&gt;G201,"CAPACITY SHORTFALL",IF(M201&gt;=0.85,"WATCH","OK"))</f>
        <v/>
      </c>
    </row>
    <row r="202">
      <c r="A202" t="n">
        <v>19</v>
      </c>
      <c r="B202" s="247">
        <f>INDEX('Monthly Funding'!$B$6:$B$41,A202)</f>
        <v/>
      </c>
      <c r="C202">
        <f>'Work Centre Master'!A9</f>
        <v/>
      </c>
      <c r="D202">
        <f>'Work Centre Master'!B9</f>
        <v/>
      </c>
      <c r="E202">
        <f>'Work Centre Master'!E9</f>
        <v/>
      </c>
      <c r="F202" s="253">
        <f>'Work Centre Master'!F9</f>
        <v/>
      </c>
      <c r="G202">
        <f>E202*F202</f>
        <v/>
      </c>
      <c r="H202">
        <f>'Work Centre Master'!G9</f>
        <v/>
      </c>
      <c r="I202">
        <f>SUMIFS('Job Cards'!$E:$E,'Job Cards'!$N:$N,A202,'Job Cards'!$G:$G,"Released")*H202</f>
        <v/>
      </c>
      <c r="J202">
        <f>SUMIFS('Job Cards'!$E:$E,'Job Cards'!$N:$N,A202,'Job Cards'!$G:$G,"Draft")*H202</f>
        <v/>
      </c>
      <c r="K202">
        <f>I202+J202</f>
        <v/>
      </c>
      <c r="L202">
        <f>MAX(0,G202-K202)</f>
        <v/>
      </c>
      <c r="M202" s="253">
        <f>IF(G202=0,0,K202/G202)</f>
        <v/>
      </c>
      <c r="N202">
        <f>IF(K202&gt;G202,"CAPACITY SHORTFALL",IF(M202&gt;=0.85,"WATCH","OK"))</f>
        <v/>
      </c>
    </row>
    <row r="203">
      <c r="A203" t="n">
        <v>20</v>
      </c>
      <c r="B203" s="247">
        <f>INDEX('Monthly Funding'!$B$6:$B$41,A203)</f>
        <v/>
      </c>
      <c r="C203">
        <f>'Work Centre Master'!A9</f>
        <v/>
      </c>
      <c r="D203">
        <f>'Work Centre Master'!B9</f>
        <v/>
      </c>
      <c r="E203">
        <f>'Work Centre Master'!E9</f>
        <v/>
      </c>
      <c r="F203" s="253">
        <f>'Work Centre Master'!F9</f>
        <v/>
      </c>
      <c r="G203">
        <f>E203*F203</f>
        <v/>
      </c>
      <c r="H203">
        <f>'Work Centre Master'!G9</f>
        <v/>
      </c>
      <c r="I203">
        <f>SUMIFS('Job Cards'!$E:$E,'Job Cards'!$N:$N,A203,'Job Cards'!$G:$G,"Released")*H203</f>
        <v/>
      </c>
      <c r="J203">
        <f>SUMIFS('Job Cards'!$E:$E,'Job Cards'!$N:$N,A203,'Job Cards'!$G:$G,"Draft")*H203</f>
        <v/>
      </c>
      <c r="K203">
        <f>I203+J203</f>
        <v/>
      </c>
      <c r="L203">
        <f>MAX(0,G203-K203)</f>
        <v/>
      </c>
      <c r="M203" s="253">
        <f>IF(G203=0,0,K203/G203)</f>
        <v/>
      </c>
      <c r="N203">
        <f>IF(K203&gt;G203,"CAPACITY SHORTFALL",IF(M203&gt;=0.85,"WATCH","OK"))</f>
        <v/>
      </c>
    </row>
    <row r="204">
      <c r="A204" t="n">
        <v>21</v>
      </c>
      <c r="B204" s="247">
        <f>INDEX('Monthly Funding'!$B$6:$B$41,A204)</f>
        <v/>
      </c>
      <c r="C204">
        <f>'Work Centre Master'!A9</f>
        <v/>
      </c>
      <c r="D204">
        <f>'Work Centre Master'!B9</f>
        <v/>
      </c>
      <c r="E204">
        <f>'Work Centre Master'!E9</f>
        <v/>
      </c>
      <c r="F204" s="253">
        <f>'Work Centre Master'!F9</f>
        <v/>
      </c>
      <c r="G204">
        <f>E204*F204</f>
        <v/>
      </c>
      <c r="H204">
        <f>'Work Centre Master'!G9</f>
        <v/>
      </c>
      <c r="I204">
        <f>SUMIFS('Job Cards'!$E:$E,'Job Cards'!$N:$N,A204,'Job Cards'!$G:$G,"Released")*H204</f>
        <v/>
      </c>
      <c r="J204">
        <f>SUMIFS('Job Cards'!$E:$E,'Job Cards'!$N:$N,A204,'Job Cards'!$G:$G,"Draft")*H204</f>
        <v/>
      </c>
      <c r="K204">
        <f>I204+J204</f>
        <v/>
      </c>
      <c r="L204">
        <f>MAX(0,G204-K204)</f>
        <v/>
      </c>
      <c r="M204" s="253">
        <f>IF(G204=0,0,K204/G204)</f>
        <v/>
      </c>
      <c r="N204">
        <f>IF(K204&gt;G204,"CAPACITY SHORTFALL",IF(M204&gt;=0.85,"WATCH","OK"))</f>
        <v/>
      </c>
    </row>
    <row r="205">
      <c r="A205" t="n">
        <v>22</v>
      </c>
      <c r="B205" s="247">
        <f>INDEX('Monthly Funding'!$B$6:$B$41,A205)</f>
        <v/>
      </c>
      <c r="C205">
        <f>'Work Centre Master'!A9</f>
        <v/>
      </c>
      <c r="D205">
        <f>'Work Centre Master'!B9</f>
        <v/>
      </c>
      <c r="E205">
        <f>'Work Centre Master'!E9</f>
        <v/>
      </c>
      <c r="F205" s="253">
        <f>'Work Centre Master'!F9</f>
        <v/>
      </c>
      <c r="G205">
        <f>E205*F205</f>
        <v/>
      </c>
      <c r="H205">
        <f>'Work Centre Master'!G9</f>
        <v/>
      </c>
      <c r="I205">
        <f>SUMIFS('Job Cards'!$E:$E,'Job Cards'!$N:$N,A205,'Job Cards'!$G:$G,"Released")*H205</f>
        <v/>
      </c>
      <c r="J205">
        <f>SUMIFS('Job Cards'!$E:$E,'Job Cards'!$N:$N,A205,'Job Cards'!$G:$G,"Draft")*H205</f>
        <v/>
      </c>
      <c r="K205">
        <f>I205+J205</f>
        <v/>
      </c>
      <c r="L205">
        <f>MAX(0,G205-K205)</f>
        <v/>
      </c>
      <c r="M205" s="253">
        <f>IF(G205=0,0,K205/G205)</f>
        <v/>
      </c>
      <c r="N205">
        <f>IF(K205&gt;G205,"CAPACITY SHORTFALL",IF(M205&gt;=0.85,"WATCH","OK"))</f>
        <v/>
      </c>
    </row>
    <row r="206">
      <c r="A206" t="n">
        <v>23</v>
      </c>
      <c r="B206" s="247">
        <f>INDEX('Monthly Funding'!$B$6:$B$41,A206)</f>
        <v/>
      </c>
      <c r="C206">
        <f>'Work Centre Master'!A9</f>
        <v/>
      </c>
      <c r="D206">
        <f>'Work Centre Master'!B9</f>
        <v/>
      </c>
      <c r="E206">
        <f>'Work Centre Master'!E9</f>
        <v/>
      </c>
      <c r="F206" s="253">
        <f>'Work Centre Master'!F9</f>
        <v/>
      </c>
      <c r="G206">
        <f>E206*F206</f>
        <v/>
      </c>
      <c r="H206">
        <f>'Work Centre Master'!G9</f>
        <v/>
      </c>
      <c r="I206">
        <f>SUMIFS('Job Cards'!$E:$E,'Job Cards'!$N:$N,A206,'Job Cards'!$G:$G,"Released")*H206</f>
        <v/>
      </c>
      <c r="J206">
        <f>SUMIFS('Job Cards'!$E:$E,'Job Cards'!$N:$N,A206,'Job Cards'!$G:$G,"Draft")*H206</f>
        <v/>
      </c>
      <c r="K206">
        <f>I206+J206</f>
        <v/>
      </c>
      <c r="L206">
        <f>MAX(0,G206-K206)</f>
        <v/>
      </c>
      <c r="M206" s="253">
        <f>IF(G206=0,0,K206/G206)</f>
        <v/>
      </c>
      <c r="N206">
        <f>IF(K206&gt;G206,"CAPACITY SHORTFALL",IF(M206&gt;=0.85,"WATCH","OK"))</f>
        <v/>
      </c>
    </row>
    <row r="207">
      <c r="A207" t="n">
        <v>24</v>
      </c>
      <c r="B207" s="247">
        <f>INDEX('Monthly Funding'!$B$6:$B$41,A207)</f>
        <v/>
      </c>
      <c r="C207">
        <f>'Work Centre Master'!A9</f>
        <v/>
      </c>
      <c r="D207">
        <f>'Work Centre Master'!B9</f>
        <v/>
      </c>
      <c r="E207">
        <f>'Work Centre Master'!E9</f>
        <v/>
      </c>
      <c r="F207" s="253">
        <f>'Work Centre Master'!F9</f>
        <v/>
      </c>
      <c r="G207">
        <f>E207*F207</f>
        <v/>
      </c>
      <c r="H207">
        <f>'Work Centre Master'!G9</f>
        <v/>
      </c>
      <c r="I207">
        <f>SUMIFS('Job Cards'!$E:$E,'Job Cards'!$N:$N,A207,'Job Cards'!$G:$G,"Released")*H207</f>
        <v/>
      </c>
      <c r="J207">
        <f>SUMIFS('Job Cards'!$E:$E,'Job Cards'!$N:$N,A207,'Job Cards'!$G:$G,"Draft")*H207</f>
        <v/>
      </c>
      <c r="K207">
        <f>I207+J207</f>
        <v/>
      </c>
      <c r="L207">
        <f>MAX(0,G207-K207)</f>
        <v/>
      </c>
      <c r="M207" s="253">
        <f>IF(G207=0,0,K207/G207)</f>
        <v/>
      </c>
      <c r="N207">
        <f>IF(K207&gt;G207,"CAPACITY SHORTFALL",IF(M207&gt;=0.85,"WATCH","OK"))</f>
        <v/>
      </c>
    </row>
    <row r="208">
      <c r="A208" t="n">
        <v>25</v>
      </c>
      <c r="B208" s="247">
        <f>INDEX('Monthly Funding'!$B$6:$B$41,A208)</f>
        <v/>
      </c>
      <c r="C208">
        <f>'Work Centre Master'!A9</f>
        <v/>
      </c>
      <c r="D208">
        <f>'Work Centre Master'!B9</f>
        <v/>
      </c>
      <c r="E208">
        <f>'Work Centre Master'!E9</f>
        <v/>
      </c>
      <c r="F208" s="253">
        <f>'Work Centre Master'!F9</f>
        <v/>
      </c>
      <c r="G208">
        <f>E208*F208</f>
        <v/>
      </c>
      <c r="H208">
        <f>'Work Centre Master'!G9</f>
        <v/>
      </c>
      <c r="I208">
        <f>SUMIFS('Job Cards'!$E:$E,'Job Cards'!$N:$N,A208,'Job Cards'!$G:$G,"Released")*H208</f>
        <v/>
      </c>
      <c r="J208">
        <f>SUMIFS('Job Cards'!$E:$E,'Job Cards'!$N:$N,A208,'Job Cards'!$G:$G,"Draft")*H208</f>
        <v/>
      </c>
      <c r="K208">
        <f>I208+J208</f>
        <v/>
      </c>
      <c r="L208">
        <f>MAX(0,G208-K208)</f>
        <v/>
      </c>
      <c r="M208" s="253">
        <f>IF(G208=0,0,K208/G208)</f>
        <v/>
      </c>
      <c r="N208">
        <f>IF(K208&gt;G208,"CAPACITY SHORTFALL",IF(M208&gt;=0.85,"WATCH","OK"))</f>
        <v/>
      </c>
    </row>
    <row r="209">
      <c r="A209" t="n">
        <v>26</v>
      </c>
      <c r="B209" s="247">
        <f>INDEX('Monthly Funding'!$B$6:$B$41,A209)</f>
        <v/>
      </c>
      <c r="C209">
        <f>'Work Centre Master'!A9</f>
        <v/>
      </c>
      <c r="D209">
        <f>'Work Centre Master'!B9</f>
        <v/>
      </c>
      <c r="E209">
        <f>'Work Centre Master'!E9</f>
        <v/>
      </c>
      <c r="F209" s="253">
        <f>'Work Centre Master'!F9</f>
        <v/>
      </c>
      <c r="G209">
        <f>E209*F209</f>
        <v/>
      </c>
      <c r="H209">
        <f>'Work Centre Master'!G9</f>
        <v/>
      </c>
      <c r="I209">
        <f>SUMIFS('Job Cards'!$E:$E,'Job Cards'!$N:$N,A209,'Job Cards'!$G:$G,"Released")*H209</f>
        <v/>
      </c>
      <c r="J209">
        <f>SUMIFS('Job Cards'!$E:$E,'Job Cards'!$N:$N,A209,'Job Cards'!$G:$G,"Draft")*H209</f>
        <v/>
      </c>
      <c r="K209">
        <f>I209+J209</f>
        <v/>
      </c>
      <c r="L209">
        <f>MAX(0,G209-K209)</f>
        <v/>
      </c>
      <c r="M209" s="253">
        <f>IF(G209=0,0,K209/G209)</f>
        <v/>
      </c>
      <c r="N209">
        <f>IF(K209&gt;G209,"CAPACITY SHORTFALL",IF(M209&gt;=0.85,"WATCH","OK"))</f>
        <v/>
      </c>
    </row>
    <row r="210">
      <c r="A210" t="n">
        <v>27</v>
      </c>
      <c r="B210" s="247">
        <f>INDEX('Monthly Funding'!$B$6:$B$41,A210)</f>
        <v/>
      </c>
      <c r="C210">
        <f>'Work Centre Master'!A9</f>
        <v/>
      </c>
      <c r="D210">
        <f>'Work Centre Master'!B9</f>
        <v/>
      </c>
      <c r="E210">
        <f>'Work Centre Master'!E9</f>
        <v/>
      </c>
      <c r="F210" s="253">
        <f>'Work Centre Master'!F9</f>
        <v/>
      </c>
      <c r="G210">
        <f>E210*F210</f>
        <v/>
      </c>
      <c r="H210">
        <f>'Work Centre Master'!G9</f>
        <v/>
      </c>
      <c r="I210">
        <f>SUMIFS('Job Cards'!$E:$E,'Job Cards'!$N:$N,A210,'Job Cards'!$G:$G,"Released")*H210</f>
        <v/>
      </c>
      <c r="J210">
        <f>SUMIFS('Job Cards'!$E:$E,'Job Cards'!$N:$N,A210,'Job Cards'!$G:$G,"Draft")*H210</f>
        <v/>
      </c>
      <c r="K210">
        <f>I210+J210</f>
        <v/>
      </c>
      <c r="L210">
        <f>MAX(0,G210-K210)</f>
        <v/>
      </c>
      <c r="M210" s="253">
        <f>IF(G210=0,0,K210/G210)</f>
        <v/>
      </c>
      <c r="N210">
        <f>IF(K210&gt;G210,"CAPACITY SHORTFALL",IF(M210&gt;=0.85,"WATCH","OK"))</f>
        <v/>
      </c>
    </row>
    <row r="211">
      <c r="A211" t="n">
        <v>28</v>
      </c>
      <c r="B211" s="247">
        <f>INDEX('Monthly Funding'!$B$6:$B$41,A211)</f>
        <v/>
      </c>
      <c r="C211">
        <f>'Work Centre Master'!A9</f>
        <v/>
      </c>
      <c r="D211">
        <f>'Work Centre Master'!B9</f>
        <v/>
      </c>
      <c r="E211">
        <f>'Work Centre Master'!E9</f>
        <v/>
      </c>
      <c r="F211" s="253">
        <f>'Work Centre Master'!F9</f>
        <v/>
      </c>
      <c r="G211">
        <f>E211*F211</f>
        <v/>
      </c>
      <c r="H211">
        <f>'Work Centre Master'!G9</f>
        <v/>
      </c>
      <c r="I211">
        <f>SUMIFS('Job Cards'!$E:$E,'Job Cards'!$N:$N,A211,'Job Cards'!$G:$G,"Released")*H211</f>
        <v/>
      </c>
      <c r="J211">
        <f>SUMIFS('Job Cards'!$E:$E,'Job Cards'!$N:$N,A211,'Job Cards'!$G:$G,"Draft")*H211</f>
        <v/>
      </c>
      <c r="K211">
        <f>I211+J211</f>
        <v/>
      </c>
      <c r="L211">
        <f>MAX(0,G211-K211)</f>
        <v/>
      </c>
      <c r="M211" s="253">
        <f>IF(G211=0,0,K211/G211)</f>
        <v/>
      </c>
      <c r="N211">
        <f>IF(K211&gt;G211,"CAPACITY SHORTFALL",IF(M211&gt;=0.85,"WATCH","OK"))</f>
        <v/>
      </c>
    </row>
    <row r="212">
      <c r="A212" t="n">
        <v>29</v>
      </c>
      <c r="B212" s="247">
        <f>INDEX('Monthly Funding'!$B$6:$B$41,A212)</f>
        <v/>
      </c>
      <c r="C212">
        <f>'Work Centre Master'!A9</f>
        <v/>
      </c>
      <c r="D212">
        <f>'Work Centre Master'!B9</f>
        <v/>
      </c>
      <c r="E212">
        <f>'Work Centre Master'!E9</f>
        <v/>
      </c>
      <c r="F212" s="253">
        <f>'Work Centre Master'!F9</f>
        <v/>
      </c>
      <c r="G212">
        <f>E212*F212</f>
        <v/>
      </c>
      <c r="H212">
        <f>'Work Centre Master'!G9</f>
        <v/>
      </c>
      <c r="I212">
        <f>SUMIFS('Job Cards'!$E:$E,'Job Cards'!$N:$N,A212,'Job Cards'!$G:$G,"Released")*H212</f>
        <v/>
      </c>
      <c r="J212">
        <f>SUMIFS('Job Cards'!$E:$E,'Job Cards'!$N:$N,A212,'Job Cards'!$G:$G,"Draft")*H212</f>
        <v/>
      </c>
      <c r="K212">
        <f>I212+J212</f>
        <v/>
      </c>
      <c r="L212">
        <f>MAX(0,G212-K212)</f>
        <v/>
      </c>
      <c r="M212" s="253">
        <f>IF(G212=0,0,K212/G212)</f>
        <v/>
      </c>
      <c r="N212">
        <f>IF(K212&gt;G212,"CAPACITY SHORTFALL",IF(M212&gt;=0.85,"WATCH","OK"))</f>
        <v/>
      </c>
    </row>
    <row r="213">
      <c r="A213" t="n">
        <v>30</v>
      </c>
      <c r="B213" s="247">
        <f>INDEX('Monthly Funding'!$B$6:$B$41,A213)</f>
        <v/>
      </c>
      <c r="C213">
        <f>'Work Centre Master'!A9</f>
        <v/>
      </c>
      <c r="D213">
        <f>'Work Centre Master'!B9</f>
        <v/>
      </c>
      <c r="E213">
        <f>'Work Centre Master'!E9</f>
        <v/>
      </c>
      <c r="F213" s="253">
        <f>'Work Centre Master'!F9</f>
        <v/>
      </c>
      <c r="G213">
        <f>E213*F213</f>
        <v/>
      </c>
      <c r="H213">
        <f>'Work Centre Master'!G9</f>
        <v/>
      </c>
      <c r="I213">
        <f>SUMIFS('Job Cards'!$E:$E,'Job Cards'!$N:$N,A213,'Job Cards'!$G:$G,"Released")*H213</f>
        <v/>
      </c>
      <c r="J213">
        <f>SUMIFS('Job Cards'!$E:$E,'Job Cards'!$N:$N,A213,'Job Cards'!$G:$G,"Draft")*H213</f>
        <v/>
      </c>
      <c r="K213">
        <f>I213+J213</f>
        <v/>
      </c>
      <c r="L213">
        <f>MAX(0,G213-K213)</f>
        <v/>
      </c>
      <c r="M213" s="253">
        <f>IF(G213=0,0,K213/G213)</f>
        <v/>
      </c>
      <c r="N213">
        <f>IF(K213&gt;G213,"CAPACITY SHORTFALL",IF(M213&gt;=0.85,"WATCH","OK"))</f>
        <v/>
      </c>
    </row>
    <row r="214">
      <c r="A214" t="n">
        <v>31</v>
      </c>
      <c r="B214" s="247">
        <f>INDEX('Monthly Funding'!$B$6:$B$41,A214)</f>
        <v/>
      </c>
      <c r="C214">
        <f>'Work Centre Master'!A9</f>
        <v/>
      </c>
      <c r="D214">
        <f>'Work Centre Master'!B9</f>
        <v/>
      </c>
      <c r="E214">
        <f>'Work Centre Master'!E9</f>
        <v/>
      </c>
      <c r="F214" s="253">
        <f>'Work Centre Master'!F9</f>
        <v/>
      </c>
      <c r="G214">
        <f>E214*F214</f>
        <v/>
      </c>
      <c r="H214">
        <f>'Work Centre Master'!G9</f>
        <v/>
      </c>
      <c r="I214">
        <f>SUMIFS('Job Cards'!$E:$E,'Job Cards'!$N:$N,A214,'Job Cards'!$G:$G,"Released")*H214</f>
        <v/>
      </c>
      <c r="J214">
        <f>SUMIFS('Job Cards'!$E:$E,'Job Cards'!$N:$N,A214,'Job Cards'!$G:$G,"Draft")*H214</f>
        <v/>
      </c>
      <c r="K214">
        <f>I214+J214</f>
        <v/>
      </c>
      <c r="L214">
        <f>MAX(0,G214-K214)</f>
        <v/>
      </c>
      <c r="M214" s="253">
        <f>IF(G214=0,0,K214/G214)</f>
        <v/>
      </c>
      <c r="N214">
        <f>IF(K214&gt;G214,"CAPACITY SHORTFALL",IF(M214&gt;=0.85,"WATCH","OK"))</f>
        <v/>
      </c>
    </row>
    <row r="215">
      <c r="A215" t="n">
        <v>32</v>
      </c>
      <c r="B215" s="247">
        <f>INDEX('Monthly Funding'!$B$6:$B$41,A215)</f>
        <v/>
      </c>
      <c r="C215">
        <f>'Work Centre Master'!A9</f>
        <v/>
      </c>
      <c r="D215">
        <f>'Work Centre Master'!B9</f>
        <v/>
      </c>
      <c r="E215">
        <f>'Work Centre Master'!E9</f>
        <v/>
      </c>
      <c r="F215" s="253">
        <f>'Work Centre Master'!F9</f>
        <v/>
      </c>
      <c r="G215">
        <f>E215*F215</f>
        <v/>
      </c>
      <c r="H215">
        <f>'Work Centre Master'!G9</f>
        <v/>
      </c>
      <c r="I215">
        <f>SUMIFS('Job Cards'!$E:$E,'Job Cards'!$N:$N,A215,'Job Cards'!$G:$G,"Released")*H215</f>
        <v/>
      </c>
      <c r="J215">
        <f>SUMIFS('Job Cards'!$E:$E,'Job Cards'!$N:$N,A215,'Job Cards'!$G:$G,"Draft")*H215</f>
        <v/>
      </c>
      <c r="K215">
        <f>I215+J215</f>
        <v/>
      </c>
      <c r="L215">
        <f>MAX(0,G215-K215)</f>
        <v/>
      </c>
      <c r="M215" s="253">
        <f>IF(G215=0,0,K215/G215)</f>
        <v/>
      </c>
      <c r="N215">
        <f>IF(K215&gt;G215,"CAPACITY SHORTFALL",IF(M215&gt;=0.85,"WATCH","OK"))</f>
        <v/>
      </c>
    </row>
    <row r="216">
      <c r="A216" t="n">
        <v>33</v>
      </c>
      <c r="B216" s="247">
        <f>INDEX('Monthly Funding'!$B$6:$B$41,A216)</f>
        <v/>
      </c>
      <c r="C216">
        <f>'Work Centre Master'!A9</f>
        <v/>
      </c>
      <c r="D216">
        <f>'Work Centre Master'!B9</f>
        <v/>
      </c>
      <c r="E216">
        <f>'Work Centre Master'!E9</f>
        <v/>
      </c>
      <c r="F216" s="253">
        <f>'Work Centre Master'!F9</f>
        <v/>
      </c>
      <c r="G216">
        <f>E216*F216</f>
        <v/>
      </c>
      <c r="H216">
        <f>'Work Centre Master'!G9</f>
        <v/>
      </c>
      <c r="I216">
        <f>SUMIFS('Job Cards'!$E:$E,'Job Cards'!$N:$N,A216,'Job Cards'!$G:$G,"Released")*H216</f>
        <v/>
      </c>
      <c r="J216">
        <f>SUMIFS('Job Cards'!$E:$E,'Job Cards'!$N:$N,A216,'Job Cards'!$G:$G,"Draft")*H216</f>
        <v/>
      </c>
      <c r="K216">
        <f>I216+J216</f>
        <v/>
      </c>
      <c r="L216">
        <f>MAX(0,G216-K216)</f>
        <v/>
      </c>
      <c r="M216" s="253">
        <f>IF(G216=0,0,K216/G216)</f>
        <v/>
      </c>
      <c r="N216">
        <f>IF(K216&gt;G216,"CAPACITY SHORTFALL",IF(M216&gt;=0.85,"WATCH","OK"))</f>
        <v/>
      </c>
    </row>
    <row r="217">
      <c r="A217" t="n">
        <v>34</v>
      </c>
      <c r="B217" s="247">
        <f>INDEX('Monthly Funding'!$B$6:$B$41,A217)</f>
        <v/>
      </c>
      <c r="C217">
        <f>'Work Centre Master'!A9</f>
        <v/>
      </c>
      <c r="D217">
        <f>'Work Centre Master'!B9</f>
        <v/>
      </c>
      <c r="E217">
        <f>'Work Centre Master'!E9</f>
        <v/>
      </c>
      <c r="F217" s="253">
        <f>'Work Centre Master'!F9</f>
        <v/>
      </c>
      <c r="G217">
        <f>E217*F217</f>
        <v/>
      </c>
      <c r="H217">
        <f>'Work Centre Master'!G9</f>
        <v/>
      </c>
      <c r="I217">
        <f>SUMIFS('Job Cards'!$E:$E,'Job Cards'!$N:$N,A217,'Job Cards'!$G:$G,"Released")*H217</f>
        <v/>
      </c>
      <c r="J217">
        <f>SUMIFS('Job Cards'!$E:$E,'Job Cards'!$N:$N,A217,'Job Cards'!$G:$G,"Draft")*H217</f>
        <v/>
      </c>
      <c r="K217">
        <f>I217+J217</f>
        <v/>
      </c>
      <c r="L217">
        <f>MAX(0,G217-K217)</f>
        <v/>
      </c>
      <c r="M217" s="253">
        <f>IF(G217=0,0,K217/G217)</f>
        <v/>
      </c>
      <c r="N217">
        <f>IF(K217&gt;G217,"CAPACITY SHORTFALL",IF(M217&gt;=0.85,"WATCH","OK"))</f>
        <v/>
      </c>
    </row>
    <row r="218">
      <c r="A218" t="n">
        <v>35</v>
      </c>
      <c r="B218" s="247">
        <f>INDEX('Monthly Funding'!$B$6:$B$41,A218)</f>
        <v/>
      </c>
      <c r="C218">
        <f>'Work Centre Master'!A9</f>
        <v/>
      </c>
      <c r="D218">
        <f>'Work Centre Master'!B9</f>
        <v/>
      </c>
      <c r="E218">
        <f>'Work Centre Master'!E9</f>
        <v/>
      </c>
      <c r="F218" s="253">
        <f>'Work Centre Master'!F9</f>
        <v/>
      </c>
      <c r="G218">
        <f>E218*F218</f>
        <v/>
      </c>
      <c r="H218">
        <f>'Work Centre Master'!G9</f>
        <v/>
      </c>
      <c r="I218">
        <f>SUMIFS('Job Cards'!$E:$E,'Job Cards'!$N:$N,A218,'Job Cards'!$G:$G,"Released")*H218</f>
        <v/>
      </c>
      <c r="J218">
        <f>SUMIFS('Job Cards'!$E:$E,'Job Cards'!$N:$N,A218,'Job Cards'!$G:$G,"Draft")*H218</f>
        <v/>
      </c>
      <c r="K218">
        <f>I218+J218</f>
        <v/>
      </c>
      <c r="L218">
        <f>MAX(0,G218-K218)</f>
        <v/>
      </c>
      <c r="M218" s="253">
        <f>IF(G218=0,0,K218/G218)</f>
        <v/>
      </c>
      <c r="N218">
        <f>IF(K218&gt;G218,"CAPACITY SHORTFALL",IF(M218&gt;=0.85,"WATCH","OK"))</f>
        <v/>
      </c>
    </row>
    <row r="219">
      <c r="A219" t="n">
        <v>36</v>
      </c>
      <c r="B219" s="247">
        <f>INDEX('Monthly Funding'!$B$6:$B$41,A219)</f>
        <v/>
      </c>
      <c r="C219">
        <f>'Work Centre Master'!A9</f>
        <v/>
      </c>
      <c r="D219">
        <f>'Work Centre Master'!B9</f>
        <v/>
      </c>
      <c r="E219">
        <f>'Work Centre Master'!E9</f>
        <v/>
      </c>
      <c r="F219" s="253">
        <f>'Work Centre Master'!F9</f>
        <v/>
      </c>
      <c r="G219">
        <f>E219*F219</f>
        <v/>
      </c>
      <c r="H219">
        <f>'Work Centre Master'!G9</f>
        <v/>
      </c>
      <c r="I219">
        <f>SUMIFS('Job Cards'!$E:$E,'Job Cards'!$N:$N,A219,'Job Cards'!$G:$G,"Released")*H219</f>
        <v/>
      </c>
      <c r="J219">
        <f>SUMIFS('Job Cards'!$E:$E,'Job Cards'!$N:$N,A219,'Job Cards'!$G:$G,"Draft")*H219</f>
        <v/>
      </c>
      <c r="K219">
        <f>I219+J219</f>
        <v/>
      </c>
      <c r="L219">
        <f>MAX(0,G219-K219)</f>
        <v/>
      </c>
      <c r="M219" s="253">
        <f>IF(G219=0,0,K219/G219)</f>
        <v/>
      </c>
      <c r="N219">
        <f>IF(K219&gt;G219,"CAPACITY SHORTFALL",IF(M219&gt;=0.85,"WATCH","OK"))</f>
        <v/>
      </c>
    </row>
    <row r="220">
      <c r="A220" t="n">
        <v>1</v>
      </c>
      <c r="B220" s="247">
        <f>INDEX('Monthly Funding'!$B$6:$B$41,A220)</f>
        <v/>
      </c>
      <c r="C220">
        <f>'Work Centre Master'!A10</f>
        <v/>
      </c>
      <c r="D220">
        <f>'Work Centre Master'!B10</f>
        <v/>
      </c>
      <c r="E220">
        <f>'Work Centre Master'!E10</f>
        <v/>
      </c>
      <c r="F220" s="253">
        <f>'Work Centre Master'!F10</f>
        <v/>
      </c>
      <c r="G220">
        <f>E220*F220</f>
        <v/>
      </c>
      <c r="H220">
        <f>'Work Centre Master'!G10</f>
        <v/>
      </c>
      <c r="I220">
        <f>SUMIFS('Job Cards'!$E:$E,'Job Cards'!$N:$N,A220,'Job Cards'!$G:$G,"Released")*H220</f>
        <v/>
      </c>
      <c r="J220">
        <f>SUMIFS('Job Cards'!$E:$E,'Job Cards'!$N:$N,A220,'Job Cards'!$G:$G,"Draft")*H220</f>
        <v/>
      </c>
      <c r="K220">
        <f>I220+J220</f>
        <v/>
      </c>
      <c r="L220">
        <f>MAX(0,G220-K220)</f>
        <v/>
      </c>
      <c r="M220" s="253">
        <f>IF(G220=0,0,K220/G220)</f>
        <v/>
      </c>
      <c r="N220">
        <f>IF(K220&gt;G220,"CAPACITY SHORTFALL",IF(M220&gt;=0.85,"WATCH","OK"))</f>
        <v/>
      </c>
    </row>
    <row r="221">
      <c r="A221" t="n">
        <v>2</v>
      </c>
      <c r="B221" s="247">
        <f>INDEX('Monthly Funding'!$B$6:$B$41,A221)</f>
        <v/>
      </c>
      <c r="C221">
        <f>'Work Centre Master'!A10</f>
        <v/>
      </c>
      <c r="D221">
        <f>'Work Centre Master'!B10</f>
        <v/>
      </c>
      <c r="E221">
        <f>'Work Centre Master'!E10</f>
        <v/>
      </c>
      <c r="F221" s="253">
        <f>'Work Centre Master'!F10</f>
        <v/>
      </c>
      <c r="G221">
        <f>E221*F221</f>
        <v/>
      </c>
      <c r="H221">
        <f>'Work Centre Master'!G10</f>
        <v/>
      </c>
      <c r="I221">
        <f>SUMIFS('Job Cards'!$E:$E,'Job Cards'!$N:$N,A221,'Job Cards'!$G:$G,"Released")*H221</f>
        <v/>
      </c>
      <c r="J221">
        <f>SUMIFS('Job Cards'!$E:$E,'Job Cards'!$N:$N,A221,'Job Cards'!$G:$G,"Draft")*H221</f>
        <v/>
      </c>
      <c r="K221">
        <f>I221+J221</f>
        <v/>
      </c>
      <c r="L221">
        <f>MAX(0,G221-K221)</f>
        <v/>
      </c>
      <c r="M221" s="253">
        <f>IF(G221=0,0,K221/G221)</f>
        <v/>
      </c>
      <c r="N221">
        <f>IF(K221&gt;G221,"CAPACITY SHORTFALL",IF(M221&gt;=0.85,"WATCH","OK"))</f>
        <v/>
      </c>
    </row>
    <row r="222">
      <c r="A222" t="n">
        <v>3</v>
      </c>
      <c r="B222" s="247">
        <f>INDEX('Monthly Funding'!$B$6:$B$41,A222)</f>
        <v/>
      </c>
      <c r="C222">
        <f>'Work Centre Master'!A10</f>
        <v/>
      </c>
      <c r="D222">
        <f>'Work Centre Master'!B10</f>
        <v/>
      </c>
      <c r="E222">
        <f>'Work Centre Master'!E10</f>
        <v/>
      </c>
      <c r="F222" s="253">
        <f>'Work Centre Master'!F10</f>
        <v/>
      </c>
      <c r="G222">
        <f>E222*F222</f>
        <v/>
      </c>
      <c r="H222">
        <f>'Work Centre Master'!G10</f>
        <v/>
      </c>
      <c r="I222">
        <f>SUMIFS('Job Cards'!$E:$E,'Job Cards'!$N:$N,A222,'Job Cards'!$G:$G,"Released")*H222</f>
        <v/>
      </c>
      <c r="J222">
        <f>SUMIFS('Job Cards'!$E:$E,'Job Cards'!$N:$N,A222,'Job Cards'!$G:$G,"Draft")*H222</f>
        <v/>
      </c>
      <c r="K222">
        <f>I222+J222</f>
        <v/>
      </c>
      <c r="L222">
        <f>MAX(0,G222-K222)</f>
        <v/>
      </c>
      <c r="M222" s="253">
        <f>IF(G222=0,0,K222/G222)</f>
        <v/>
      </c>
      <c r="N222">
        <f>IF(K222&gt;G222,"CAPACITY SHORTFALL",IF(M222&gt;=0.85,"WATCH","OK"))</f>
        <v/>
      </c>
    </row>
    <row r="223">
      <c r="A223" t="n">
        <v>4</v>
      </c>
      <c r="B223" s="247">
        <f>INDEX('Monthly Funding'!$B$6:$B$41,A223)</f>
        <v/>
      </c>
      <c r="C223">
        <f>'Work Centre Master'!A10</f>
        <v/>
      </c>
      <c r="D223">
        <f>'Work Centre Master'!B10</f>
        <v/>
      </c>
      <c r="E223">
        <f>'Work Centre Master'!E10</f>
        <v/>
      </c>
      <c r="F223" s="253">
        <f>'Work Centre Master'!F10</f>
        <v/>
      </c>
      <c r="G223">
        <f>E223*F223</f>
        <v/>
      </c>
      <c r="H223">
        <f>'Work Centre Master'!G10</f>
        <v/>
      </c>
      <c r="I223">
        <f>SUMIFS('Job Cards'!$E:$E,'Job Cards'!$N:$N,A223,'Job Cards'!$G:$G,"Released")*H223</f>
        <v/>
      </c>
      <c r="J223">
        <f>SUMIFS('Job Cards'!$E:$E,'Job Cards'!$N:$N,A223,'Job Cards'!$G:$G,"Draft")*H223</f>
        <v/>
      </c>
      <c r="K223">
        <f>I223+J223</f>
        <v/>
      </c>
      <c r="L223">
        <f>MAX(0,G223-K223)</f>
        <v/>
      </c>
      <c r="M223" s="253">
        <f>IF(G223=0,0,K223/G223)</f>
        <v/>
      </c>
      <c r="N223">
        <f>IF(K223&gt;G223,"CAPACITY SHORTFALL",IF(M223&gt;=0.85,"WATCH","OK"))</f>
        <v/>
      </c>
    </row>
    <row r="224">
      <c r="A224" t="n">
        <v>5</v>
      </c>
      <c r="B224" s="247">
        <f>INDEX('Monthly Funding'!$B$6:$B$41,A224)</f>
        <v/>
      </c>
      <c r="C224">
        <f>'Work Centre Master'!A10</f>
        <v/>
      </c>
      <c r="D224">
        <f>'Work Centre Master'!B10</f>
        <v/>
      </c>
      <c r="E224">
        <f>'Work Centre Master'!E10</f>
        <v/>
      </c>
      <c r="F224" s="253">
        <f>'Work Centre Master'!F10</f>
        <v/>
      </c>
      <c r="G224">
        <f>E224*F224</f>
        <v/>
      </c>
      <c r="H224">
        <f>'Work Centre Master'!G10</f>
        <v/>
      </c>
      <c r="I224">
        <f>SUMIFS('Job Cards'!$E:$E,'Job Cards'!$N:$N,A224,'Job Cards'!$G:$G,"Released")*H224</f>
        <v/>
      </c>
      <c r="J224">
        <f>SUMIFS('Job Cards'!$E:$E,'Job Cards'!$N:$N,A224,'Job Cards'!$G:$G,"Draft")*H224</f>
        <v/>
      </c>
      <c r="K224">
        <f>I224+J224</f>
        <v/>
      </c>
      <c r="L224">
        <f>MAX(0,G224-K224)</f>
        <v/>
      </c>
      <c r="M224" s="253">
        <f>IF(G224=0,0,K224/G224)</f>
        <v/>
      </c>
      <c r="N224">
        <f>IF(K224&gt;G224,"CAPACITY SHORTFALL",IF(M224&gt;=0.85,"WATCH","OK"))</f>
        <v/>
      </c>
    </row>
    <row r="225">
      <c r="A225" t="n">
        <v>6</v>
      </c>
      <c r="B225" s="247">
        <f>INDEX('Monthly Funding'!$B$6:$B$41,A225)</f>
        <v/>
      </c>
      <c r="C225">
        <f>'Work Centre Master'!A10</f>
        <v/>
      </c>
      <c r="D225">
        <f>'Work Centre Master'!B10</f>
        <v/>
      </c>
      <c r="E225">
        <f>'Work Centre Master'!E10</f>
        <v/>
      </c>
      <c r="F225" s="253">
        <f>'Work Centre Master'!F10</f>
        <v/>
      </c>
      <c r="G225">
        <f>E225*F225</f>
        <v/>
      </c>
      <c r="H225">
        <f>'Work Centre Master'!G10</f>
        <v/>
      </c>
      <c r="I225">
        <f>SUMIFS('Job Cards'!$E:$E,'Job Cards'!$N:$N,A225,'Job Cards'!$G:$G,"Released")*H225</f>
        <v/>
      </c>
      <c r="J225">
        <f>SUMIFS('Job Cards'!$E:$E,'Job Cards'!$N:$N,A225,'Job Cards'!$G:$G,"Draft")*H225</f>
        <v/>
      </c>
      <c r="K225">
        <f>I225+J225</f>
        <v/>
      </c>
      <c r="L225">
        <f>MAX(0,G225-K225)</f>
        <v/>
      </c>
      <c r="M225" s="253">
        <f>IF(G225=0,0,K225/G225)</f>
        <v/>
      </c>
      <c r="N225">
        <f>IF(K225&gt;G225,"CAPACITY SHORTFALL",IF(M225&gt;=0.85,"WATCH","OK"))</f>
        <v/>
      </c>
    </row>
    <row r="226">
      <c r="A226" t="n">
        <v>7</v>
      </c>
      <c r="B226" s="247">
        <f>INDEX('Monthly Funding'!$B$6:$B$41,A226)</f>
        <v/>
      </c>
      <c r="C226">
        <f>'Work Centre Master'!A10</f>
        <v/>
      </c>
      <c r="D226">
        <f>'Work Centre Master'!B10</f>
        <v/>
      </c>
      <c r="E226">
        <f>'Work Centre Master'!E10</f>
        <v/>
      </c>
      <c r="F226" s="253">
        <f>'Work Centre Master'!F10</f>
        <v/>
      </c>
      <c r="G226">
        <f>E226*F226</f>
        <v/>
      </c>
      <c r="H226">
        <f>'Work Centre Master'!G10</f>
        <v/>
      </c>
      <c r="I226">
        <f>SUMIFS('Job Cards'!$E:$E,'Job Cards'!$N:$N,A226,'Job Cards'!$G:$G,"Released")*H226</f>
        <v/>
      </c>
      <c r="J226">
        <f>SUMIFS('Job Cards'!$E:$E,'Job Cards'!$N:$N,A226,'Job Cards'!$G:$G,"Draft")*H226</f>
        <v/>
      </c>
      <c r="K226">
        <f>I226+J226</f>
        <v/>
      </c>
      <c r="L226">
        <f>MAX(0,G226-K226)</f>
        <v/>
      </c>
      <c r="M226" s="253">
        <f>IF(G226=0,0,K226/G226)</f>
        <v/>
      </c>
      <c r="N226">
        <f>IF(K226&gt;G226,"CAPACITY SHORTFALL",IF(M226&gt;=0.85,"WATCH","OK"))</f>
        <v/>
      </c>
    </row>
    <row r="227">
      <c r="A227" t="n">
        <v>8</v>
      </c>
      <c r="B227" s="247">
        <f>INDEX('Monthly Funding'!$B$6:$B$41,A227)</f>
        <v/>
      </c>
      <c r="C227">
        <f>'Work Centre Master'!A10</f>
        <v/>
      </c>
      <c r="D227">
        <f>'Work Centre Master'!B10</f>
        <v/>
      </c>
      <c r="E227">
        <f>'Work Centre Master'!E10</f>
        <v/>
      </c>
      <c r="F227" s="253">
        <f>'Work Centre Master'!F10</f>
        <v/>
      </c>
      <c r="G227">
        <f>E227*F227</f>
        <v/>
      </c>
      <c r="H227">
        <f>'Work Centre Master'!G10</f>
        <v/>
      </c>
      <c r="I227">
        <f>SUMIFS('Job Cards'!$E:$E,'Job Cards'!$N:$N,A227,'Job Cards'!$G:$G,"Released")*H227</f>
        <v/>
      </c>
      <c r="J227">
        <f>SUMIFS('Job Cards'!$E:$E,'Job Cards'!$N:$N,A227,'Job Cards'!$G:$G,"Draft")*H227</f>
        <v/>
      </c>
      <c r="K227">
        <f>I227+J227</f>
        <v/>
      </c>
      <c r="L227">
        <f>MAX(0,G227-K227)</f>
        <v/>
      </c>
      <c r="M227" s="253">
        <f>IF(G227=0,0,K227/G227)</f>
        <v/>
      </c>
      <c r="N227">
        <f>IF(K227&gt;G227,"CAPACITY SHORTFALL",IF(M227&gt;=0.85,"WATCH","OK"))</f>
        <v/>
      </c>
    </row>
    <row r="228">
      <c r="A228" t="n">
        <v>9</v>
      </c>
      <c r="B228" s="247">
        <f>INDEX('Monthly Funding'!$B$6:$B$41,A228)</f>
        <v/>
      </c>
      <c r="C228">
        <f>'Work Centre Master'!A10</f>
        <v/>
      </c>
      <c r="D228">
        <f>'Work Centre Master'!B10</f>
        <v/>
      </c>
      <c r="E228">
        <f>'Work Centre Master'!E10</f>
        <v/>
      </c>
      <c r="F228" s="253">
        <f>'Work Centre Master'!F10</f>
        <v/>
      </c>
      <c r="G228">
        <f>E228*F228</f>
        <v/>
      </c>
      <c r="H228">
        <f>'Work Centre Master'!G10</f>
        <v/>
      </c>
      <c r="I228">
        <f>SUMIFS('Job Cards'!$E:$E,'Job Cards'!$N:$N,A228,'Job Cards'!$G:$G,"Released")*H228</f>
        <v/>
      </c>
      <c r="J228">
        <f>SUMIFS('Job Cards'!$E:$E,'Job Cards'!$N:$N,A228,'Job Cards'!$G:$G,"Draft")*H228</f>
        <v/>
      </c>
      <c r="K228">
        <f>I228+J228</f>
        <v/>
      </c>
      <c r="L228">
        <f>MAX(0,G228-K228)</f>
        <v/>
      </c>
      <c r="M228" s="253">
        <f>IF(G228=0,0,K228/G228)</f>
        <v/>
      </c>
      <c r="N228">
        <f>IF(K228&gt;G228,"CAPACITY SHORTFALL",IF(M228&gt;=0.85,"WATCH","OK"))</f>
        <v/>
      </c>
    </row>
    <row r="229">
      <c r="A229" t="n">
        <v>10</v>
      </c>
      <c r="B229" s="247">
        <f>INDEX('Monthly Funding'!$B$6:$B$41,A229)</f>
        <v/>
      </c>
      <c r="C229">
        <f>'Work Centre Master'!A10</f>
        <v/>
      </c>
      <c r="D229">
        <f>'Work Centre Master'!B10</f>
        <v/>
      </c>
      <c r="E229">
        <f>'Work Centre Master'!E10</f>
        <v/>
      </c>
      <c r="F229" s="253">
        <f>'Work Centre Master'!F10</f>
        <v/>
      </c>
      <c r="G229">
        <f>E229*F229</f>
        <v/>
      </c>
      <c r="H229">
        <f>'Work Centre Master'!G10</f>
        <v/>
      </c>
      <c r="I229">
        <f>SUMIFS('Job Cards'!$E:$E,'Job Cards'!$N:$N,A229,'Job Cards'!$G:$G,"Released")*H229</f>
        <v/>
      </c>
      <c r="J229">
        <f>SUMIFS('Job Cards'!$E:$E,'Job Cards'!$N:$N,A229,'Job Cards'!$G:$G,"Draft")*H229</f>
        <v/>
      </c>
      <c r="K229">
        <f>I229+J229</f>
        <v/>
      </c>
      <c r="L229">
        <f>MAX(0,G229-K229)</f>
        <v/>
      </c>
      <c r="M229" s="253">
        <f>IF(G229=0,0,K229/G229)</f>
        <v/>
      </c>
      <c r="N229">
        <f>IF(K229&gt;G229,"CAPACITY SHORTFALL",IF(M229&gt;=0.85,"WATCH","OK"))</f>
        <v/>
      </c>
    </row>
    <row r="230">
      <c r="A230" t="n">
        <v>11</v>
      </c>
      <c r="B230" s="247">
        <f>INDEX('Monthly Funding'!$B$6:$B$41,A230)</f>
        <v/>
      </c>
      <c r="C230">
        <f>'Work Centre Master'!A10</f>
        <v/>
      </c>
      <c r="D230">
        <f>'Work Centre Master'!B10</f>
        <v/>
      </c>
      <c r="E230">
        <f>'Work Centre Master'!E10</f>
        <v/>
      </c>
      <c r="F230" s="253">
        <f>'Work Centre Master'!F10</f>
        <v/>
      </c>
      <c r="G230">
        <f>E230*F230</f>
        <v/>
      </c>
      <c r="H230">
        <f>'Work Centre Master'!G10</f>
        <v/>
      </c>
      <c r="I230">
        <f>SUMIFS('Job Cards'!$E:$E,'Job Cards'!$N:$N,A230,'Job Cards'!$G:$G,"Released")*H230</f>
        <v/>
      </c>
      <c r="J230">
        <f>SUMIFS('Job Cards'!$E:$E,'Job Cards'!$N:$N,A230,'Job Cards'!$G:$G,"Draft")*H230</f>
        <v/>
      </c>
      <c r="K230">
        <f>I230+J230</f>
        <v/>
      </c>
      <c r="L230">
        <f>MAX(0,G230-K230)</f>
        <v/>
      </c>
      <c r="M230" s="253">
        <f>IF(G230=0,0,K230/G230)</f>
        <v/>
      </c>
      <c r="N230">
        <f>IF(K230&gt;G230,"CAPACITY SHORTFALL",IF(M230&gt;=0.85,"WATCH","OK"))</f>
        <v/>
      </c>
    </row>
    <row r="231">
      <c r="A231" t="n">
        <v>12</v>
      </c>
      <c r="B231" s="247">
        <f>INDEX('Monthly Funding'!$B$6:$B$41,A231)</f>
        <v/>
      </c>
      <c r="C231">
        <f>'Work Centre Master'!A10</f>
        <v/>
      </c>
      <c r="D231">
        <f>'Work Centre Master'!B10</f>
        <v/>
      </c>
      <c r="E231">
        <f>'Work Centre Master'!E10</f>
        <v/>
      </c>
      <c r="F231" s="253">
        <f>'Work Centre Master'!F10</f>
        <v/>
      </c>
      <c r="G231">
        <f>E231*F231</f>
        <v/>
      </c>
      <c r="H231">
        <f>'Work Centre Master'!G10</f>
        <v/>
      </c>
      <c r="I231">
        <f>SUMIFS('Job Cards'!$E:$E,'Job Cards'!$N:$N,A231,'Job Cards'!$G:$G,"Released")*H231</f>
        <v/>
      </c>
      <c r="J231">
        <f>SUMIFS('Job Cards'!$E:$E,'Job Cards'!$N:$N,A231,'Job Cards'!$G:$G,"Draft")*H231</f>
        <v/>
      </c>
      <c r="K231">
        <f>I231+J231</f>
        <v/>
      </c>
      <c r="L231">
        <f>MAX(0,G231-K231)</f>
        <v/>
      </c>
      <c r="M231" s="253">
        <f>IF(G231=0,0,K231/G231)</f>
        <v/>
      </c>
      <c r="N231">
        <f>IF(K231&gt;G231,"CAPACITY SHORTFALL",IF(M231&gt;=0.85,"WATCH","OK"))</f>
        <v/>
      </c>
    </row>
    <row r="232">
      <c r="A232" t="n">
        <v>13</v>
      </c>
      <c r="B232" s="247">
        <f>INDEX('Monthly Funding'!$B$6:$B$41,A232)</f>
        <v/>
      </c>
      <c r="C232">
        <f>'Work Centre Master'!A10</f>
        <v/>
      </c>
      <c r="D232">
        <f>'Work Centre Master'!B10</f>
        <v/>
      </c>
      <c r="E232">
        <f>'Work Centre Master'!E10</f>
        <v/>
      </c>
      <c r="F232" s="253">
        <f>'Work Centre Master'!F10</f>
        <v/>
      </c>
      <c r="G232">
        <f>E232*F232</f>
        <v/>
      </c>
      <c r="H232">
        <f>'Work Centre Master'!G10</f>
        <v/>
      </c>
      <c r="I232">
        <f>SUMIFS('Job Cards'!$E:$E,'Job Cards'!$N:$N,A232,'Job Cards'!$G:$G,"Released")*H232</f>
        <v/>
      </c>
      <c r="J232">
        <f>SUMIFS('Job Cards'!$E:$E,'Job Cards'!$N:$N,A232,'Job Cards'!$G:$G,"Draft")*H232</f>
        <v/>
      </c>
      <c r="K232">
        <f>I232+J232</f>
        <v/>
      </c>
      <c r="L232">
        <f>MAX(0,G232-K232)</f>
        <v/>
      </c>
      <c r="M232" s="253">
        <f>IF(G232=0,0,K232/G232)</f>
        <v/>
      </c>
      <c r="N232">
        <f>IF(K232&gt;G232,"CAPACITY SHORTFALL",IF(M232&gt;=0.85,"WATCH","OK"))</f>
        <v/>
      </c>
    </row>
    <row r="233">
      <c r="A233" t="n">
        <v>14</v>
      </c>
      <c r="B233" s="247">
        <f>INDEX('Monthly Funding'!$B$6:$B$41,A233)</f>
        <v/>
      </c>
      <c r="C233">
        <f>'Work Centre Master'!A10</f>
        <v/>
      </c>
      <c r="D233">
        <f>'Work Centre Master'!B10</f>
        <v/>
      </c>
      <c r="E233">
        <f>'Work Centre Master'!E10</f>
        <v/>
      </c>
      <c r="F233" s="253">
        <f>'Work Centre Master'!F10</f>
        <v/>
      </c>
      <c r="G233">
        <f>E233*F233</f>
        <v/>
      </c>
      <c r="H233">
        <f>'Work Centre Master'!G10</f>
        <v/>
      </c>
      <c r="I233">
        <f>SUMIFS('Job Cards'!$E:$E,'Job Cards'!$N:$N,A233,'Job Cards'!$G:$G,"Released")*H233</f>
        <v/>
      </c>
      <c r="J233">
        <f>SUMIFS('Job Cards'!$E:$E,'Job Cards'!$N:$N,A233,'Job Cards'!$G:$G,"Draft")*H233</f>
        <v/>
      </c>
      <c r="K233">
        <f>I233+J233</f>
        <v/>
      </c>
      <c r="L233">
        <f>MAX(0,G233-K233)</f>
        <v/>
      </c>
      <c r="M233" s="253">
        <f>IF(G233=0,0,K233/G233)</f>
        <v/>
      </c>
      <c r="N233">
        <f>IF(K233&gt;G233,"CAPACITY SHORTFALL",IF(M233&gt;=0.85,"WATCH","OK"))</f>
        <v/>
      </c>
    </row>
    <row r="234">
      <c r="A234" t="n">
        <v>15</v>
      </c>
      <c r="B234" s="247">
        <f>INDEX('Monthly Funding'!$B$6:$B$41,A234)</f>
        <v/>
      </c>
      <c r="C234">
        <f>'Work Centre Master'!A10</f>
        <v/>
      </c>
      <c r="D234">
        <f>'Work Centre Master'!B10</f>
        <v/>
      </c>
      <c r="E234">
        <f>'Work Centre Master'!E10</f>
        <v/>
      </c>
      <c r="F234" s="253">
        <f>'Work Centre Master'!F10</f>
        <v/>
      </c>
      <c r="G234">
        <f>E234*F234</f>
        <v/>
      </c>
      <c r="H234">
        <f>'Work Centre Master'!G10</f>
        <v/>
      </c>
      <c r="I234">
        <f>SUMIFS('Job Cards'!$E:$E,'Job Cards'!$N:$N,A234,'Job Cards'!$G:$G,"Released")*H234</f>
        <v/>
      </c>
      <c r="J234">
        <f>SUMIFS('Job Cards'!$E:$E,'Job Cards'!$N:$N,A234,'Job Cards'!$G:$G,"Draft")*H234</f>
        <v/>
      </c>
      <c r="K234">
        <f>I234+J234</f>
        <v/>
      </c>
      <c r="L234">
        <f>MAX(0,G234-K234)</f>
        <v/>
      </c>
      <c r="M234" s="253">
        <f>IF(G234=0,0,K234/G234)</f>
        <v/>
      </c>
      <c r="N234">
        <f>IF(K234&gt;G234,"CAPACITY SHORTFALL",IF(M234&gt;=0.85,"WATCH","OK"))</f>
        <v/>
      </c>
    </row>
    <row r="235">
      <c r="A235" t="n">
        <v>16</v>
      </c>
      <c r="B235" s="247">
        <f>INDEX('Monthly Funding'!$B$6:$B$41,A235)</f>
        <v/>
      </c>
      <c r="C235">
        <f>'Work Centre Master'!A10</f>
        <v/>
      </c>
      <c r="D235">
        <f>'Work Centre Master'!B10</f>
        <v/>
      </c>
      <c r="E235">
        <f>'Work Centre Master'!E10</f>
        <v/>
      </c>
      <c r="F235" s="253">
        <f>'Work Centre Master'!F10</f>
        <v/>
      </c>
      <c r="G235">
        <f>E235*F235</f>
        <v/>
      </c>
      <c r="H235">
        <f>'Work Centre Master'!G10</f>
        <v/>
      </c>
      <c r="I235">
        <f>SUMIFS('Job Cards'!$E:$E,'Job Cards'!$N:$N,A235,'Job Cards'!$G:$G,"Released")*H235</f>
        <v/>
      </c>
      <c r="J235">
        <f>SUMIFS('Job Cards'!$E:$E,'Job Cards'!$N:$N,A235,'Job Cards'!$G:$G,"Draft")*H235</f>
        <v/>
      </c>
      <c r="K235">
        <f>I235+J235</f>
        <v/>
      </c>
      <c r="L235">
        <f>MAX(0,G235-K235)</f>
        <v/>
      </c>
      <c r="M235" s="253">
        <f>IF(G235=0,0,K235/G235)</f>
        <v/>
      </c>
      <c r="N235">
        <f>IF(K235&gt;G235,"CAPACITY SHORTFALL",IF(M235&gt;=0.85,"WATCH","OK"))</f>
        <v/>
      </c>
    </row>
    <row r="236">
      <c r="A236" t="n">
        <v>17</v>
      </c>
      <c r="B236" s="247">
        <f>INDEX('Monthly Funding'!$B$6:$B$41,A236)</f>
        <v/>
      </c>
      <c r="C236">
        <f>'Work Centre Master'!A10</f>
        <v/>
      </c>
      <c r="D236">
        <f>'Work Centre Master'!B10</f>
        <v/>
      </c>
      <c r="E236">
        <f>'Work Centre Master'!E10</f>
        <v/>
      </c>
      <c r="F236" s="253">
        <f>'Work Centre Master'!F10</f>
        <v/>
      </c>
      <c r="G236">
        <f>E236*F236</f>
        <v/>
      </c>
      <c r="H236">
        <f>'Work Centre Master'!G10</f>
        <v/>
      </c>
      <c r="I236">
        <f>SUMIFS('Job Cards'!$E:$E,'Job Cards'!$N:$N,A236,'Job Cards'!$G:$G,"Released")*H236</f>
        <v/>
      </c>
      <c r="J236">
        <f>SUMIFS('Job Cards'!$E:$E,'Job Cards'!$N:$N,A236,'Job Cards'!$G:$G,"Draft")*H236</f>
        <v/>
      </c>
      <c r="K236">
        <f>I236+J236</f>
        <v/>
      </c>
      <c r="L236">
        <f>MAX(0,G236-K236)</f>
        <v/>
      </c>
      <c r="M236" s="253">
        <f>IF(G236=0,0,K236/G236)</f>
        <v/>
      </c>
      <c r="N236">
        <f>IF(K236&gt;G236,"CAPACITY SHORTFALL",IF(M236&gt;=0.85,"WATCH","OK"))</f>
        <v/>
      </c>
    </row>
    <row r="237">
      <c r="A237" t="n">
        <v>18</v>
      </c>
      <c r="B237" s="247">
        <f>INDEX('Monthly Funding'!$B$6:$B$41,A237)</f>
        <v/>
      </c>
      <c r="C237">
        <f>'Work Centre Master'!A10</f>
        <v/>
      </c>
      <c r="D237">
        <f>'Work Centre Master'!B10</f>
        <v/>
      </c>
      <c r="E237">
        <f>'Work Centre Master'!E10</f>
        <v/>
      </c>
      <c r="F237" s="253">
        <f>'Work Centre Master'!F10</f>
        <v/>
      </c>
      <c r="G237">
        <f>E237*F237</f>
        <v/>
      </c>
      <c r="H237">
        <f>'Work Centre Master'!G10</f>
        <v/>
      </c>
      <c r="I237">
        <f>SUMIFS('Job Cards'!$E:$E,'Job Cards'!$N:$N,A237,'Job Cards'!$G:$G,"Released")*H237</f>
        <v/>
      </c>
      <c r="J237">
        <f>SUMIFS('Job Cards'!$E:$E,'Job Cards'!$N:$N,A237,'Job Cards'!$G:$G,"Draft")*H237</f>
        <v/>
      </c>
      <c r="K237">
        <f>I237+J237</f>
        <v/>
      </c>
      <c r="L237">
        <f>MAX(0,G237-K237)</f>
        <v/>
      </c>
      <c r="M237" s="253">
        <f>IF(G237=0,0,K237/G237)</f>
        <v/>
      </c>
      <c r="N237">
        <f>IF(K237&gt;G237,"CAPACITY SHORTFALL",IF(M237&gt;=0.85,"WATCH","OK"))</f>
        <v/>
      </c>
    </row>
    <row r="238">
      <c r="A238" t="n">
        <v>19</v>
      </c>
      <c r="B238" s="247">
        <f>INDEX('Monthly Funding'!$B$6:$B$41,A238)</f>
        <v/>
      </c>
      <c r="C238">
        <f>'Work Centre Master'!A10</f>
        <v/>
      </c>
      <c r="D238">
        <f>'Work Centre Master'!B10</f>
        <v/>
      </c>
      <c r="E238">
        <f>'Work Centre Master'!E10</f>
        <v/>
      </c>
      <c r="F238" s="253">
        <f>'Work Centre Master'!F10</f>
        <v/>
      </c>
      <c r="G238">
        <f>E238*F238</f>
        <v/>
      </c>
      <c r="H238">
        <f>'Work Centre Master'!G10</f>
        <v/>
      </c>
      <c r="I238">
        <f>SUMIFS('Job Cards'!$E:$E,'Job Cards'!$N:$N,A238,'Job Cards'!$G:$G,"Released")*H238</f>
        <v/>
      </c>
      <c r="J238">
        <f>SUMIFS('Job Cards'!$E:$E,'Job Cards'!$N:$N,A238,'Job Cards'!$G:$G,"Draft")*H238</f>
        <v/>
      </c>
      <c r="K238">
        <f>I238+J238</f>
        <v/>
      </c>
      <c r="L238">
        <f>MAX(0,G238-K238)</f>
        <v/>
      </c>
      <c r="M238" s="253">
        <f>IF(G238=0,0,K238/G238)</f>
        <v/>
      </c>
      <c r="N238">
        <f>IF(K238&gt;G238,"CAPACITY SHORTFALL",IF(M238&gt;=0.85,"WATCH","OK"))</f>
        <v/>
      </c>
    </row>
    <row r="239">
      <c r="A239" t="n">
        <v>20</v>
      </c>
      <c r="B239" s="247">
        <f>INDEX('Monthly Funding'!$B$6:$B$41,A239)</f>
        <v/>
      </c>
      <c r="C239">
        <f>'Work Centre Master'!A10</f>
        <v/>
      </c>
      <c r="D239">
        <f>'Work Centre Master'!B10</f>
        <v/>
      </c>
      <c r="E239">
        <f>'Work Centre Master'!E10</f>
        <v/>
      </c>
      <c r="F239" s="253">
        <f>'Work Centre Master'!F10</f>
        <v/>
      </c>
      <c r="G239">
        <f>E239*F239</f>
        <v/>
      </c>
      <c r="H239">
        <f>'Work Centre Master'!G10</f>
        <v/>
      </c>
      <c r="I239">
        <f>SUMIFS('Job Cards'!$E:$E,'Job Cards'!$N:$N,A239,'Job Cards'!$G:$G,"Released")*H239</f>
        <v/>
      </c>
      <c r="J239">
        <f>SUMIFS('Job Cards'!$E:$E,'Job Cards'!$N:$N,A239,'Job Cards'!$G:$G,"Draft")*H239</f>
        <v/>
      </c>
      <c r="K239">
        <f>I239+J239</f>
        <v/>
      </c>
      <c r="L239">
        <f>MAX(0,G239-K239)</f>
        <v/>
      </c>
      <c r="M239" s="253">
        <f>IF(G239=0,0,K239/G239)</f>
        <v/>
      </c>
      <c r="N239">
        <f>IF(K239&gt;G239,"CAPACITY SHORTFALL",IF(M239&gt;=0.85,"WATCH","OK"))</f>
        <v/>
      </c>
    </row>
    <row r="240">
      <c r="A240" t="n">
        <v>21</v>
      </c>
      <c r="B240" s="247">
        <f>INDEX('Monthly Funding'!$B$6:$B$41,A240)</f>
        <v/>
      </c>
      <c r="C240">
        <f>'Work Centre Master'!A10</f>
        <v/>
      </c>
      <c r="D240">
        <f>'Work Centre Master'!B10</f>
        <v/>
      </c>
      <c r="E240">
        <f>'Work Centre Master'!E10</f>
        <v/>
      </c>
      <c r="F240" s="253">
        <f>'Work Centre Master'!F10</f>
        <v/>
      </c>
      <c r="G240">
        <f>E240*F240</f>
        <v/>
      </c>
      <c r="H240">
        <f>'Work Centre Master'!G10</f>
        <v/>
      </c>
      <c r="I240">
        <f>SUMIFS('Job Cards'!$E:$E,'Job Cards'!$N:$N,A240,'Job Cards'!$G:$G,"Released")*H240</f>
        <v/>
      </c>
      <c r="J240">
        <f>SUMIFS('Job Cards'!$E:$E,'Job Cards'!$N:$N,A240,'Job Cards'!$G:$G,"Draft")*H240</f>
        <v/>
      </c>
      <c r="K240">
        <f>I240+J240</f>
        <v/>
      </c>
      <c r="L240">
        <f>MAX(0,G240-K240)</f>
        <v/>
      </c>
      <c r="M240" s="253">
        <f>IF(G240=0,0,K240/G240)</f>
        <v/>
      </c>
      <c r="N240">
        <f>IF(K240&gt;G240,"CAPACITY SHORTFALL",IF(M240&gt;=0.85,"WATCH","OK"))</f>
        <v/>
      </c>
    </row>
    <row r="241">
      <c r="A241" t="n">
        <v>22</v>
      </c>
      <c r="B241" s="247">
        <f>INDEX('Monthly Funding'!$B$6:$B$41,A241)</f>
        <v/>
      </c>
      <c r="C241">
        <f>'Work Centre Master'!A10</f>
        <v/>
      </c>
      <c r="D241">
        <f>'Work Centre Master'!B10</f>
        <v/>
      </c>
      <c r="E241">
        <f>'Work Centre Master'!E10</f>
        <v/>
      </c>
      <c r="F241" s="253">
        <f>'Work Centre Master'!F10</f>
        <v/>
      </c>
      <c r="G241">
        <f>E241*F241</f>
        <v/>
      </c>
      <c r="H241">
        <f>'Work Centre Master'!G10</f>
        <v/>
      </c>
      <c r="I241">
        <f>SUMIFS('Job Cards'!$E:$E,'Job Cards'!$N:$N,A241,'Job Cards'!$G:$G,"Released")*H241</f>
        <v/>
      </c>
      <c r="J241">
        <f>SUMIFS('Job Cards'!$E:$E,'Job Cards'!$N:$N,A241,'Job Cards'!$G:$G,"Draft")*H241</f>
        <v/>
      </c>
      <c r="K241">
        <f>I241+J241</f>
        <v/>
      </c>
      <c r="L241">
        <f>MAX(0,G241-K241)</f>
        <v/>
      </c>
      <c r="M241" s="253">
        <f>IF(G241=0,0,K241/G241)</f>
        <v/>
      </c>
      <c r="N241">
        <f>IF(K241&gt;G241,"CAPACITY SHORTFALL",IF(M241&gt;=0.85,"WATCH","OK"))</f>
        <v/>
      </c>
    </row>
    <row r="242">
      <c r="A242" t="n">
        <v>23</v>
      </c>
      <c r="B242" s="247">
        <f>INDEX('Monthly Funding'!$B$6:$B$41,A242)</f>
        <v/>
      </c>
      <c r="C242">
        <f>'Work Centre Master'!A10</f>
        <v/>
      </c>
      <c r="D242">
        <f>'Work Centre Master'!B10</f>
        <v/>
      </c>
      <c r="E242">
        <f>'Work Centre Master'!E10</f>
        <v/>
      </c>
      <c r="F242" s="253">
        <f>'Work Centre Master'!F10</f>
        <v/>
      </c>
      <c r="G242">
        <f>E242*F242</f>
        <v/>
      </c>
      <c r="H242">
        <f>'Work Centre Master'!G10</f>
        <v/>
      </c>
      <c r="I242">
        <f>SUMIFS('Job Cards'!$E:$E,'Job Cards'!$N:$N,A242,'Job Cards'!$G:$G,"Released")*H242</f>
        <v/>
      </c>
      <c r="J242">
        <f>SUMIFS('Job Cards'!$E:$E,'Job Cards'!$N:$N,A242,'Job Cards'!$G:$G,"Draft")*H242</f>
        <v/>
      </c>
      <c r="K242">
        <f>I242+J242</f>
        <v/>
      </c>
      <c r="L242">
        <f>MAX(0,G242-K242)</f>
        <v/>
      </c>
      <c r="M242" s="253">
        <f>IF(G242=0,0,K242/G242)</f>
        <v/>
      </c>
      <c r="N242">
        <f>IF(K242&gt;G242,"CAPACITY SHORTFALL",IF(M242&gt;=0.85,"WATCH","OK"))</f>
        <v/>
      </c>
    </row>
    <row r="243">
      <c r="A243" t="n">
        <v>24</v>
      </c>
      <c r="B243" s="247">
        <f>INDEX('Monthly Funding'!$B$6:$B$41,A243)</f>
        <v/>
      </c>
      <c r="C243">
        <f>'Work Centre Master'!A10</f>
        <v/>
      </c>
      <c r="D243">
        <f>'Work Centre Master'!B10</f>
        <v/>
      </c>
      <c r="E243">
        <f>'Work Centre Master'!E10</f>
        <v/>
      </c>
      <c r="F243" s="253">
        <f>'Work Centre Master'!F10</f>
        <v/>
      </c>
      <c r="G243">
        <f>E243*F243</f>
        <v/>
      </c>
      <c r="H243">
        <f>'Work Centre Master'!G10</f>
        <v/>
      </c>
      <c r="I243">
        <f>SUMIFS('Job Cards'!$E:$E,'Job Cards'!$N:$N,A243,'Job Cards'!$G:$G,"Released")*H243</f>
        <v/>
      </c>
      <c r="J243">
        <f>SUMIFS('Job Cards'!$E:$E,'Job Cards'!$N:$N,A243,'Job Cards'!$G:$G,"Draft")*H243</f>
        <v/>
      </c>
      <c r="K243">
        <f>I243+J243</f>
        <v/>
      </c>
      <c r="L243">
        <f>MAX(0,G243-K243)</f>
        <v/>
      </c>
      <c r="M243" s="253">
        <f>IF(G243=0,0,K243/G243)</f>
        <v/>
      </c>
      <c r="N243">
        <f>IF(K243&gt;G243,"CAPACITY SHORTFALL",IF(M243&gt;=0.85,"WATCH","OK"))</f>
        <v/>
      </c>
    </row>
    <row r="244">
      <c r="A244" t="n">
        <v>25</v>
      </c>
      <c r="B244" s="247">
        <f>INDEX('Monthly Funding'!$B$6:$B$41,A244)</f>
        <v/>
      </c>
      <c r="C244">
        <f>'Work Centre Master'!A10</f>
        <v/>
      </c>
      <c r="D244">
        <f>'Work Centre Master'!B10</f>
        <v/>
      </c>
      <c r="E244">
        <f>'Work Centre Master'!E10</f>
        <v/>
      </c>
      <c r="F244" s="253">
        <f>'Work Centre Master'!F10</f>
        <v/>
      </c>
      <c r="G244">
        <f>E244*F244</f>
        <v/>
      </c>
      <c r="H244">
        <f>'Work Centre Master'!G10</f>
        <v/>
      </c>
      <c r="I244">
        <f>SUMIFS('Job Cards'!$E:$E,'Job Cards'!$N:$N,A244,'Job Cards'!$G:$G,"Released")*H244</f>
        <v/>
      </c>
      <c r="J244">
        <f>SUMIFS('Job Cards'!$E:$E,'Job Cards'!$N:$N,A244,'Job Cards'!$G:$G,"Draft")*H244</f>
        <v/>
      </c>
      <c r="K244">
        <f>I244+J244</f>
        <v/>
      </c>
      <c r="L244">
        <f>MAX(0,G244-K244)</f>
        <v/>
      </c>
      <c r="M244" s="253">
        <f>IF(G244=0,0,K244/G244)</f>
        <v/>
      </c>
      <c r="N244">
        <f>IF(K244&gt;G244,"CAPACITY SHORTFALL",IF(M244&gt;=0.85,"WATCH","OK"))</f>
        <v/>
      </c>
    </row>
    <row r="245">
      <c r="A245" t="n">
        <v>26</v>
      </c>
      <c r="B245" s="247">
        <f>INDEX('Monthly Funding'!$B$6:$B$41,A245)</f>
        <v/>
      </c>
      <c r="C245">
        <f>'Work Centre Master'!A10</f>
        <v/>
      </c>
      <c r="D245">
        <f>'Work Centre Master'!B10</f>
        <v/>
      </c>
      <c r="E245">
        <f>'Work Centre Master'!E10</f>
        <v/>
      </c>
      <c r="F245" s="253">
        <f>'Work Centre Master'!F10</f>
        <v/>
      </c>
      <c r="G245">
        <f>E245*F245</f>
        <v/>
      </c>
      <c r="H245">
        <f>'Work Centre Master'!G10</f>
        <v/>
      </c>
      <c r="I245">
        <f>SUMIFS('Job Cards'!$E:$E,'Job Cards'!$N:$N,A245,'Job Cards'!$G:$G,"Released")*H245</f>
        <v/>
      </c>
      <c r="J245">
        <f>SUMIFS('Job Cards'!$E:$E,'Job Cards'!$N:$N,A245,'Job Cards'!$G:$G,"Draft")*H245</f>
        <v/>
      </c>
      <c r="K245">
        <f>I245+J245</f>
        <v/>
      </c>
      <c r="L245">
        <f>MAX(0,G245-K245)</f>
        <v/>
      </c>
      <c r="M245" s="253">
        <f>IF(G245=0,0,K245/G245)</f>
        <v/>
      </c>
      <c r="N245">
        <f>IF(K245&gt;G245,"CAPACITY SHORTFALL",IF(M245&gt;=0.85,"WATCH","OK"))</f>
        <v/>
      </c>
    </row>
    <row r="246">
      <c r="A246" t="n">
        <v>27</v>
      </c>
      <c r="B246" s="247">
        <f>INDEX('Monthly Funding'!$B$6:$B$41,A246)</f>
        <v/>
      </c>
      <c r="C246">
        <f>'Work Centre Master'!A10</f>
        <v/>
      </c>
      <c r="D246">
        <f>'Work Centre Master'!B10</f>
        <v/>
      </c>
      <c r="E246">
        <f>'Work Centre Master'!E10</f>
        <v/>
      </c>
      <c r="F246" s="253">
        <f>'Work Centre Master'!F10</f>
        <v/>
      </c>
      <c r="G246">
        <f>E246*F246</f>
        <v/>
      </c>
      <c r="H246">
        <f>'Work Centre Master'!G10</f>
        <v/>
      </c>
      <c r="I246">
        <f>SUMIFS('Job Cards'!$E:$E,'Job Cards'!$N:$N,A246,'Job Cards'!$G:$G,"Released")*H246</f>
        <v/>
      </c>
      <c r="J246">
        <f>SUMIFS('Job Cards'!$E:$E,'Job Cards'!$N:$N,A246,'Job Cards'!$G:$G,"Draft")*H246</f>
        <v/>
      </c>
      <c r="K246">
        <f>I246+J246</f>
        <v/>
      </c>
      <c r="L246">
        <f>MAX(0,G246-K246)</f>
        <v/>
      </c>
      <c r="M246" s="253">
        <f>IF(G246=0,0,K246/G246)</f>
        <v/>
      </c>
      <c r="N246">
        <f>IF(K246&gt;G246,"CAPACITY SHORTFALL",IF(M246&gt;=0.85,"WATCH","OK"))</f>
        <v/>
      </c>
    </row>
    <row r="247">
      <c r="A247" t="n">
        <v>28</v>
      </c>
      <c r="B247" s="247">
        <f>INDEX('Monthly Funding'!$B$6:$B$41,A247)</f>
        <v/>
      </c>
      <c r="C247">
        <f>'Work Centre Master'!A10</f>
        <v/>
      </c>
      <c r="D247">
        <f>'Work Centre Master'!B10</f>
        <v/>
      </c>
      <c r="E247">
        <f>'Work Centre Master'!E10</f>
        <v/>
      </c>
      <c r="F247" s="253">
        <f>'Work Centre Master'!F10</f>
        <v/>
      </c>
      <c r="G247">
        <f>E247*F247</f>
        <v/>
      </c>
      <c r="H247">
        <f>'Work Centre Master'!G10</f>
        <v/>
      </c>
      <c r="I247">
        <f>SUMIFS('Job Cards'!$E:$E,'Job Cards'!$N:$N,A247,'Job Cards'!$G:$G,"Released")*H247</f>
        <v/>
      </c>
      <c r="J247">
        <f>SUMIFS('Job Cards'!$E:$E,'Job Cards'!$N:$N,A247,'Job Cards'!$G:$G,"Draft")*H247</f>
        <v/>
      </c>
      <c r="K247">
        <f>I247+J247</f>
        <v/>
      </c>
      <c r="L247">
        <f>MAX(0,G247-K247)</f>
        <v/>
      </c>
      <c r="M247" s="253">
        <f>IF(G247=0,0,K247/G247)</f>
        <v/>
      </c>
      <c r="N247">
        <f>IF(K247&gt;G247,"CAPACITY SHORTFALL",IF(M247&gt;=0.85,"WATCH","OK"))</f>
        <v/>
      </c>
    </row>
    <row r="248">
      <c r="A248" t="n">
        <v>29</v>
      </c>
      <c r="B248" s="247">
        <f>INDEX('Monthly Funding'!$B$6:$B$41,A248)</f>
        <v/>
      </c>
      <c r="C248">
        <f>'Work Centre Master'!A10</f>
        <v/>
      </c>
      <c r="D248">
        <f>'Work Centre Master'!B10</f>
        <v/>
      </c>
      <c r="E248">
        <f>'Work Centre Master'!E10</f>
        <v/>
      </c>
      <c r="F248" s="253">
        <f>'Work Centre Master'!F10</f>
        <v/>
      </c>
      <c r="G248">
        <f>E248*F248</f>
        <v/>
      </c>
      <c r="H248">
        <f>'Work Centre Master'!G10</f>
        <v/>
      </c>
      <c r="I248">
        <f>SUMIFS('Job Cards'!$E:$E,'Job Cards'!$N:$N,A248,'Job Cards'!$G:$G,"Released")*H248</f>
        <v/>
      </c>
      <c r="J248">
        <f>SUMIFS('Job Cards'!$E:$E,'Job Cards'!$N:$N,A248,'Job Cards'!$G:$G,"Draft")*H248</f>
        <v/>
      </c>
      <c r="K248">
        <f>I248+J248</f>
        <v/>
      </c>
      <c r="L248">
        <f>MAX(0,G248-K248)</f>
        <v/>
      </c>
      <c r="M248" s="253">
        <f>IF(G248=0,0,K248/G248)</f>
        <v/>
      </c>
      <c r="N248">
        <f>IF(K248&gt;G248,"CAPACITY SHORTFALL",IF(M248&gt;=0.85,"WATCH","OK"))</f>
        <v/>
      </c>
    </row>
    <row r="249">
      <c r="A249" t="n">
        <v>30</v>
      </c>
      <c r="B249" s="247">
        <f>INDEX('Monthly Funding'!$B$6:$B$41,A249)</f>
        <v/>
      </c>
      <c r="C249">
        <f>'Work Centre Master'!A10</f>
        <v/>
      </c>
      <c r="D249">
        <f>'Work Centre Master'!B10</f>
        <v/>
      </c>
      <c r="E249">
        <f>'Work Centre Master'!E10</f>
        <v/>
      </c>
      <c r="F249" s="253">
        <f>'Work Centre Master'!F10</f>
        <v/>
      </c>
      <c r="G249">
        <f>E249*F249</f>
        <v/>
      </c>
      <c r="H249">
        <f>'Work Centre Master'!G10</f>
        <v/>
      </c>
      <c r="I249">
        <f>SUMIFS('Job Cards'!$E:$E,'Job Cards'!$N:$N,A249,'Job Cards'!$G:$G,"Released")*H249</f>
        <v/>
      </c>
      <c r="J249">
        <f>SUMIFS('Job Cards'!$E:$E,'Job Cards'!$N:$N,A249,'Job Cards'!$G:$G,"Draft")*H249</f>
        <v/>
      </c>
      <c r="K249">
        <f>I249+J249</f>
        <v/>
      </c>
      <c r="L249">
        <f>MAX(0,G249-K249)</f>
        <v/>
      </c>
      <c r="M249" s="253">
        <f>IF(G249=0,0,K249/G249)</f>
        <v/>
      </c>
      <c r="N249">
        <f>IF(K249&gt;G249,"CAPACITY SHORTFALL",IF(M249&gt;=0.85,"WATCH","OK"))</f>
        <v/>
      </c>
    </row>
    <row r="250">
      <c r="A250" t="n">
        <v>31</v>
      </c>
      <c r="B250" s="247">
        <f>INDEX('Monthly Funding'!$B$6:$B$41,A250)</f>
        <v/>
      </c>
      <c r="C250">
        <f>'Work Centre Master'!A10</f>
        <v/>
      </c>
      <c r="D250">
        <f>'Work Centre Master'!B10</f>
        <v/>
      </c>
      <c r="E250">
        <f>'Work Centre Master'!E10</f>
        <v/>
      </c>
      <c r="F250" s="253">
        <f>'Work Centre Master'!F10</f>
        <v/>
      </c>
      <c r="G250">
        <f>E250*F250</f>
        <v/>
      </c>
      <c r="H250">
        <f>'Work Centre Master'!G10</f>
        <v/>
      </c>
      <c r="I250">
        <f>SUMIFS('Job Cards'!$E:$E,'Job Cards'!$N:$N,A250,'Job Cards'!$G:$G,"Released")*H250</f>
        <v/>
      </c>
      <c r="J250">
        <f>SUMIFS('Job Cards'!$E:$E,'Job Cards'!$N:$N,A250,'Job Cards'!$G:$G,"Draft")*H250</f>
        <v/>
      </c>
      <c r="K250">
        <f>I250+J250</f>
        <v/>
      </c>
      <c r="L250">
        <f>MAX(0,G250-K250)</f>
        <v/>
      </c>
      <c r="M250" s="253">
        <f>IF(G250=0,0,K250/G250)</f>
        <v/>
      </c>
      <c r="N250">
        <f>IF(K250&gt;G250,"CAPACITY SHORTFALL",IF(M250&gt;=0.85,"WATCH","OK"))</f>
        <v/>
      </c>
    </row>
    <row r="251">
      <c r="A251" t="n">
        <v>32</v>
      </c>
      <c r="B251" s="247">
        <f>INDEX('Monthly Funding'!$B$6:$B$41,A251)</f>
        <v/>
      </c>
      <c r="C251">
        <f>'Work Centre Master'!A10</f>
        <v/>
      </c>
      <c r="D251">
        <f>'Work Centre Master'!B10</f>
        <v/>
      </c>
      <c r="E251">
        <f>'Work Centre Master'!E10</f>
        <v/>
      </c>
      <c r="F251" s="253">
        <f>'Work Centre Master'!F10</f>
        <v/>
      </c>
      <c r="G251">
        <f>E251*F251</f>
        <v/>
      </c>
      <c r="H251">
        <f>'Work Centre Master'!G10</f>
        <v/>
      </c>
      <c r="I251">
        <f>SUMIFS('Job Cards'!$E:$E,'Job Cards'!$N:$N,A251,'Job Cards'!$G:$G,"Released")*H251</f>
        <v/>
      </c>
      <c r="J251">
        <f>SUMIFS('Job Cards'!$E:$E,'Job Cards'!$N:$N,A251,'Job Cards'!$G:$G,"Draft")*H251</f>
        <v/>
      </c>
      <c r="K251">
        <f>I251+J251</f>
        <v/>
      </c>
      <c r="L251">
        <f>MAX(0,G251-K251)</f>
        <v/>
      </c>
      <c r="M251" s="253">
        <f>IF(G251=0,0,K251/G251)</f>
        <v/>
      </c>
      <c r="N251">
        <f>IF(K251&gt;G251,"CAPACITY SHORTFALL",IF(M251&gt;=0.85,"WATCH","OK"))</f>
        <v/>
      </c>
    </row>
    <row r="252">
      <c r="A252" t="n">
        <v>33</v>
      </c>
      <c r="B252" s="247">
        <f>INDEX('Monthly Funding'!$B$6:$B$41,A252)</f>
        <v/>
      </c>
      <c r="C252">
        <f>'Work Centre Master'!A10</f>
        <v/>
      </c>
      <c r="D252">
        <f>'Work Centre Master'!B10</f>
        <v/>
      </c>
      <c r="E252">
        <f>'Work Centre Master'!E10</f>
        <v/>
      </c>
      <c r="F252" s="253">
        <f>'Work Centre Master'!F10</f>
        <v/>
      </c>
      <c r="G252">
        <f>E252*F252</f>
        <v/>
      </c>
      <c r="H252">
        <f>'Work Centre Master'!G10</f>
        <v/>
      </c>
      <c r="I252">
        <f>SUMIFS('Job Cards'!$E:$E,'Job Cards'!$N:$N,A252,'Job Cards'!$G:$G,"Released")*H252</f>
        <v/>
      </c>
      <c r="J252">
        <f>SUMIFS('Job Cards'!$E:$E,'Job Cards'!$N:$N,A252,'Job Cards'!$G:$G,"Draft")*H252</f>
        <v/>
      </c>
      <c r="K252">
        <f>I252+J252</f>
        <v/>
      </c>
      <c r="L252">
        <f>MAX(0,G252-K252)</f>
        <v/>
      </c>
      <c r="M252" s="253">
        <f>IF(G252=0,0,K252/G252)</f>
        <v/>
      </c>
      <c r="N252">
        <f>IF(K252&gt;G252,"CAPACITY SHORTFALL",IF(M252&gt;=0.85,"WATCH","OK"))</f>
        <v/>
      </c>
    </row>
    <row r="253">
      <c r="A253" t="n">
        <v>34</v>
      </c>
      <c r="B253" s="247">
        <f>INDEX('Monthly Funding'!$B$6:$B$41,A253)</f>
        <v/>
      </c>
      <c r="C253">
        <f>'Work Centre Master'!A10</f>
        <v/>
      </c>
      <c r="D253">
        <f>'Work Centre Master'!B10</f>
        <v/>
      </c>
      <c r="E253">
        <f>'Work Centre Master'!E10</f>
        <v/>
      </c>
      <c r="F253" s="253">
        <f>'Work Centre Master'!F10</f>
        <v/>
      </c>
      <c r="G253">
        <f>E253*F253</f>
        <v/>
      </c>
      <c r="H253">
        <f>'Work Centre Master'!G10</f>
        <v/>
      </c>
      <c r="I253">
        <f>SUMIFS('Job Cards'!$E:$E,'Job Cards'!$N:$N,A253,'Job Cards'!$G:$G,"Released")*H253</f>
        <v/>
      </c>
      <c r="J253">
        <f>SUMIFS('Job Cards'!$E:$E,'Job Cards'!$N:$N,A253,'Job Cards'!$G:$G,"Draft")*H253</f>
        <v/>
      </c>
      <c r="K253">
        <f>I253+J253</f>
        <v/>
      </c>
      <c r="L253">
        <f>MAX(0,G253-K253)</f>
        <v/>
      </c>
      <c r="M253" s="253">
        <f>IF(G253=0,0,K253/G253)</f>
        <v/>
      </c>
      <c r="N253">
        <f>IF(K253&gt;G253,"CAPACITY SHORTFALL",IF(M253&gt;=0.85,"WATCH","OK"))</f>
        <v/>
      </c>
    </row>
    <row r="254">
      <c r="A254" t="n">
        <v>35</v>
      </c>
      <c r="B254" s="247">
        <f>INDEX('Monthly Funding'!$B$6:$B$41,A254)</f>
        <v/>
      </c>
      <c r="C254">
        <f>'Work Centre Master'!A10</f>
        <v/>
      </c>
      <c r="D254">
        <f>'Work Centre Master'!B10</f>
        <v/>
      </c>
      <c r="E254">
        <f>'Work Centre Master'!E10</f>
        <v/>
      </c>
      <c r="F254" s="253">
        <f>'Work Centre Master'!F10</f>
        <v/>
      </c>
      <c r="G254">
        <f>E254*F254</f>
        <v/>
      </c>
      <c r="H254">
        <f>'Work Centre Master'!G10</f>
        <v/>
      </c>
      <c r="I254">
        <f>SUMIFS('Job Cards'!$E:$E,'Job Cards'!$N:$N,A254,'Job Cards'!$G:$G,"Released")*H254</f>
        <v/>
      </c>
      <c r="J254">
        <f>SUMIFS('Job Cards'!$E:$E,'Job Cards'!$N:$N,A254,'Job Cards'!$G:$G,"Draft")*H254</f>
        <v/>
      </c>
      <c r="K254">
        <f>I254+J254</f>
        <v/>
      </c>
      <c r="L254">
        <f>MAX(0,G254-K254)</f>
        <v/>
      </c>
      <c r="M254" s="253">
        <f>IF(G254=0,0,K254/G254)</f>
        <v/>
      </c>
      <c r="N254">
        <f>IF(K254&gt;G254,"CAPACITY SHORTFALL",IF(M254&gt;=0.85,"WATCH","OK"))</f>
        <v/>
      </c>
    </row>
    <row r="255">
      <c r="A255" t="n">
        <v>36</v>
      </c>
      <c r="B255" s="247">
        <f>INDEX('Monthly Funding'!$B$6:$B$41,A255)</f>
        <v/>
      </c>
      <c r="C255">
        <f>'Work Centre Master'!A10</f>
        <v/>
      </c>
      <c r="D255">
        <f>'Work Centre Master'!B10</f>
        <v/>
      </c>
      <c r="E255">
        <f>'Work Centre Master'!E10</f>
        <v/>
      </c>
      <c r="F255" s="253">
        <f>'Work Centre Master'!F10</f>
        <v/>
      </c>
      <c r="G255">
        <f>E255*F255</f>
        <v/>
      </c>
      <c r="H255">
        <f>'Work Centre Master'!G10</f>
        <v/>
      </c>
      <c r="I255">
        <f>SUMIFS('Job Cards'!$E:$E,'Job Cards'!$N:$N,A255,'Job Cards'!$G:$G,"Released")*H255</f>
        <v/>
      </c>
      <c r="J255">
        <f>SUMIFS('Job Cards'!$E:$E,'Job Cards'!$N:$N,A255,'Job Cards'!$G:$G,"Draft")*H255</f>
        <v/>
      </c>
      <c r="K255">
        <f>I255+J255</f>
        <v/>
      </c>
      <c r="L255">
        <f>MAX(0,G255-K255)</f>
        <v/>
      </c>
      <c r="M255" s="253">
        <f>IF(G255=0,0,K255/G255)</f>
        <v/>
      </c>
      <c r="N255">
        <f>IF(K255&gt;G255,"CAPACITY SHORTFALL",IF(M255&gt;=0.85,"WATCH","OK"))</f>
        <v/>
      </c>
    </row>
    <row r="256">
      <c r="A256" t="n">
        <v>1</v>
      </c>
      <c r="B256" s="247">
        <f>INDEX('Monthly Funding'!$B$6:$B$41,A256)</f>
        <v/>
      </c>
      <c r="C256">
        <f>'Work Centre Master'!A11</f>
        <v/>
      </c>
      <c r="D256">
        <f>'Work Centre Master'!B11</f>
        <v/>
      </c>
      <c r="E256">
        <f>'Work Centre Master'!E11</f>
        <v/>
      </c>
      <c r="F256" s="253">
        <f>'Work Centre Master'!F11</f>
        <v/>
      </c>
      <c r="G256">
        <f>E256*F256</f>
        <v/>
      </c>
      <c r="H256">
        <f>'Work Centre Master'!G11</f>
        <v/>
      </c>
      <c r="I256">
        <f>SUMIFS('Job Cards'!$E:$E,'Job Cards'!$N:$N,A256,'Job Cards'!$G:$G,"Released")*H256</f>
        <v/>
      </c>
      <c r="J256">
        <f>SUMIFS('Job Cards'!$E:$E,'Job Cards'!$N:$N,A256,'Job Cards'!$G:$G,"Draft")*H256</f>
        <v/>
      </c>
      <c r="K256">
        <f>I256+J256</f>
        <v/>
      </c>
      <c r="L256">
        <f>MAX(0,G256-K256)</f>
        <v/>
      </c>
      <c r="M256" s="253">
        <f>IF(G256=0,0,K256/G256)</f>
        <v/>
      </c>
      <c r="N256">
        <f>IF(K256&gt;G256,"CAPACITY SHORTFALL",IF(M256&gt;=0.85,"WATCH","OK"))</f>
        <v/>
      </c>
    </row>
    <row r="257">
      <c r="A257" t="n">
        <v>2</v>
      </c>
      <c r="B257" s="247">
        <f>INDEX('Monthly Funding'!$B$6:$B$41,A257)</f>
        <v/>
      </c>
      <c r="C257">
        <f>'Work Centre Master'!A11</f>
        <v/>
      </c>
      <c r="D257">
        <f>'Work Centre Master'!B11</f>
        <v/>
      </c>
      <c r="E257">
        <f>'Work Centre Master'!E11</f>
        <v/>
      </c>
      <c r="F257" s="253">
        <f>'Work Centre Master'!F11</f>
        <v/>
      </c>
      <c r="G257">
        <f>E257*F257</f>
        <v/>
      </c>
      <c r="H257">
        <f>'Work Centre Master'!G11</f>
        <v/>
      </c>
      <c r="I257">
        <f>SUMIFS('Job Cards'!$E:$E,'Job Cards'!$N:$N,A257,'Job Cards'!$G:$G,"Released")*H257</f>
        <v/>
      </c>
      <c r="J257">
        <f>SUMIFS('Job Cards'!$E:$E,'Job Cards'!$N:$N,A257,'Job Cards'!$G:$G,"Draft")*H257</f>
        <v/>
      </c>
      <c r="K257">
        <f>I257+J257</f>
        <v/>
      </c>
      <c r="L257">
        <f>MAX(0,G257-K257)</f>
        <v/>
      </c>
      <c r="M257" s="253">
        <f>IF(G257=0,0,K257/G257)</f>
        <v/>
      </c>
      <c r="N257">
        <f>IF(K257&gt;G257,"CAPACITY SHORTFALL",IF(M257&gt;=0.85,"WATCH","OK"))</f>
        <v/>
      </c>
    </row>
    <row r="258">
      <c r="A258" t="n">
        <v>3</v>
      </c>
      <c r="B258" s="247">
        <f>INDEX('Monthly Funding'!$B$6:$B$41,A258)</f>
        <v/>
      </c>
      <c r="C258">
        <f>'Work Centre Master'!A11</f>
        <v/>
      </c>
      <c r="D258">
        <f>'Work Centre Master'!B11</f>
        <v/>
      </c>
      <c r="E258">
        <f>'Work Centre Master'!E11</f>
        <v/>
      </c>
      <c r="F258" s="253">
        <f>'Work Centre Master'!F11</f>
        <v/>
      </c>
      <c r="G258">
        <f>E258*F258</f>
        <v/>
      </c>
      <c r="H258">
        <f>'Work Centre Master'!G11</f>
        <v/>
      </c>
      <c r="I258">
        <f>SUMIFS('Job Cards'!$E:$E,'Job Cards'!$N:$N,A258,'Job Cards'!$G:$G,"Released")*H258</f>
        <v/>
      </c>
      <c r="J258">
        <f>SUMIFS('Job Cards'!$E:$E,'Job Cards'!$N:$N,A258,'Job Cards'!$G:$G,"Draft")*H258</f>
        <v/>
      </c>
      <c r="K258">
        <f>I258+J258</f>
        <v/>
      </c>
      <c r="L258">
        <f>MAX(0,G258-K258)</f>
        <v/>
      </c>
      <c r="M258" s="253">
        <f>IF(G258=0,0,K258/G258)</f>
        <v/>
      </c>
      <c r="N258">
        <f>IF(K258&gt;G258,"CAPACITY SHORTFALL",IF(M258&gt;=0.85,"WATCH","OK"))</f>
        <v/>
      </c>
    </row>
    <row r="259">
      <c r="A259" t="n">
        <v>4</v>
      </c>
      <c r="B259" s="247">
        <f>INDEX('Monthly Funding'!$B$6:$B$41,A259)</f>
        <v/>
      </c>
      <c r="C259">
        <f>'Work Centre Master'!A11</f>
        <v/>
      </c>
      <c r="D259">
        <f>'Work Centre Master'!B11</f>
        <v/>
      </c>
      <c r="E259">
        <f>'Work Centre Master'!E11</f>
        <v/>
      </c>
      <c r="F259" s="253">
        <f>'Work Centre Master'!F11</f>
        <v/>
      </c>
      <c r="G259">
        <f>E259*F259</f>
        <v/>
      </c>
      <c r="H259">
        <f>'Work Centre Master'!G11</f>
        <v/>
      </c>
      <c r="I259">
        <f>SUMIFS('Job Cards'!$E:$E,'Job Cards'!$N:$N,A259,'Job Cards'!$G:$G,"Released")*H259</f>
        <v/>
      </c>
      <c r="J259">
        <f>SUMIFS('Job Cards'!$E:$E,'Job Cards'!$N:$N,A259,'Job Cards'!$G:$G,"Draft")*H259</f>
        <v/>
      </c>
      <c r="K259">
        <f>I259+J259</f>
        <v/>
      </c>
      <c r="L259">
        <f>MAX(0,G259-K259)</f>
        <v/>
      </c>
      <c r="M259" s="253">
        <f>IF(G259=0,0,K259/G259)</f>
        <v/>
      </c>
      <c r="N259">
        <f>IF(K259&gt;G259,"CAPACITY SHORTFALL",IF(M259&gt;=0.85,"WATCH","OK"))</f>
        <v/>
      </c>
    </row>
    <row r="260">
      <c r="A260" t="n">
        <v>5</v>
      </c>
      <c r="B260" s="247">
        <f>INDEX('Monthly Funding'!$B$6:$B$41,A260)</f>
        <v/>
      </c>
      <c r="C260">
        <f>'Work Centre Master'!A11</f>
        <v/>
      </c>
      <c r="D260">
        <f>'Work Centre Master'!B11</f>
        <v/>
      </c>
      <c r="E260">
        <f>'Work Centre Master'!E11</f>
        <v/>
      </c>
      <c r="F260" s="253">
        <f>'Work Centre Master'!F11</f>
        <v/>
      </c>
      <c r="G260">
        <f>E260*F260</f>
        <v/>
      </c>
      <c r="H260">
        <f>'Work Centre Master'!G11</f>
        <v/>
      </c>
      <c r="I260">
        <f>SUMIFS('Job Cards'!$E:$E,'Job Cards'!$N:$N,A260,'Job Cards'!$G:$G,"Released")*H260</f>
        <v/>
      </c>
      <c r="J260">
        <f>SUMIFS('Job Cards'!$E:$E,'Job Cards'!$N:$N,A260,'Job Cards'!$G:$G,"Draft")*H260</f>
        <v/>
      </c>
      <c r="K260">
        <f>I260+J260</f>
        <v/>
      </c>
      <c r="L260">
        <f>MAX(0,G260-K260)</f>
        <v/>
      </c>
      <c r="M260" s="253">
        <f>IF(G260=0,0,K260/G260)</f>
        <v/>
      </c>
      <c r="N260">
        <f>IF(K260&gt;G260,"CAPACITY SHORTFALL",IF(M260&gt;=0.85,"WATCH","OK"))</f>
        <v/>
      </c>
    </row>
    <row r="261">
      <c r="A261" t="n">
        <v>6</v>
      </c>
      <c r="B261" s="247">
        <f>INDEX('Monthly Funding'!$B$6:$B$41,A261)</f>
        <v/>
      </c>
      <c r="C261">
        <f>'Work Centre Master'!A11</f>
        <v/>
      </c>
      <c r="D261">
        <f>'Work Centre Master'!B11</f>
        <v/>
      </c>
      <c r="E261">
        <f>'Work Centre Master'!E11</f>
        <v/>
      </c>
      <c r="F261" s="253">
        <f>'Work Centre Master'!F11</f>
        <v/>
      </c>
      <c r="G261">
        <f>E261*F261</f>
        <v/>
      </c>
      <c r="H261">
        <f>'Work Centre Master'!G11</f>
        <v/>
      </c>
      <c r="I261">
        <f>SUMIFS('Job Cards'!$E:$E,'Job Cards'!$N:$N,A261,'Job Cards'!$G:$G,"Released")*H261</f>
        <v/>
      </c>
      <c r="J261">
        <f>SUMIFS('Job Cards'!$E:$E,'Job Cards'!$N:$N,A261,'Job Cards'!$G:$G,"Draft")*H261</f>
        <v/>
      </c>
      <c r="K261">
        <f>I261+J261</f>
        <v/>
      </c>
      <c r="L261">
        <f>MAX(0,G261-K261)</f>
        <v/>
      </c>
      <c r="M261" s="253">
        <f>IF(G261=0,0,K261/G261)</f>
        <v/>
      </c>
      <c r="N261">
        <f>IF(K261&gt;G261,"CAPACITY SHORTFALL",IF(M261&gt;=0.85,"WATCH","OK"))</f>
        <v/>
      </c>
    </row>
    <row r="262">
      <c r="A262" t="n">
        <v>7</v>
      </c>
      <c r="B262" s="247">
        <f>INDEX('Monthly Funding'!$B$6:$B$41,A262)</f>
        <v/>
      </c>
      <c r="C262">
        <f>'Work Centre Master'!A11</f>
        <v/>
      </c>
      <c r="D262">
        <f>'Work Centre Master'!B11</f>
        <v/>
      </c>
      <c r="E262">
        <f>'Work Centre Master'!E11</f>
        <v/>
      </c>
      <c r="F262" s="253">
        <f>'Work Centre Master'!F11</f>
        <v/>
      </c>
      <c r="G262">
        <f>E262*F262</f>
        <v/>
      </c>
      <c r="H262">
        <f>'Work Centre Master'!G11</f>
        <v/>
      </c>
      <c r="I262">
        <f>SUMIFS('Job Cards'!$E:$E,'Job Cards'!$N:$N,A262,'Job Cards'!$G:$G,"Released")*H262</f>
        <v/>
      </c>
      <c r="J262">
        <f>SUMIFS('Job Cards'!$E:$E,'Job Cards'!$N:$N,A262,'Job Cards'!$G:$G,"Draft")*H262</f>
        <v/>
      </c>
      <c r="K262">
        <f>I262+J262</f>
        <v/>
      </c>
      <c r="L262">
        <f>MAX(0,G262-K262)</f>
        <v/>
      </c>
      <c r="M262" s="253">
        <f>IF(G262=0,0,K262/G262)</f>
        <v/>
      </c>
      <c r="N262">
        <f>IF(K262&gt;G262,"CAPACITY SHORTFALL",IF(M262&gt;=0.85,"WATCH","OK"))</f>
        <v/>
      </c>
    </row>
    <row r="263">
      <c r="A263" t="n">
        <v>8</v>
      </c>
      <c r="B263" s="247">
        <f>INDEX('Monthly Funding'!$B$6:$B$41,A263)</f>
        <v/>
      </c>
      <c r="C263">
        <f>'Work Centre Master'!A11</f>
        <v/>
      </c>
      <c r="D263">
        <f>'Work Centre Master'!B11</f>
        <v/>
      </c>
      <c r="E263">
        <f>'Work Centre Master'!E11</f>
        <v/>
      </c>
      <c r="F263" s="253">
        <f>'Work Centre Master'!F11</f>
        <v/>
      </c>
      <c r="G263">
        <f>E263*F263</f>
        <v/>
      </c>
      <c r="H263">
        <f>'Work Centre Master'!G11</f>
        <v/>
      </c>
      <c r="I263">
        <f>SUMIFS('Job Cards'!$E:$E,'Job Cards'!$N:$N,A263,'Job Cards'!$G:$G,"Released")*H263</f>
        <v/>
      </c>
      <c r="J263">
        <f>SUMIFS('Job Cards'!$E:$E,'Job Cards'!$N:$N,A263,'Job Cards'!$G:$G,"Draft")*H263</f>
        <v/>
      </c>
      <c r="K263">
        <f>I263+J263</f>
        <v/>
      </c>
      <c r="L263">
        <f>MAX(0,G263-K263)</f>
        <v/>
      </c>
      <c r="M263" s="253">
        <f>IF(G263=0,0,K263/G263)</f>
        <v/>
      </c>
      <c r="N263">
        <f>IF(K263&gt;G263,"CAPACITY SHORTFALL",IF(M263&gt;=0.85,"WATCH","OK"))</f>
        <v/>
      </c>
    </row>
    <row r="264">
      <c r="A264" t="n">
        <v>9</v>
      </c>
      <c r="B264" s="247">
        <f>INDEX('Monthly Funding'!$B$6:$B$41,A264)</f>
        <v/>
      </c>
      <c r="C264">
        <f>'Work Centre Master'!A11</f>
        <v/>
      </c>
      <c r="D264">
        <f>'Work Centre Master'!B11</f>
        <v/>
      </c>
      <c r="E264">
        <f>'Work Centre Master'!E11</f>
        <v/>
      </c>
      <c r="F264" s="253">
        <f>'Work Centre Master'!F11</f>
        <v/>
      </c>
      <c r="G264">
        <f>E264*F264</f>
        <v/>
      </c>
      <c r="H264">
        <f>'Work Centre Master'!G11</f>
        <v/>
      </c>
      <c r="I264">
        <f>SUMIFS('Job Cards'!$E:$E,'Job Cards'!$N:$N,A264,'Job Cards'!$G:$G,"Released")*H264</f>
        <v/>
      </c>
      <c r="J264">
        <f>SUMIFS('Job Cards'!$E:$E,'Job Cards'!$N:$N,A264,'Job Cards'!$G:$G,"Draft")*H264</f>
        <v/>
      </c>
      <c r="K264">
        <f>I264+J264</f>
        <v/>
      </c>
      <c r="L264">
        <f>MAX(0,G264-K264)</f>
        <v/>
      </c>
      <c r="M264" s="253">
        <f>IF(G264=0,0,K264/G264)</f>
        <v/>
      </c>
      <c r="N264">
        <f>IF(K264&gt;G264,"CAPACITY SHORTFALL",IF(M264&gt;=0.85,"WATCH","OK"))</f>
        <v/>
      </c>
    </row>
    <row r="265">
      <c r="A265" t="n">
        <v>10</v>
      </c>
      <c r="B265" s="247">
        <f>INDEX('Monthly Funding'!$B$6:$B$41,A265)</f>
        <v/>
      </c>
      <c r="C265">
        <f>'Work Centre Master'!A11</f>
        <v/>
      </c>
      <c r="D265">
        <f>'Work Centre Master'!B11</f>
        <v/>
      </c>
      <c r="E265">
        <f>'Work Centre Master'!E11</f>
        <v/>
      </c>
      <c r="F265" s="253">
        <f>'Work Centre Master'!F11</f>
        <v/>
      </c>
      <c r="G265">
        <f>E265*F265</f>
        <v/>
      </c>
      <c r="H265">
        <f>'Work Centre Master'!G11</f>
        <v/>
      </c>
      <c r="I265">
        <f>SUMIFS('Job Cards'!$E:$E,'Job Cards'!$N:$N,A265,'Job Cards'!$G:$G,"Released")*H265</f>
        <v/>
      </c>
      <c r="J265">
        <f>SUMIFS('Job Cards'!$E:$E,'Job Cards'!$N:$N,A265,'Job Cards'!$G:$G,"Draft")*H265</f>
        <v/>
      </c>
      <c r="K265">
        <f>I265+J265</f>
        <v/>
      </c>
      <c r="L265">
        <f>MAX(0,G265-K265)</f>
        <v/>
      </c>
      <c r="M265" s="253">
        <f>IF(G265=0,0,K265/G265)</f>
        <v/>
      </c>
      <c r="N265">
        <f>IF(K265&gt;G265,"CAPACITY SHORTFALL",IF(M265&gt;=0.85,"WATCH","OK"))</f>
        <v/>
      </c>
    </row>
    <row r="266">
      <c r="A266" t="n">
        <v>11</v>
      </c>
      <c r="B266" s="247">
        <f>INDEX('Monthly Funding'!$B$6:$B$41,A266)</f>
        <v/>
      </c>
      <c r="C266">
        <f>'Work Centre Master'!A11</f>
        <v/>
      </c>
      <c r="D266">
        <f>'Work Centre Master'!B11</f>
        <v/>
      </c>
      <c r="E266">
        <f>'Work Centre Master'!E11</f>
        <v/>
      </c>
      <c r="F266" s="253">
        <f>'Work Centre Master'!F11</f>
        <v/>
      </c>
      <c r="G266">
        <f>E266*F266</f>
        <v/>
      </c>
      <c r="H266">
        <f>'Work Centre Master'!G11</f>
        <v/>
      </c>
      <c r="I266">
        <f>SUMIFS('Job Cards'!$E:$E,'Job Cards'!$N:$N,A266,'Job Cards'!$G:$G,"Released")*H266</f>
        <v/>
      </c>
      <c r="J266">
        <f>SUMIFS('Job Cards'!$E:$E,'Job Cards'!$N:$N,A266,'Job Cards'!$G:$G,"Draft")*H266</f>
        <v/>
      </c>
      <c r="K266">
        <f>I266+J266</f>
        <v/>
      </c>
      <c r="L266">
        <f>MAX(0,G266-K266)</f>
        <v/>
      </c>
      <c r="M266" s="253">
        <f>IF(G266=0,0,K266/G266)</f>
        <v/>
      </c>
      <c r="N266">
        <f>IF(K266&gt;G266,"CAPACITY SHORTFALL",IF(M266&gt;=0.85,"WATCH","OK"))</f>
        <v/>
      </c>
    </row>
    <row r="267">
      <c r="A267" t="n">
        <v>12</v>
      </c>
      <c r="B267" s="247">
        <f>INDEX('Monthly Funding'!$B$6:$B$41,A267)</f>
        <v/>
      </c>
      <c r="C267">
        <f>'Work Centre Master'!A11</f>
        <v/>
      </c>
      <c r="D267">
        <f>'Work Centre Master'!B11</f>
        <v/>
      </c>
      <c r="E267">
        <f>'Work Centre Master'!E11</f>
        <v/>
      </c>
      <c r="F267" s="253">
        <f>'Work Centre Master'!F11</f>
        <v/>
      </c>
      <c r="G267">
        <f>E267*F267</f>
        <v/>
      </c>
      <c r="H267">
        <f>'Work Centre Master'!G11</f>
        <v/>
      </c>
      <c r="I267">
        <f>SUMIFS('Job Cards'!$E:$E,'Job Cards'!$N:$N,A267,'Job Cards'!$G:$G,"Released")*H267</f>
        <v/>
      </c>
      <c r="J267">
        <f>SUMIFS('Job Cards'!$E:$E,'Job Cards'!$N:$N,A267,'Job Cards'!$G:$G,"Draft")*H267</f>
        <v/>
      </c>
      <c r="K267">
        <f>I267+J267</f>
        <v/>
      </c>
      <c r="L267">
        <f>MAX(0,G267-K267)</f>
        <v/>
      </c>
      <c r="M267" s="253">
        <f>IF(G267=0,0,K267/G267)</f>
        <v/>
      </c>
      <c r="N267">
        <f>IF(K267&gt;G267,"CAPACITY SHORTFALL",IF(M267&gt;=0.85,"WATCH","OK"))</f>
        <v/>
      </c>
    </row>
    <row r="268">
      <c r="A268" t="n">
        <v>13</v>
      </c>
      <c r="B268" s="247">
        <f>INDEX('Monthly Funding'!$B$6:$B$41,A268)</f>
        <v/>
      </c>
      <c r="C268">
        <f>'Work Centre Master'!A11</f>
        <v/>
      </c>
      <c r="D268">
        <f>'Work Centre Master'!B11</f>
        <v/>
      </c>
      <c r="E268">
        <f>'Work Centre Master'!E11</f>
        <v/>
      </c>
      <c r="F268" s="253">
        <f>'Work Centre Master'!F11</f>
        <v/>
      </c>
      <c r="G268">
        <f>E268*F268</f>
        <v/>
      </c>
      <c r="H268">
        <f>'Work Centre Master'!G11</f>
        <v/>
      </c>
      <c r="I268">
        <f>SUMIFS('Job Cards'!$E:$E,'Job Cards'!$N:$N,A268,'Job Cards'!$G:$G,"Released")*H268</f>
        <v/>
      </c>
      <c r="J268">
        <f>SUMIFS('Job Cards'!$E:$E,'Job Cards'!$N:$N,A268,'Job Cards'!$G:$G,"Draft")*H268</f>
        <v/>
      </c>
      <c r="K268">
        <f>I268+J268</f>
        <v/>
      </c>
      <c r="L268">
        <f>MAX(0,G268-K268)</f>
        <v/>
      </c>
      <c r="M268" s="253">
        <f>IF(G268=0,0,K268/G268)</f>
        <v/>
      </c>
      <c r="N268">
        <f>IF(K268&gt;G268,"CAPACITY SHORTFALL",IF(M268&gt;=0.85,"WATCH","OK"))</f>
        <v/>
      </c>
    </row>
    <row r="269">
      <c r="A269" t="n">
        <v>14</v>
      </c>
      <c r="B269" s="247">
        <f>INDEX('Monthly Funding'!$B$6:$B$41,A269)</f>
        <v/>
      </c>
      <c r="C269">
        <f>'Work Centre Master'!A11</f>
        <v/>
      </c>
      <c r="D269">
        <f>'Work Centre Master'!B11</f>
        <v/>
      </c>
      <c r="E269">
        <f>'Work Centre Master'!E11</f>
        <v/>
      </c>
      <c r="F269" s="253">
        <f>'Work Centre Master'!F11</f>
        <v/>
      </c>
      <c r="G269">
        <f>E269*F269</f>
        <v/>
      </c>
      <c r="H269">
        <f>'Work Centre Master'!G11</f>
        <v/>
      </c>
      <c r="I269">
        <f>SUMIFS('Job Cards'!$E:$E,'Job Cards'!$N:$N,A269,'Job Cards'!$G:$G,"Released")*H269</f>
        <v/>
      </c>
      <c r="J269">
        <f>SUMIFS('Job Cards'!$E:$E,'Job Cards'!$N:$N,A269,'Job Cards'!$G:$G,"Draft")*H269</f>
        <v/>
      </c>
      <c r="K269">
        <f>I269+J269</f>
        <v/>
      </c>
      <c r="L269">
        <f>MAX(0,G269-K269)</f>
        <v/>
      </c>
      <c r="M269" s="253">
        <f>IF(G269=0,0,K269/G269)</f>
        <v/>
      </c>
      <c r="N269">
        <f>IF(K269&gt;G269,"CAPACITY SHORTFALL",IF(M269&gt;=0.85,"WATCH","OK"))</f>
        <v/>
      </c>
    </row>
    <row r="270">
      <c r="A270" t="n">
        <v>15</v>
      </c>
      <c r="B270" s="247">
        <f>INDEX('Monthly Funding'!$B$6:$B$41,A270)</f>
        <v/>
      </c>
      <c r="C270">
        <f>'Work Centre Master'!A11</f>
        <v/>
      </c>
      <c r="D270">
        <f>'Work Centre Master'!B11</f>
        <v/>
      </c>
      <c r="E270">
        <f>'Work Centre Master'!E11</f>
        <v/>
      </c>
      <c r="F270" s="253">
        <f>'Work Centre Master'!F11</f>
        <v/>
      </c>
      <c r="G270">
        <f>E270*F270</f>
        <v/>
      </c>
      <c r="H270">
        <f>'Work Centre Master'!G11</f>
        <v/>
      </c>
      <c r="I270">
        <f>SUMIFS('Job Cards'!$E:$E,'Job Cards'!$N:$N,A270,'Job Cards'!$G:$G,"Released")*H270</f>
        <v/>
      </c>
      <c r="J270">
        <f>SUMIFS('Job Cards'!$E:$E,'Job Cards'!$N:$N,A270,'Job Cards'!$G:$G,"Draft")*H270</f>
        <v/>
      </c>
      <c r="K270">
        <f>I270+J270</f>
        <v/>
      </c>
      <c r="L270">
        <f>MAX(0,G270-K270)</f>
        <v/>
      </c>
      <c r="M270" s="253">
        <f>IF(G270=0,0,K270/G270)</f>
        <v/>
      </c>
      <c r="N270">
        <f>IF(K270&gt;G270,"CAPACITY SHORTFALL",IF(M270&gt;=0.85,"WATCH","OK"))</f>
        <v/>
      </c>
    </row>
    <row r="271">
      <c r="A271" t="n">
        <v>16</v>
      </c>
      <c r="B271" s="247">
        <f>INDEX('Monthly Funding'!$B$6:$B$41,A271)</f>
        <v/>
      </c>
      <c r="C271">
        <f>'Work Centre Master'!A11</f>
        <v/>
      </c>
      <c r="D271">
        <f>'Work Centre Master'!B11</f>
        <v/>
      </c>
      <c r="E271">
        <f>'Work Centre Master'!E11</f>
        <v/>
      </c>
      <c r="F271" s="253">
        <f>'Work Centre Master'!F11</f>
        <v/>
      </c>
      <c r="G271">
        <f>E271*F271</f>
        <v/>
      </c>
      <c r="H271">
        <f>'Work Centre Master'!G11</f>
        <v/>
      </c>
      <c r="I271">
        <f>SUMIFS('Job Cards'!$E:$E,'Job Cards'!$N:$N,A271,'Job Cards'!$G:$G,"Released")*H271</f>
        <v/>
      </c>
      <c r="J271">
        <f>SUMIFS('Job Cards'!$E:$E,'Job Cards'!$N:$N,A271,'Job Cards'!$G:$G,"Draft")*H271</f>
        <v/>
      </c>
      <c r="K271">
        <f>I271+J271</f>
        <v/>
      </c>
      <c r="L271">
        <f>MAX(0,G271-K271)</f>
        <v/>
      </c>
      <c r="M271" s="253">
        <f>IF(G271=0,0,K271/G271)</f>
        <v/>
      </c>
      <c r="N271">
        <f>IF(K271&gt;G271,"CAPACITY SHORTFALL",IF(M271&gt;=0.85,"WATCH","OK"))</f>
        <v/>
      </c>
    </row>
    <row r="272">
      <c r="A272" t="n">
        <v>17</v>
      </c>
      <c r="B272" s="247">
        <f>INDEX('Monthly Funding'!$B$6:$B$41,A272)</f>
        <v/>
      </c>
      <c r="C272">
        <f>'Work Centre Master'!A11</f>
        <v/>
      </c>
      <c r="D272">
        <f>'Work Centre Master'!B11</f>
        <v/>
      </c>
      <c r="E272">
        <f>'Work Centre Master'!E11</f>
        <v/>
      </c>
      <c r="F272" s="253">
        <f>'Work Centre Master'!F11</f>
        <v/>
      </c>
      <c r="G272">
        <f>E272*F272</f>
        <v/>
      </c>
      <c r="H272">
        <f>'Work Centre Master'!G11</f>
        <v/>
      </c>
      <c r="I272">
        <f>SUMIFS('Job Cards'!$E:$E,'Job Cards'!$N:$N,A272,'Job Cards'!$G:$G,"Released")*H272</f>
        <v/>
      </c>
      <c r="J272">
        <f>SUMIFS('Job Cards'!$E:$E,'Job Cards'!$N:$N,A272,'Job Cards'!$G:$G,"Draft")*H272</f>
        <v/>
      </c>
      <c r="K272">
        <f>I272+J272</f>
        <v/>
      </c>
      <c r="L272">
        <f>MAX(0,G272-K272)</f>
        <v/>
      </c>
      <c r="M272" s="253">
        <f>IF(G272=0,0,K272/G272)</f>
        <v/>
      </c>
      <c r="N272">
        <f>IF(K272&gt;G272,"CAPACITY SHORTFALL",IF(M272&gt;=0.85,"WATCH","OK"))</f>
        <v/>
      </c>
    </row>
    <row r="273">
      <c r="A273" t="n">
        <v>18</v>
      </c>
      <c r="B273" s="247">
        <f>INDEX('Monthly Funding'!$B$6:$B$41,A273)</f>
        <v/>
      </c>
      <c r="C273">
        <f>'Work Centre Master'!A11</f>
        <v/>
      </c>
      <c r="D273">
        <f>'Work Centre Master'!B11</f>
        <v/>
      </c>
      <c r="E273">
        <f>'Work Centre Master'!E11</f>
        <v/>
      </c>
      <c r="F273" s="253">
        <f>'Work Centre Master'!F11</f>
        <v/>
      </c>
      <c r="G273">
        <f>E273*F273</f>
        <v/>
      </c>
      <c r="H273">
        <f>'Work Centre Master'!G11</f>
        <v/>
      </c>
      <c r="I273">
        <f>SUMIFS('Job Cards'!$E:$E,'Job Cards'!$N:$N,A273,'Job Cards'!$G:$G,"Released")*H273</f>
        <v/>
      </c>
      <c r="J273">
        <f>SUMIFS('Job Cards'!$E:$E,'Job Cards'!$N:$N,A273,'Job Cards'!$G:$G,"Draft")*H273</f>
        <v/>
      </c>
      <c r="K273">
        <f>I273+J273</f>
        <v/>
      </c>
      <c r="L273">
        <f>MAX(0,G273-K273)</f>
        <v/>
      </c>
      <c r="M273" s="253">
        <f>IF(G273=0,0,K273/G273)</f>
        <v/>
      </c>
      <c r="N273">
        <f>IF(K273&gt;G273,"CAPACITY SHORTFALL",IF(M273&gt;=0.85,"WATCH","OK"))</f>
        <v/>
      </c>
    </row>
    <row r="274">
      <c r="A274" t="n">
        <v>19</v>
      </c>
      <c r="B274" s="247">
        <f>INDEX('Monthly Funding'!$B$6:$B$41,A274)</f>
        <v/>
      </c>
      <c r="C274">
        <f>'Work Centre Master'!A11</f>
        <v/>
      </c>
      <c r="D274">
        <f>'Work Centre Master'!B11</f>
        <v/>
      </c>
      <c r="E274">
        <f>'Work Centre Master'!E11</f>
        <v/>
      </c>
      <c r="F274" s="253">
        <f>'Work Centre Master'!F11</f>
        <v/>
      </c>
      <c r="G274">
        <f>E274*F274</f>
        <v/>
      </c>
      <c r="H274">
        <f>'Work Centre Master'!G11</f>
        <v/>
      </c>
      <c r="I274">
        <f>SUMIFS('Job Cards'!$E:$E,'Job Cards'!$N:$N,A274,'Job Cards'!$G:$G,"Released")*H274</f>
        <v/>
      </c>
      <c r="J274">
        <f>SUMIFS('Job Cards'!$E:$E,'Job Cards'!$N:$N,A274,'Job Cards'!$G:$G,"Draft")*H274</f>
        <v/>
      </c>
      <c r="K274">
        <f>I274+J274</f>
        <v/>
      </c>
      <c r="L274">
        <f>MAX(0,G274-K274)</f>
        <v/>
      </c>
      <c r="M274" s="253">
        <f>IF(G274=0,0,K274/G274)</f>
        <v/>
      </c>
      <c r="N274">
        <f>IF(K274&gt;G274,"CAPACITY SHORTFALL",IF(M274&gt;=0.85,"WATCH","OK"))</f>
        <v/>
      </c>
    </row>
    <row r="275">
      <c r="A275" t="n">
        <v>20</v>
      </c>
      <c r="B275" s="247">
        <f>INDEX('Monthly Funding'!$B$6:$B$41,A275)</f>
        <v/>
      </c>
      <c r="C275">
        <f>'Work Centre Master'!A11</f>
        <v/>
      </c>
      <c r="D275">
        <f>'Work Centre Master'!B11</f>
        <v/>
      </c>
      <c r="E275">
        <f>'Work Centre Master'!E11</f>
        <v/>
      </c>
      <c r="F275" s="253">
        <f>'Work Centre Master'!F11</f>
        <v/>
      </c>
      <c r="G275">
        <f>E275*F275</f>
        <v/>
      </c>
      <c r="H275">
        <f>'Work Centre Master'!G11</f>
        <v/>
      </c>
      <c r="I275">
        <f>SUMIFS('Job Cards'!$E:$E,'Job Cards'!$N:$N,A275,'Job Cards'!$G:$G,"Released")*H275</f>
        <v/>
      </c>
      <c r="J275">
        <f>SUMIFS('Job Cards'!$E:$E,'Job Cards'!$N:$N,A275,'Job Cards'!$G:$G,"Draft")*H275</f>
        <v/>
      </c>
      <c r="K275">
        <f>I275+J275</f>
        <v/>
      </c>
      <c r="L275">
        <f>MAX(0,G275-K275)</f>
        <v/>
      </c>
      <c r="M275" s="253">
        <f>IF(G275=0,0,K275/G275)</f>
        <v/>
      </c>
      <c r="N275">
        <f>IF(K275&gt;G275,"CAPACITY SHORTFALL",IF(M275&gt;=0.85,"WATCH","OK"))</f>
        <v/>
      </c>
    </row>
    <row r="276">
      <c r="A276" t="n">
        <v>21</v>
      </c>
      <c r="B276" s="247">
        <f>INDEX('Monthly Funding'!$B$6:$B$41,A276)</f>
        <v/>
      </c>
      <c r="C276">
        <f>'Work Centre Master'!A11</f>
        <v/>
      </c>
      <c r="D276">
        <f>'Work Centre Master'!B11</f>
        <v/>
      </c>
      <c r="E276">
        <f>'Work Centre Master'!E11</f>
        <v/>
      </c>
      <c r="F276" s="253">
        <f>'Work Centre Master'!F11</f>
        <v/>
      </c>
      <c r="G276">
        <f>E276*F276</f>
        <v/>
      </c>
      <c r="H276">
        <f>'Work Centre Master'!G11</f>
        <v/>
      </c>
      <c r="I276">
        <f>SUMIFS('Job Cards'!$E:$E,'Job Cards'!$N:$N,A276,'Job Cards'!$G:$G,"Released")*H276</f>
        <v/>
      </c>
      <c r="J276">
        <f>SUMIFS('Job Cards'!$E:$E,'Job Cards'!$N:$N,A276,'Job Cards'!$G:$G,"Draft")*H276</f>
        <v/>
      </c>
      <c r="K276">
        <f>I276+J276</f>
        <v/>
      </c>
      <c r="L276">
        <f>MAX(0,G276-K276)</f>
        <v/>
      </c>
      <c r="M276" s="253">
        <f>IF(G276=0,0,K276/G276)</f>
        <v/>
      </c>
      <c r="N276">
        <f>IF(K276&gt;G276,"CAPACITY SHORTFALL",IF(M276&gt;=0.85,"WATCH","OK"))</f>
        <v/>
      </c>
    </row>
    <row r="277">
      <c r="A277" t="n">
        <v>22</v>
      </c>
      <c r="B277" s="247">
        <f>INDEX('Monthly Funding'!$B$6:$B$41,A277)</f>
        <v/>
      </c>
      <c r="C277">
        <f>'Work Centre Master'!A11</f>
        <v/>
      </c>
      <c r="D277">
        <f>'Work Centre Master'!B11</f>
        <v/>
      </c>
      <c r="E277">
        <f>'Work Centre Master'!E11</f>
        <v/>
      </c>
      <c r="F277" s="253">
        <f>'Work Centre Master'!F11</f>
        <v/>
      </c>
      <c r="G277">
        <f>E277*F277</f>
        <v/>
      </c>
      <c r="H277">
        <f>'Work Centre Master'!G11</f>
        <v/>
      </c>
      <c r="I277">
        <f>SUMIFS('Job Cards'!$E:$E,'Job Cards'!$N:$N,A277,'Job Cards'!$G:$G,"Released")*H277</f>
        <v/>
      </c>
      <c r="J277">
        <f>SUMIFS('Job Cards'!$E:$E,'Job Cards'!$N:$N,A277,'Job Cards'!$G:$G,"Draft")*H277</f>
        <v/>
      </c>
      <c r="K277">
        <f>I277+J277</f>
        <v/>
      </c>
      <c r="L277">
        <f>MAX(0,G277-K277)</f>
        <v/>
      </c>
      <c r="M277" s="253">
        <f>IF(G277=0,0,K277/G277)</f>
        <v/>
      </c>
      <c r="N277">
        <f>IF(K277&gt;G277,"CAPACITY SHORTFALL",IF(M277&gt;=0.85,"WATCH","OK"))</f>
        <v/>
      </c>
    </row>
    <row r="278">
      <c r="A278" t="n">
        <v>23</v>
      </c>
      <c r="B278" s="247">
        <f>INDEX('Monthly Funding'!$B$6:$B$41,A278)</f>
        <v/>
      </c>
      <c r="C278">
        <f>'Work Centre Master'!A11</f>
        <v/>
      </c>
      <c r="D278">
        <f>'Work Centre Master'!B11</f>
        <v/>
      </c>
      <c r="E278">
        <f>'Work Centre Master'!E11</f>
        <v/>
      </c>
      <c r="F278" s="253">
        <f>'Work Centre Master'!F11</f>
        <v/>
      </c>
      <c r="G278">
        <f>E278*F278</f>
        <v/>
      </c>
      <c r="H278">
        <f>'Work Centre Master'!G11</f>
        <v/>
      </c>
      <c r="I278">
        <f>SUMIFS('Job Cards'!$E:$E,'Job Cards'!$N:$N,A278,'Job Cards'!$G:$G,"Released")*H278</f>
        <v/>
      </c>
      <c r="J278">
        <f>SUMIFS('Job Cards'!$E:$E,'Job Cards'!$N:$N,A278,'Job Cards'!$G:$G,"Draft")*H278</f>
        <v/>
      </c>
      <c r="K278">
        <f>I278+J278</f>
        <v/>
      </c>
      <c r="L278">
        <f>MAX(0,G278-K278)</f>
        <v/>
      </c>
      <c r="M278" s="253">
        <f>IF(G278=0,0,K278/G278)</f>
        <v/>
      </c>
      <c r="N278">
        <f>IF(K278&gt;G278,"CAPACITY SHORTFALL",IF(M278&gt;=0.85,"WATCH","OK"))</f>
        <v/>
      </c>
    </row>
    <row r="279">
      <c r="A279" t="n">
        <v>24</v>
      </c>
      <c r="B279" s="247">
        <f>INDEX('Monthly Funding'!$B$6:$B$41,A279)</f>
        <v/>
      </c>
      <c r="C279">
        <f>'Work Centre Master'!A11</f>
        <v/>
      </c>
      <c r="D279">
        <f>'Work Centre Master'!B11</f>
        <v/>
      </c>
      <c r="E279">
        <f>'Work Centre Master'!E11</f>
        <v/>
      </c>
      <c r="F279" s="253">
        <f>'Work Centre Master'!F11</f>
        <v/>
      </c>
      <c r="G279">
        <f>E279*F279</f>
        <v/>
      </c>
      <c r="H279">
        <f>'Work Centre Master'!G11</f>
        <v/>
      </c>
      <c r="I279">
        <f>SUMIFS('Job Cards'!$E:$E,'Job Cards'!$N:$N,A279,'Job Cards'!$G:$G,"Released")*H279</f>
        <v/>
      </c>
      <c r="J279">
        <f>SUMIFS('Job Cards'!$E:$E,'Job Cards'!$N:$N,A279,'Job Cards'!$G:$G,"Draft")*H279</f>
        <v/>
      </c>
      <c r="K279">
        <f>I279+J279</f>
        <v/>
      </c>
      <c r="L279">
        <f>MAX(0,G279-K279)</f>
        <v/>
      </c>
      <c r="M279" s="253">
        <f>IF(G279=0,0,K279/G279)</f>
        <v/>
      </c>
      <c r="N279">
        <f>IF(K279&gt;G279,"CAPACITY SHORTFALL",IF(M279&gt;=0.85,"WATCH","OK"))</f>
        <v/>
      </c>
    </row>
    <row r="280">
      <c r="A280" t="n">
        <v>25</v>
      </c>
      <c r="B280" s="247">
        <f>INDEX('Monthly Funding'!$B$6:$B$41,A280)</f>
        <v/>
      </c>
      <c r="C280">
        <f>'Work Centre Master'!A11</f>
        <v/>
      </c>
      <c r="D280">
        <f>'Work Centre Master'!B11</f>
        <v/>
      </c>
      <c r="E280">
        <f>'Work Centre Master'!E11</f>
        <v/>
      </c>
      <c r="F280" s="253">
        <f>'Work Centre Master'!F11</f>
        <v/>
      </c>
      <c r="G280">
        <f>E280*F280</f>
        <v/>
      </c>
      <c r="H280">
        <f>'Work Centre Master'!G11</f>
        <v/>
      </c>
      <c r="I280">
        <f>SUMIFS('Job Cards'!$E:$E,'Job Cards'!$N:$N,A280,'Job Cards'!$G:$G,"Released")*H280</f>
        <v/>
      </c>
      <c r="J280">
        <f>SUMIFS('Job Cards'!$E:$E,'Job Cards'!$N:$N,A280,'Job Cards'!$G:$G,"Draft")*H280</f>
        <v/>
      </c>
      <c r="K280">
        <f>I280+J280</f>
        <v/>
      </c>
      <c r="L280">
        <f>MAX(0,G280-K280)</f>
        <v/>
      </c>
      <c r="M280" s="253">
        <f>IF(G280=0,0,K280/G280)</f>
        <v/>
      </c>
      <c r="N280">
        <f>IF(K280&gt;G280,"CAPACITY SHORTFALL",IF(M280&gt;=0.85,"WATCH","OK"))</f>
        <v/>
      </c>
    </row>
    <row r="281">
      <c r="A281" t="n">
        <v>26</v>
      </c>
      <c r="B281" s="247">
        <f>INDEX('Monthly Funding'!$B$6:$B$41,A281)</f>
        <v/>
      </c>
      <c r="C281">
        <f>'Work Centre Master'!A11</f>
        <v/>
      </c>
      <c r="D281">
        <f>'Work Centre Master'!B11</f>
        <v/>
      </c>
      <c r="E281">
        <f>'Work Centre Master'!E11</f>
        <v/>
      </c>
      <c r="F281" s="253">
        <f>'Work Centre Master'!F11</f>
        <v/>
      </c>
      <c r="G281">
        <f>E281*F281</f>
        <v/>
      </c>
      <c r="H281">
        <f>'Work Centre Master'!G11</f>
        <v/>
      </c>
      <c r="I281">
        <f>SUMIFS('Job Cards'!$E:$E,'Job Cards'!$N:$N,A281,'Job Cards'!$G:$G,"Released")*H281</f>
        <v/>
      </c>
      <c r="J281">
        <f>SUMIFS('Job Cards'!$E:$E,'Job Cards'!$N:$N,A281,'Job Cards'!$G:$G,"Draft")*H281</f>
        <v/>
      </c>
      <c r="K281">
        <f>I281+J281</f>
        <v/>
      </c>
      <c r="L281">
        <f>MAX(0,G281-K281)</f>
        <v/>
      </c>
      <c r="M281" s="253">
        <f>IF(G281=0,0,K281/G281)</f>
        <v/>
      </c>
      <c r="N281">
        <f>IF(K281&gt;G281,"CAPACITY SHORTFALL",IF(M281&gt;=0.85,"WATCH","OK"))</f>
        <v/>
      </c>
    </row>
    <row r="282">
      <c r="A282" t="n">
        <v>27</v>
      </c>
      <c r="B282" s="247">
        <f>INDEX('Monthly Funding'!$B$6:$B$41,A282)</f>
        <v/>
      </c>
      <c r="C282">
        <f>'Work Centre Master'!A11</f>
        <v/>
      </c>
      <c r="D282">
        <f>'Work Centre Master'!B11</f>
        <v/>
      </c>
      <c r="E282">
        <f>'Work Centre Master'!E11</f>
        <v/>
      </c>
      <c r="F282" s="253">
        <f>'Work Centre Master'!F11</f>
        <v/>
      </c>
      <c r="G282">
        <f>E282*F282</f>
        <v/>
      </c>
      <c r="H282">
        <f>'Work Centre Master'!G11</f>
        <v/>
      </c>
      <c r="I282">
        <f>SUMIFS('Job Cards'!$E:$E,'Job Cards'!$N:$N,A282,'Job Cards'!$G:$G,"Released")*H282</f>
        <v/>
      </c>
      <c r="J282">
        <f>SUMIFS('Job Cards'!$E:$E,'Job Cards'!$N:$N,A282,'Job Cards'!$G:$G,"Draft")*H282</f>
        <v/>
      </c>
      <c r="K282">
        <f>I282+J282</f>
        <v/>
      </c>
      <c r="L282">
        <f>MAX(0,G282-K282)</f>
        <v/>
      </c>
      <c r="M282" s="253">
        <f>IF(G282=0,0,K282/G282)</f>
        <v/>
      </c>
      <c r="N282">
        <f>IF(K282&gt;G282,"CAPACITY SHORTFALL",IF(M282&gt;=0.85,"WATCH","OK"))</f>
        <v/>
      </c>
    </row>
    <row r="283">
      <c r="A283" t="n">
        <v>28</v>
      </c>
      <c r="B283" s="247">
        <f>INDEX('Monthly Funding'!$B$6:$B$41,A283)</f>
        <v/>
      </c>
      <c r="C283">
        <f>'Work Centre Master'!A11</f>
        <v/>
      </c>
      <c r="D283">
        <f>'Work Centre Master'!B11</f>
        <v/>
      </c>
      <c r="E283">
        <f>'Work Centre Master'!E11</f>
        <v/>
      </c>
      <c r="F283" s="253">
        <f>'Work Centre Master'!F11</f>
        <v/>
      </c>
      <c r="G283">
        <f>E283*F283</f>
        <v/>
      </c>
      <c r="H283">
        <f>'Work Centre Master'!G11</f>
        <v/>
      </c>
      <c r="I283">
        <f>SUMIFS('Job Cards'!$E:$E,'Job Cards'!$N:$N,A283,'Job Cards'!$G:$G,"Released")*H283</f>
        <v/>
      </c>
      <c r="J283">
        <f>SUMIFS('Job Cards'!$E:$E,'Job Cards'!$N:$N,A283,'Job Cards'!$G:$G,"Draft")*H283</f>
        <v/>
      </c>
      <c r="K283">
        <f>I283+J283</f>
        <v/>
      </c>
      <c r="L283">
        <f>MAX(0,G283-K283)</f>
        <v/>
      </c>
      <c r="M283" s="253">
        <f>IF(G283=0,0,K283/G283)</f>
        <v/>
      </c>
      <c r="N283">
        <f>IF(K283&gt;G283,"CAPACITY SHORTFALL",IF(M283&gt;=0.85,"WATCH","OK"))</f>
        <v/>
      </c>
    </row>
    <row r="284">
      <c r="A284" t="n">
        <v>29</v>
      </c>
      <c r="B284" s="247">
        <f>INDEX('Monthly Funding'!$B$6:$B$41,A284)</f>
        <v/>
      </c>
      <c r="C284">
        <f>'Work Centre Master'!A11</f>
        <v/>
      </c>
      <c r="D284">
        <f>'Work Centre Master'!B11</f>
        <v/>
      </c>
      <c r="E284">
        <f>'Work Centre Master'!E11</f>
        <v/>
      </c>
      <c r="F284" s="253">
        <f>'Work Centre Master'!F11</f>
        <v/>
      </c>
      <c r="G284">
        <f>E284*F284</f>
        <v/>
      </c>
      <c r="H284">
        <f>'Work Centre Master'!G11</f>
        <v/>
      </c>
      <c r="I284">
        <f>SUMIFS('Job Cards'!$E:$E,'Job Cards'!$N:$N,A284,'Job Cards'!$G:$G,"Released")*H284</f>
        <v/>
      </c>
      <c r="J284">
        <f>SUMIFS('Job Cards'!$E:$E,'Job Cards'!$N:$N,A284,'Job Cards'!$G:$G,"Draft")*H284</f>
        <v/>
      </c>
      <c r="K284">
        <f>I284+J284</f>
        <v/>
      </c>
      <c r="L284">
        <f>MAX(0,G284-K284)</f>
        <v/>
      </c>
      <c r="M284" s="253">
        <f>IF(G284=0,0,K284/G284)</f>
        <v/>
      </c>
      <c r="N284">
        <f>IF(K284&gt;G284,"CAPACITY SHORTFALL",IF(M284&gt;=0.85,"WATCH","OK"))</f>
        <v/>
      </c>
    </row>
    <row r="285">
      <c r="A285" t="n">
        <v>30</v>
      </c>
      <c r="B285" s="247">
        <f>INDEX('Monthly Funding'!$B$6:$B$41,A285)</f>
        <v/>
      </c>
      <c r="C285">
        <f>'Work Centre Master'!A11</f>
        <v/>
      </c>
      <c r="D285">
        <f>'Work Centre Master'!B11</f>
        <v/>
      </c>
      <c r="E285">
        <f>'Work Centre Master'!E11</f>
        <v/>
      </c>
      <c r="F285" s="253">
        <f>'Work Centre Master'!F11</f>
        <v/>
      </c>
      <c r="G285">
        <f>E285*F285</f>
        <v/>
      </c>
      <c r="H285">
        <f>'Work Centre Master'!G11</f>
        <v/>
      </c>
      <c r="I285">
        <f>SUMIFS('Job Cards'!$E:$E,'Job Cards'!$N:$N,A285,'Job Cards'!$G:$G,"Released")*H285</f>
        <v/>
      </c>
      <c r="J285">
        <f>SUMIFS('Job Cards'!$E:$E,'Job Cards'!$N:$N,A285,'Job Cards'!$G:$G,"Draft")*H285</f>
        <v/>
      </c>
      <c r="K285">
        <f>I285+J285</f>
        <v/>
      </c>
      <c r="L285">
        <f>MAX(0,G285-K285)</f>
        <v/>
      </c>
      <c r="M285" s="253">
        <f>IF(G285=0,0,K285/G285)</f>
        <v/>
      </c>
      <c r="N285">
        <f>IF(K285&gt;G285,"CAPACITY SHORTFALL",IF(M285&gt;=0.85,"WATCH","OK"))</f>
        <v/>
      </c>
    </row>
    <row r="286">
      <c r="A286" t="n">
        <v>31</v>
      </c>
      <c r="B286" s="247">
        <f>INDEX('Monthly Funding'!$B$6:$B$41,A286)</f>
        <v/>
      </c>
      <c r="C286">
        <f>'Work Centre Master'!A11</f>
        <v/>
      </c>
      <c r="D286">
        <f>'Work Centre Master'!B11</f>
        <v/>
      </c>
      <c r="E286">
        <f>'Work Centre Master'!E11</f>
        <v/>
      </c>
      <c r="F286" s="253">
        <f>'Work Centre Master'!F11</f>
        <v/>
      </c>
      <c r="G286">
        <f>E286*F286</f>
        <v/>
      </c>
      <c r="H286">
        <f>'Work Centre Master'!G11</f>
        <v/>
      </c>
      <c r="I286">
        <f>SUMIFS('Job Cards'!$E:$E,'Job Cards'!$N:$N,A286,'Job Cards'!$G:$G,"Released")*H286</f>
        <v/>
      </c>
      <c r="J286">
        <f>SUMIFS('Job Cards'!$E:$E,'Job Cards'!$N:$N,A286,'Job Cards'!$G:$G,"Draft")*H286</f>
        <v/>
      </c>
      <c r="K286">
        <f>I286+J286</f>
        <v/>
      </c>
      <c r="L286">
        <f>MAX(0,G286-K286)</f>
        <v/>
      </c>
      <c r="M286" s="253">
        <f>IF(G286=0,0,K286/G286)</f>
        <v/>
      </c>
      <c r="N286">
        <f>IF(K286&gt;G286,"CAPACITY SHORTFALL",IF(M286&gt;=0.85,"WATCH","OK"))</f>
        <v/>
      </c>
    </row>
    <row r="287">
      <c r="A287" t="n">
        <v>32</v>
      </c>
      <c r="B287" s="247">
        <f>INDEX('Monthly Funding'!$B$6:$B$41,A287)</f>
        <v/>
      </c>
      <c r="C287">
        <f>'Work Centre Master'!A11</f>
        <v/>
      </c>
      <c r="D287">
        <f>'Work Centre Master'!B11</f>
        <v/>
      </c>
      <c r="E287">
        <f>'Work Centre Master'!E11</f>
        <v/>
      </c>
      <c r="F287" s="253">
        <f>'Work Centre Master'!F11</f>
        <v/>
      </c>
      <c r="G287">
        <f>E287*F287</f>
        <v/>
      </c>
      <c r="H287">
        <f>'Work Centre Master'!G11</f>
        <v/>
      </c>
      <c r="I287">
        <f>SUMIFS('Job Cards'!$E:$E,'Job Cards'!$N:$N,A287,'Job Cards'!$G:$G,"Released")*H287</f>
        <v/>
      </c>
      <c r="J287">
        <f>SUMIFS('Job Cards'!$E:$E,'Job Cards'!$N:$N,A287,'Job Cards'!$G:$G,"Draft")*H287</f>
        <v/>
      </c>
      <c r="K287">
        <f>I287+J287</f>
        <v/>
      </c>
      <c r="L287">
        <f>MAX(0,G287-K287)</f>
        <v/>
      </c>
      <c r="M287" s="253">
        <f>IF(G287=0,0,K287/G287)</f>
        <v/>
      </c>
      <c r="N287">
        <f>IF(K287&gt;G287,"CAPACITY SHORTFALL",IF(M287&gt;=0.85,"WATCH","OK"))</f>
        <v/>
      </c>
    </row>
    <row r="288">
      <c r="A288" t="n">
        <v>33</v>
      </c>
      <c r="B288" s="247">
        <f>INDEX('Monthly Funding'!$B$6:$B$41,A288)</f>
        <v/>
      </c>
      <c r="C288">
        <f>'Work Centre Master'!A11</f>
        <v/>
      </c>
      <c r="D288">
        <f>'Work Centre Master'!B11</f>
        <v/>
      </c>
      <c r="E288">
        <f>'Work Centre Master'!E11</f>
        <v/>
      </c>
      <c r="F288" s="253">
        <f>'Work Centre Master'!F11</f>
        <v/>
      </c>
      <c r="G288">
        <f>E288*F288</f>
        <v/>
      </c>
      <c r="H288">
        <f>'Work Centre Master'!G11</f>
        <v/>
      </c>
      <c r="I288">
        <f>SUMIFS('Job Cards'!$E:$E,'Job Cards'!$N:$N,A288,'Job Cards'!$G:$G,"Released")*H288</f>
        <v/>
      </c>
      <c r="J288">
        <f>SUMIFS('Job Cards'!$E:$E,'Job Cards'!$N:$N,A288,'Job Cards'!$G:$G,"Draft")*H288</f>
        <v/>
      </c>
      <c r="K288">
        <f>I288+J288</f>
        <v/>
      </c>
      <c r="L288">
        <f>MAX(0,G288-K288)</f>
        <v/>
      </c>
      <c r="M288" s="253">
        <f>IF(G288=0,0,K288/G288)</f>
        <v/>
      </c>
      <c r="N288">
        <f>IF(K288&gt;G288,"CAPACITY SHORTFALL",IF(M288&gt;=0.85,"WATCH","OK"))</f>
        <v/>
      </c>
    </row>
    <row r="289">
      <c r="A289" t="n">
        <v>34</v>
      </c>
      <c r="B289" s="247">
        <f>INDEX('Monthly Funding'!$B$6:$B$41,A289)</f>
        <v/>
      </c>
      <c r="C289">
        <f>'Work Centre Master'!A11</f>
        <v/>
      </c>
      <c r="D289">
        <f>'Work Centre Master'!B11</f>
        <v/>
      </c>
      <c r="E289">
        <f>'Work Centre Master'!E11</f>
        <v/>
      </c>
      <c r="F289" s="253">
        <f>'Work Centre Master'!F11</f>
        <v/>
      </c>
      <c r="G289">
        <f>E289*F289</f>
        <v/>
      </c>
      <c r="H289">
        <f>'Work Centre Master'!G11</f>
        <v/>
      </c>
      <c r="I289">
        <f>SUMIFS('Job Cards'!$E:$E,'Job Cards'!$N:$N,A289,'Job Cards'!$G:$G,"Released")*H289</f>
        <v/>
      </c>
      <c r="J289">
        <f>SUMIFS('Job Cards'!$E:$E,'Job Cards'!$N:$N,A289,'Job Cards'!$G:$G,"Draft")*H289</f>
        <v/>
      </c>
      <c r="K289">
        <f>I289+J289</f>
        <v/>
      </c>
      <c r="L289">
        <f>MAX(0,G289-K289)</f>
        <v/>
      </c>
      <c r="M289" s="253">
        <f>IF(G289=0,0,K289/G289)</f>
        <v/>
      </c>
      <c r="N289">
        <f>IF(K289&gt;G289,"CAPACITY SHORTFALL",IF(M289&gt;=0.85,"WATCH","OK"))</f>
        <v/>
      </c>
    </row>
    <row r="290">
      <c r="A290" t="n">
        <v>35</v>
      </c>
      <c r="B290" s="247">
        <f>INDEX('Monthly Funding'!$B$6:$B$41,A290)</f>
        <v/>
      </c>
      <c r="C290">
        <f>'Work Centre Master'!A11</f>
        <v/>
      </c>
      <c r="D290">
        <f>'Work Centre Master'!B11</f>
        <v/>
      </c>
      <c r="E290">
        <f>'Work Centre Master'!E11</f>
        <v/>
      </c>
      <c r="F290" s="253">
        <f>'Work Centre Master'!F11</f>
        <v/>
      </c>
      <c r="G290">
        <f>E290*F290</f>
        <v/>
      </c>
      <c r="H290">
        <f>'Work Centre Master'!G11</f>
        <v/>
      </c>
      <c r="I290">
        <f>SUMIFS('Job Cards'!$E:$E,'Job Cards'!$N:$N,A290,'Job Cards'!$G:$G,"Released")*H290</f>
        <v/>
      </c>
      <c r="J290">
        <f>SUMIFS('Job Cards'!$E:$E,'Job Cards'!$N:$N,A290,'Job Cards'!$G:$G,"Draft")*H290</f>
        <v/>
      </c>
      <c r="K290">
        <f>I290+J290</f>
        <v/>
      </c>
      <c r="L290">
        <f>MAX(0,G290-K290)</f>
        <v/>
      </c>
      <c r="M290" s="253">
        <f>IF(G290=0,0,K290/G290)</f>
        <v/>
      </c>
      <c r="N290">
        <f>IF(K290&gt;G290,"CAPACITY SHORTFALL",IF(M290&gt;=0.85,"WATCH","OK"))</f>
        <v/>
      </c>
    </row>
    <row r="291">
      <c r="A291" t="n">
        <v>36</v>
      </c>
      <c r="B291" s="247">
        <f>INDEX('Monthly Funding'!$B$6:$B$41,A291)</f>
        <v/>
      </c>
      <c r="C291">
        <f>'Work Centre Master'!A11</f>
        <v/>
      </c>
      <c r="D291">
        <f>'Work Centre Master'!B11</f>
        <v/>
      </c>
      <c r="E291">
        <f>'Work Centre Master'!E11</f>
        <v/>
      </c>
      <c r="F291" s="253">
        <f>'Work Centre Master'!F11</f>
        <v/>
      </c>
      <c r="G291">
        <f>E291*F291</f>
        <v/>
      </c>
      <c r="H291">
        <f>'Work Centre Master'!G11</f>
        <v/>
      </c>
      <c r="I291">
        <f>SUMIFS('Job Cards'!$E:$E,'Job Cards'!$N:$N,A291,'Job Cards'!$G:$G,"Released")*H291</f>
        <v/>
      </c>
      <c r="J291">
        <f>SUMIFS('Job Cards'!$E:$E,'Job Cards'!$N:$N,A291,'Job Cards'!$G:$G,"Draft")*H291</f>
        <v/>
      </c>
      <c r="K291">
        <f>I291+J291</f>
        <v/>
      </c>
      <c r="L291">
        <f>MAX(0,G291-K291)</f>
        <v/>
      </c>
      <c r="M291" s="253">
        <f>IF(G291=0,0,K291/G291)</f>
        <v/>
      </c>
      <c r="N291">
        <f>IF(K291&gt;G291,"CAPACITY SHORTFALL",IF(M291&gt;=0.85,"WATCH","OK"))</f>
        <v/>
      </c>
    </row>
  </sheetData>
  <mergeCells count="2">
    <mergeCell ref="A2:N2"/>
    <mergeCell ref="A1:N1"/>
  </mergeCells>
  <conditionalFormatting sqref="N4:N291">
    <cfRule type="expression" priority="1" dxfId="14">
      <formula>$N4="CAPACITY SHORTFALL"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8" min="1" max="1"/>
    <col width="10" customWidth="1" style="88" min="2" max="2"/>
    <col width="10" customWidth="1" style="88" min="3" max="3"/>
    <col width="10" customWidth="1" style="88" min="4" max="4"/>
    <col width="19" customWidth="1" style="88" min="5" max="5"/>
    <col width="16" customWidth="1" style="88" min="6" max="6"/>
    <col width="21" customWidth="1" style="88" min="7" max="7"/>
    <col width="20" customWidth="1" style="88" min="8" max="8"/>
    <col width="10" customWidth="1" style="88" min="9" max="9"/>
    <col width="10" customWidth="1" style="88" min="10" max="10"/>
    <col width="13" customWidth="1" style="88" min="11" max="11"/>
    <col width="10" customWidth="1" style="88" min="12" max="12"/>
    <col width="10" customWidth="1" style="88" min="13" max="13"/>
    <col width="14" customWidth="1" style="88" min="14" max="14"/>
    <col width="14" customWidth="1" style="88" min="15" max="15"/>
  </cols>
  <sheetData>
    <row r="1">
      <c r="A1" s="249" t="inlineStr">
        <is>
          <t>IBPE Decision Register · recommendation → approval → action → evidence</t>
        </is>
      </c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</row>
    <row r="2">
      <c r="A2" s="250" t="inlineStr">
        <is>
          <t>Material IBPE recommendations remain advisory until an authorized decision converts them into committed operational action.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</row>
    <row r="3">
      <c r="A3" s="231" t="inlineStr">
        <is>
          <t>Decision ID</t>
        </is>
      </c>
      <c r="B3" s="231" t="inlineStr">
        <is>
          <t>Date</t>
        </is>
      </c>
      <c r="C3" s="231" t="inlineStr">
        <is>
          <t>Domain</t>
        </is>
      </c>
      <c r="D3" s="231" t="inlineStr">
        <is>
          <t>Severity</t>
        </is>
      </c>
      <c r="E3" s="231" t="inlineStr">
        <is>
          <t>Trigger / Finding</t>
        </is>
      </c>
      <c r="F3" s="231" t="inlineStr">
        <is>
          <t>Recommendation</t>
        </is>
      </c>
      <c r="G3" s="231" t="inlineStr">
        <is>
          <t>Financial Impact ₹L</t>
        </is>
      </c>
      <c r="H3" s="231" t="inlineStr">
        <is>
          <t>Operational Impact</t>
        </is>
      </c>
      <c r="I3" s="231" t="inlineStr">
        <is>
          <t>Owner</t>
        </is>
      </c>
      <c r="J3" s="231" t="inlineStr">
        <is>
          <t>Decision</t>
        </is>
      </c>
      <c r="K3" s="231" t="inlineStr">
        <is>
          <t>Approved By</t>
        </is>
      </c>
      <c r="L3" s="231" t="inlineStr">
        <is>
          <t>Due Date</t>
        </is>
      </c>
      <c r="M3" s="231" t="inlineStr">
        <is>
          <t>Status</t>
        </is>
      </c>
      <c r="N3" s="231" t="inlineStr">
        <is>
          <t>Evidence Ref</t>
        </is>
      </c>
      <c r="O3" s="231" t="inlineStr">
        <is>
          <t>Closure Note</t>
        </is>
      </c>
    </row>
    <row r="4">
      <c r="A4" s="251" t="n"/>
      <c r="B4" s="251" t="n"/>
      <c r="C4" s="251" t="n"/>
      <c r="D4" s="251" t="n"/>
      <c r="E4" s="251" t="n"/>
      <c r="F4" s="251" t="n"/>
      <c r="G4" s="254" t="n"/>
      <c r="H4" s="251" t="n"/>
      <c r="I4" s="251" t="n"/>
      <c r="J4" s="251" t="n"/>
      <c r="K4" s="251" t="n"/>
      <c r="L4" s="251" t="n"/>
      <c r="M4" s="251" t="n"/>
      <c r="N4" s="251" t="n"/>
      <c r="O4" s="251" t="n"/>
    </row>
    <row r="5">
      <c r="A5" s="251" t="n"/>
      <c r="B5" s="251" t="n"/>
      <c r="C5" s="251" t="n"/>
      <c r="D5" s="251" t="n"/>
      <c r="E5" s="251" t="n"/>
      <c r="F5" s="251" t="n"/>
      <c r="G5" s="254" t="n"/>
      <c r="H5" s="251" t="n"/>
      <c r="I5" s="251" t="n"/>
      <c r="J5" s="251" t="n"/>
      <c r="K5" s="251" t="n"/>
      <c r="L5" s="251" t="n"/>
      <c r="M5" s="251" t="n"/>
      <c r="N5" s="251" t="n"/>
      <c r="O5" s="251" t="n"/>
    </row>
    <row r="6">
      <c r="A6" s="251" t="n"/>
      <c r="B6" s="251" t="n"/>
      <c r="C6" s="251" t="n"/>
      <c r="D6" s="251" t="n"/>
      <c r="E6" s="251" t="n"/>
      <c r="F6" s="251" t="n"/>
      <c r="G6" s="254" t="n"/>
      <c r="H6" s="251" t="n"/>
      <c r="I6" s="251" t="n"/>
      <c r="J6" s="251" t="n"/>
      <c r="K6" s="251" t="n"/>
      <c r="L6" s="251" t="n"/>
      <c r="M6" s="251" t="n"/>
      <c r="N6" s="251" t="n"/>
      <c r="O6" s="251" t="n"/>
    </row>
    <row r="7">
      <c r="A7" s="251" t="n"/>
      <c r="B7" s="251" t="n"/>
      <c r="C7" s="251" t="n"/>
      <c r="D7" s="251" t="n"/>
      <c r="E7" s="251" t="n"/>
      <c r="F7" s="251" t="n"/>
      <c r="G7" s="254" t="n"/>
      <c r="H7" s="251" t="n"/>
      <c r="I7" s="251" t="n"/>
      <c r="J7" s="251" t="n"/>
      <c r="K7" s="251" t="n"/>
      <c r="L7" s="251" t="n"/>
      <c r="M7" s="251" t="n"/>
      <c r="N7" s="251" t="n"/>
      <c r="O7" s="251" t="n"/>
    </row>
    <row r="8">
      <c r="A8" s="251" t="n"/>
      <c r="B8" s="251" t="n"/>
      <c r="C8" s="251" t="n"/>
      <c r="D8" s="251" t="n"/>
      <c r="E8" s="251" t="n"/>
      <c r="F8" s="251" t="n"/>
      <c r="G8" s="254" t="n"/>
      <c r="H8" s="251" t="n"/>
      <c r="I8" s="251" t="n"/>
      <c r="J8" s="251" t="n"/>
      <c r="K8" s="251" t="n"/>
      <c r="L8" s="251" t="n"/>
      <c r="M8" s="251" t="n"/>
      <c r="N8" s="251" t="n"/>
      <c r="O8" s="251" t="n"/>
    </row>
    <row r="9">
      <c r="A9" s="251" t="n"/>
      <c r="B9" s="251" t="n"/>
      <c r="C9" s="251" t="n"/>
      <c r="D9" s="251" t="n"/>
      <c r="E9" s="251" t="n"/>
      <c r="F9" s="251" t="n"/>
      <c r="G9" s="254" t="n"/>
      <c r="H9" s="251" t="n"/>
      <c r="I9" s="251" t="n"/>
      <c r="J9" s="251" t="n"/>
      <c r="K9" s="251" t="n"/>
      <c r="L9" s="251" t="n"/>
      <c r="M9" s="251" t="n"/>
      <c r="N9" s="251" t="n"/>
      <c r="O9" s="251" t="n"/>
    </row>
    <row r="10">
      <c r="A10" s="251" t="n"/>
      <c r="B10" s="251" t="n"/>
      <c r="C10" s="251" t="n"/>
      <c r="D10" s="251" t="n"/>
      <c r="E10" s="251" t="n"/>
      <c r="F10" s="251" t="n"/>
      <c r="G10" s="254" t="n"/>
      <c r="H10" s="251" t="n"/>
      <c r="I10" s="251" t="n"/>
      <c r="J10" s="251" t="n"/>
      <c r="K10" s="251" t="n"/>
      <c r="L10" s="251" t="n"/>
      <c r="M10" s="251" t="n"/>
      <c r="N10" s="251" t="n"/>
      <c r="O10" s="251" t="n"/>
    </row>
    <row r="11">
      <c r="A11" s="251" t="n"/>
      <c r="B11" s="251" t="n"/>
      <c r="C11" s="251" t="n"/>
      <c r="D11" s="251" t="n"/>
      <c r="E11" s="251" t="n"/>
      <c r="F11" s="251" t="n"/>
      <c r="G11" s="254" t="n"/>
      <c r="H11" s="251" t="n"/>
      <c r="I11" s="251" t="n"/>
      <c r="J11" s="251" t="n"/>
      <c r="K11" s="251" t="n"/>
      <c r="L11" s="251" t="n"/>
      <c r="M11" s="251" t="n"/>
      <c r="N11" s="251" t="n"/>
      <c r="O11" s="251" t="n"/>
    </row>
    <row r="12">
      <c r="A12" s="251" t="n"/>
      <c r="B12" s="251" t="n"/>
      <c r="C12" s="251" t="n"/>
      <c r="D12" s="251" t="n"/>
      <c r="E12" s="251" t="n"/>
      <c r="F12" s="251" t="n"/>
      <c r="G12" s="254" t="n"/>
      <c r="H12" s="251" t="n"/>
      <c r="I12" s="251" t="n"/>
      <c r="J12" s="251" t="n"/>
      <c r="K12" s="251" t="n"/>
      <c r="L12" s="251" t="n"/>
      <c r="M12" s="251" t="n"/>
      <c r="N12" s="251" t="n"/>
      <c r="O12" s="251" t="n"/>
    </row>
    <row r="13">
      <c r="A13" s="251" t="n"/>
      <c r="B13" s="251" t="n"/>
      <c r="C13" s="251" t="n"/>
      <c r="D13" s="251" t="n"/>
      <c r="E13" s="251" t="n"/>
      <c r="F13" s="251" t="n"/>
      <c r="G13" s="254" t="n"/>
      <c r="H13" s="251" t="n"/>
      <c r="I13" s="251" t="n"/>
      <c r="J13" s="251" t="n"/>
      <c r="K13" s="251" t="n"/>
      <c r="L13" s="251" t="n"/>
      <c r="M13" s="251" t="n"/>
      <c r="N13" s="251" t="n"/>
      <c r="O13" s="251" t="n"/>
    </row>
    <row r="14">
      <c r="A14" s="251" t="n"/>
      <c r="B14" s="251" t="n"/>
      <c r="C14" s="251" t="n"/>
      <c r="D14" s="251" t="n"/>
      <c r="E14" s="251" t="n"/>
      <c r="F14" s="251" t="n"/>
      <c r="G14" s="254" t="n"/>
      <c r="H14" s="251" t="n"/>
      <c r="I14" s="251" t="n"/>
      <c r="J14" s="251" t="n"/>
      <c r="K14" s="251" t="n"/>
      <c r="L14" s="251" t="n"/>
      <c r="M14" s="251" t="n"/>
      <c r="N14" s="251" t="n"/>
      <c r="O14" s="251" t="n"/>
    </row>
    <row r="15">
      <c r="A15" s="251" t="n"/>
      <c r="B15" s="251" t="n"/>
      <c r="C15" s="251" t="n"/>
      <c r="D15" s="251" t="n"/>
      <c r="E15" s="251" t="n"/>
      <c r="F15" s="251" t="n"/>
      <c r="G15" s="254" t="n"/>
      <c r="H15" s="251" t="n"/>
      <c r="I15" s="251" t="n"/>
      <c r="J15" s="251" t="n"/>
      <c r="K15" s="251" t="n"/>
      <c r="L15" s="251" t="n"/>
      <c r="M15" s="251" t="n"/>
      <c r="N15" s="251" t="n"/>
      <c r="O15" s="251" t="n"/>
    </row>
    <row r="16">
      <c r="A16" s="251" t="n"/>
      <c r="B16" s="251" t="n"/>
      <c r="C16" s="251" t="n"/>
      <c r="D16" s="251" t="n"/>
      <c r="E16" s="251" t="n"/>
      <c r="F16" s="251" t="n"/>
      <c r="G16" s="254" t="n"/>
      <c r="H16" s="251" t="n"/>
      <c r="I16" s="251" t="n"/>
      <c r="J16" s="251" t="n"/>
      <c r="K16" s="251" t="n"/>
      <c r="L16" s="251" t="n"/>
      <c r="M16" s="251" t="n"/>
      <c r="N16" s="251" t="n"/>
      <c r="O16" s="251" t="n"/>
    </row>
    <row r="17">
      <c r="A17" s="251" t="n"/>
      <c r="B17" s="251" t="n"/>
      <c r="C17" s="251" t="n"/>
      <c r="D17" s="251" t="n"/>
      <c r="E17" s="251" t="n"/>
      <c r="F17" s="251" t="n"/>
      <c r="G17" s="254" t="n"/>
      <c r="H17" s="251" t="n"/>
      <c r="I17" s="251" t="n"/>
      <c r="J17" s="251" t="n"/>
      <c r="K17" s="251" t="n"/>
      <c r="L17" s="251" t="n"/>
      <c r="M17" s="251" t="n"/>
      <c r="N17" s="251" t="n"/>
      <c r="O17" s="251" t="n"/>
    </row>
    <row r="18">
      <c r="A18" s="251" t="n"/>
      <c r="B18" s="251" t="n"/>
      <c r="C18" s="251" t="n"/>
      <c r="D18" s="251" t="n"/>
      <c r="E18" s="251" t="n"/>
      <c r="F18" s="251" t="n"/>
      <c r="G18" s="254" t="n"/>
      <c r="H18" s="251" t="n"/>
      <c r="I18" s="251" t="n"/>
      <c r="J18" s="251" t="n"/>
      <c r="K18" s="251" t="n"/>
      <c r="L18" s="251" t="n"/>
      <c r="M18" s="251" t="n"/>
      <c r="N18" s="251" t="n"/>
      <c r="O18" s="251" t="n"/>
    </row>
    <row r="19">
      <c r="A19" s="251" t="n"/>
      <c r="B19" s="251" t="n"/>
      <c r="C19" s="251" t="n"/>
      <c r="D19" s="251" t="n"/>
      <c r="E19" s="251" t="n"/>
      <c r="F19" s="251" t="n"/>
      <c r="G19" s="254" t="n"/>
      <c r="H19" s="251" t="n"/>
      <c r="I19" s="251" t="n"/>
      <c r="J19" s="251" t="n"/>
      <c r="K19" s="251" t="n"/>
      <c r="L19" s="251" t="n"/>
      <c r="M19" s="251" t="n"/>
      <c r="N19" s="251" t="n"/>
      <c r="O19" s="251" t="n"/>
    </row>
    <row r="20">
      <c r="A20" s="251" t="n"/>
      <c r="B20" s="251" t="n"/>
      <c r="C20" s="251" t="n"/>
      <c r="D20" s="251" t="n"/>
      <c r="E20" s="251" t="n"/>
      <c r="F20" s="251" t="n"/>
      <c r="G20" s="254" t="n"/>
      <c r="H20" s="251" t="n"/>
      <c r="I20" s="251" t="n"/>
      <c r="J20" s="251" t="n"/>
      <c r="K20" s="251" t="n"/>
      <c r="L20" s="251" t="n"/>
      <c r="M20" s="251" t="n"/>
      <c r="N20" s="251" t="n"/>
      <c r="O20" s="251" t="n"/>
    </row>
    <row r="21">
      <c r="A21" s="251" t="n"/>
      <c r="B21" s="251" t="n"/>
      <c r="C21" s="251" t="n"/>
      <c r="D21" s="251" t="n"/>
      <c r="E21" s="251" t="n"/>
      <c r="F21" s="251" t="n"/>
      <c r="G21" s="254" t="n"/>
      <c r="H21" s="251" t="n"/>
      <c r="I21" s="251" t="n"/>
      <c r="J21" s="251" t="n"/>
      <c r="K21" s="251" t="n"/>
      <c r="L21" s="251" t="n"/>
      <c r="M21" s="251" t="n"/>
      <c r="N21" s="251" t="n"/>
      <c r="O21" s="251" t="n"/>
    </row>
    <row r="22">
      <c r="A22" s="251" t="n"/>
      <c r="B22" s="251" t="n"/>
      <c r="C22" s="251" t="n"/>
      <c r="D22" s="251" t="n"/>
      <c r="E22" s="251" t="n"/>
      <c r="F22" s="251" t="n"/>
      <c r="G22" s="254" t="n"/>
      <c r="H22" s="251" t="n"/>
      <c r="I22" s="251" t="n"/>
      <c r="J22" s="251" t="n"/>
      <c r="K22" s="251" t="n"/>
      <c r="L22" s="251" t="n"/>
      <c r="M22" s="251" t="n"/>
      <c r="N22" s="251" t="n"/>
      <c r="O22" s="251" t="n"/>
    </row>
    <row r="23">
      <c r="A23" s="251" t="n"/>
      <c r="B23" s="251" t="n"/>
      <c r="C23" s="251" t="n"/>
      <c r="D23" s="251" t="n"/>
      <c r="E23" s="251" t="n"/>
      <c r="F23" s="251" t="n"/>
      <c r="G23" s="254" t="n"/>
      <c r="H23" s="251" t="n"/>
      <c r="I23" s="251" t="n"/>
      <c r="J23" s="251" t="n"/>
      <c r="K23" s="251" t="n"/>
      <c r="L23" s="251" t="n"/>
      <c r="M23" s="251" t="n"/>
      <c r="N23" s="251" t="n"/>
      <c r="O23" s="251" t="n"/>
    </row>
    <row r="24">
      <c r="A24" s="251" t="n"/>
      <c r="B24" s="251" t="n"/>
      <c r="C24" s="251" t="n"/>
      <c r="D24" s="251" t="n"/>
      <c r="E24" s="251" t="n"/>
      <c r="F24" s="251" t="n"/>
      <c r="G24" s="254" t="n"/>
      <c r="H24" s="251" t="n"/>
      <c r="I24" s="251" t="n"/>
      <c r="J24" s="251" t="n"/>
      <c r="K24" s="251" t="n"/>
      <c r="L24" s="251" t="n"/>
      <c r="M24" s="251" t="n"/>
      <c r="N24" s="251" t="n"/>
      <c r="O24" s="251" t="n"/>
    </row>
    <row r="25">
      <c r="A25" s="251" t="n"/>
      <c r="B25" s="251" t="n"/>
      <c r="C25" s="251" t="n"/>
      <c r="D25" s="251" t="n"/>
      <c r="E25" s="251" t="n"/>
      <c r="F25" s="251" t="n"/>
      <c r="G25" s="254" t="n"/>
      <c r="H25" s="251" t="n"/>
      <c r="I25" s="251" t="n"/>
      <c r="J25" s="251" t="n"/>
      <c r="K25" s="251" t="n"/>
      <c r="L25" s="251" t="n"/>
      <c r="M25" s="251" t="n"/>
      <c r="N25" s="251" t="n"/>
      <c r="O25" s="251" t="n"/>
    </row>
    <row r="26">
      <c r="A26" s="251" t="n"/>
      <c r="B26" s="251" t="n"/>
      <c r="C26" s="251" t="n"/>
      <c r="D26" s="251" t="n"/>
      <c r="E26" s="251" t="n"/>
      <c r="F26" s="251" t="n"/>
      <c r="G26" s="254" t="n"/>
      <c r="H26" s="251" t="n"/>
      <c r="I26" s="251" t="n"/>
      <c r="J26" s="251" t="n"/>
      <c r="K26" s="251" t="n"/>
      <c r="L26" s="251" t="n"/>
      <c r="M26" s="251" t="n"/>
      <c r="N26" s="251" t="n"/>
      <c r="O26" s="251" t="n"/>
    </row>
    <row r="27">
      <c r="A27" s="251" t="n"/>
      <c r="B27" s="251" t="n"/>
      <c r="C27" s="251" t="n"/>
      <c r="D27" s="251" t="n"/>
      <c r="E27" s="251" t="n"/>
      <c r="F27" s="251" t="n"/>
      <c r="G27" s="254" t="n"/>
      <c r="H27" s="251" t="n"/>
      <c r="I27" s="251" t="n"/>
      <c r="J27" s="251" t="n"/>
      <c r="K27" s="251" t="n"/>
      <c r="L27" s="251" t="n"/>
      <c r="M27" s="251" t="n"/>
      <c r="N27" s="251" t="n"/>
      <c r="O27" s="251" t="n"/>
    </row>
    <row r="28">
      <c r="A28" s="251" t="n"/>
      <c r="B28" s="251" t="n"/>
      <c r="C28" s="251" t="n"/>
      <c r="D28" s="251" t="n"/>
      <c r="E28" s="251" t="n"/>
      <c r="F28" s="251" t="n"/>
      <c r="G28" s="254" t="n"/>
      <c r="H28" s="251" t="n"/>
      <c r="I28" s="251" t="n"/>
      <c r="J28" s="251" t="n"/>
      <c r="K28" s="251" t="n"/>
      <c r="L28" s="251" t="n"/>
      <c r="M28" s="251" t="n"/>
      <c r="N28" s="251" t="n"/>
      <c r="O28" s="251" t="n"/>
    </row>
    <row r="29">
      <c r="A29" s="251" t="n"/>
      <c r="B29" s="251" t="n"/>
      <c r="C29" s="251" t="n"/>
      <c r="D29" s="251" t="n"/>
      <c r="E29" s="251" t="n"/>
      <c r="F29" s="251" t="n"/>
      <c r="G29" s="254" t="n"/>
      <c r="H29" s="251" t="n"/>
      <c r="I29" s="251" t="n"/>
      <c r="J29" s="251" t="n"/>
      <c r="K29" s="251" t="n"/>
      <c r="L29" s="251" t="n"/>
      <c r="M29" s="251" t="n"/>
      <c r="N29" s="251" t="n"/>
      <c r="O29" s="251" t="n"/>
    </row>
    <row r="30">
      <c r="A30" s="251" t="n"/>
      <c r="B30" s="251" t="n"/>
      <c r="C30" s="251" t="n"/>
      <c r="D30" s="251" t="n"/>
      <c r="E30" s="251" t="n"/>
      <c r="F30" s="251" t="n"/>
      <c r="G30" s="254" t="n"/>
      <c r="H30" s="251" t="n"/>
      <c r="I30" s="251" t="n"/>
      <c r="J30" s="251" t="n"/>
      <c r="K30" s="251" t="n"/>
      <c r="L30" s="251" t="n"/>
      <c r="M30" s="251" t="n"/>
      <c r="N30" s="251" t="n"/>
      <c r="O30" s="251" t="n"/>
    </row>
    <row r="31">
      <c r="A31" s="251" t="n"/>
      <c r="B31" s="251" t="n"/>
      <c r="C31" s="251" t="n"/>
      <c r="D31" s="251" t="n"/>
      <c r="E31" s="251" t="n"/>
      <c r="F31" s="251" t="n"/>
      <c r="G31" s="254" t="n"/>
      <c r="H31" s="251" t="n"/>
      <c r="I31" s="251" t="n"/>
      <c r="J31" s="251" t="n"/>
      <c r="K31" s="251" t="n"/>
      <c r="L31" s="251" t="n"/>
      <c r="M31" s="251" t="n"/>
      <c r="N31" s="251" t="n"/>
      <c r="O31" s="251" t="n"/>
    </row>
    <row r="32">
      <c r="A32" s="251" t="n"/>
      <c r="B32" s="251" t="n"/>
      <c r="C32" s="251" t="n"/>
      <c r="D32" s="251" t="n"/>
      <c r="E32" s="251" t="n"/>
      <c r="F32" s="251" t="n"/>
      <c r="G32" s="254" t="n"/>
      <c r="H32" s="251" t="n"/>
      <c r="I32" s="251" t="n"/>
      <c r="J32" s="251" t="n"/>
      <c r="K32" s="251" t="n"/>
      <c r="L32" s="251" t="n"/>
      <c r="M32" s="251" t="n"/>
      <c r="N32" s="251" t="n"/>
      <c r="O32" s="251" t="n"/>
    </row>
    <row r="33">
      <c r="A33" s="251" t="n"/>
      <c r="B33" s="251" t="n"/>
      <c r="C33" s="251" t="n"/>
      <c r="D33" s="251" t="n"/>
      <c r="E33" s="251" t="n"/>
      <c r="F33" s="251" t="n"/>
      <c r="G33" s="254" t="n"/>
      <c r="H33" s="251" t="n"/>
      <c r="I33" s="251" t="n"/>
      <c r="J33" s="251" t="n"/>
      <c r="K33" s="251" t="n"/>
      <c r="L33" s="251" t="n"/>
      <c r="M33" s="251" t="n"/>
      <c r="N33" s="251" t="n"/>
      <c r="O33" s="251" t="n"/>
    </row>
    <row r="34">
      <c r="A34" s="251" t="n"/>
      <c r="B34" s="251" t="n"/>
      <c r="C34" s="251" t="n"/>
      <c r="D34" s="251" t="n"/>
      <c r="E34" s="251" t="n"/>
      <c r="F34" s="251" t="n"/>
      <c r="G34" s="254" t="n"/>
      <c r="H34" s="251" t="n"/>
      <c r="I34" s="251" t="n"/>
      <c r="J34" s="251" t="n"/>
      <c r="K34" s="251" t="n"/>
      <c r="L34" s="251" t="n"/>
      <c r="M34" s="251" t="n"/>
      <c r="N34" s="251" t="n"/>
      <c r="O34" s="251" t="n"/>
    </row>
    <row r="35">
      <c r="A35" s="251" t="n"/>
      <c r="B35" s="251" t="n"/>
      <c r="C35" s="251" t="n"/>
      <c r="D35" s="251" t="n"/>
      <c r="E35" s="251" t="n"/>
      <c r="F35" s="251" t="n"/>
      <c r="G35" s="254" t="n"/>
      <c r="H35" s="251" t="n"/>
      <c r="I35" s="251" t="n"/>
      <c r="J35" s="251" t="n"/>
      <c r="K35" s="251" t="n"/>
      <c r="L35" s="251" t="n"/>
      <c r="M35" s="251" t="n"/>
      <c r="N35" s="251" t="n"/>
      <c r="O35" s="251" t="n"/>
    </row>
    <row r="36">
      <c r="A36" s="251" t="n"/>
      <c r="B36" s="251" t="n"/>
      <c r="C36" s="251" t="n"/>
      <c r="D36" s="251" t="n"/>
      <c r="E36" s="251" t="n"/>
      <c r="F36" s="251" t="n"/>
      <c r="G36" s="254" t="n"/>
      <c r="H36" s="251" t="n"/>
      <c r="I36" s="251" t="n"/>
      <c r="J36" s="251" t="n"/>
      <c r="K36" s="251" t="n"/>
      <c r="L36" s="251" t="n"/>
      <c r="M36" s="251" t="n"/>
      <c r="N36" s="251" t="n"/>
      <c r="O36" s="251" t="n"/>
    </row>
    <row r="37">
      <c r="A37" s="251" t="n"/>
      <c r="B37" s="251" t="n"/>
      <c r="C37" s="251" t="n"/>
      <c r="D37" s="251" t="n"/>
      <c r="E37" s="251" t="n"/>
      <c r="F37" s="251" t="n"/>
      <c r="G37" s="254" t="n"/>
      <c r="H37" s="251" t="n"/>
      <c r="I37" s="251" t="n"/>
      <c r="J37" s="251" t="n"/>
      <c r="K37" s="251" t="n"/>
      <c r="L37" s="251" t="n"/>
      <c r="M37" s="251" t="n"/>
      <c r="N37" s="251" t="n"/>
      <c r="O37" s="251" t="n"/>
    </row>
    <row r="38">
      <c r="A38" s="251" t="n"/>
      <c r="B38" s="251" t="n"/>
      <c r="C38" s="251" t="n"/>
      <c r="D38" s="251" t="n"/>
      <c r="E38" s="251" t="n"/>
      <c r="F38" s="251" t="n"/>
      <c r="G38" s="254" t="n"/>
      <c r="H38" s="251" t="n"/>
      <c r="I38" s="251" t="n"/>
      <c r="J38" s="251" t="n"/>
      <c r="K38" s="251" t="n"/>
      <c r="L38" s="251" t="n"/>
      <c r="M38" s="251" t="n"/>
      <c r="N38" s="251" t="n"/>
      <c r="O38" s="251" t="n"/>
    </row>
    <row r="39">
      <c r="A39" s="251" t="n"/>
      <c r="B39" s="251" t="n"/>
      <c r="C39" s="251" t="n"/>
      <c r="D39" s="251" t="n"/>
      <c r="E39" s="251" t="n"/>
      <c r="F39" s="251" t="n"/>
      <c r="G39" s="254" t="n"/>
      <c r="H39" s="251" t="n"/>
      <c r="I39" s="251" t="n"/>
      <c r="J39" s="251" t="n"/>
      <c r="K39" s="251" t="n"/>
      <c r="L39" s="251" t="n"/>
      <c r="M39" s="251" t="n"/>
      <c r="N39" s="251" t="n"/>
      <c r="O39" s="251" t="n"/>
    </row>
    <row r="40">
      <c r="A40" s="251" t="n"/>
      <c r="B40" s="251" t="n"/>
      <c r="C40" s="251" t="n"/>
      <c r="D40" s="251" t="n"/>
      <c r="E40" s="251" t="n"/>
      <c r="F40" s="251" t="n"/>
      <c r="G40" s="254" t="n"/>
      <c r="H40" s="251" t="n"/>
      <c r="I40" s="251" t="n"/>
      <c r="J40" s="251" t="n"/>
      <c r="K40" s="251" t="n"/>
      <c r="L40" s="251" t="n"/>
      <c r="M40" s="251" t="n"/>
      <c r="N40" s="251" t="n"/>
      <c r="O40" s="251" t="n"/>
    </row>
    <row r="41">
      <c r="A41" s="251" t="n"/>
      <c r="B41" s="251" t="n"/>
      <c r="C41" s="251" t="n"/>
      <c r="D41" s="251" t="n"/>
      <c r="E41" s="251" t="n"/>
      <c r="F41" s="251" t="n"/>
      <c r="G41" s="254" t="n"/>
      <c r="H41" s="251" t="n"/>
      <c r="I41" s="251" t="n"/>
      <c r="J41" s="251" t="n"/>
      <c r="K41" s="251" t="n"/>
      <c r="L41" s="251" t="n"/>
      <c r="M41" s="251" t="n"/>
      <c r="N41" s="251" t="n"/>
      <c r="O41" s="251" t="n"/>
    </row>
    <row r="42">
      <c r="A42" s="251" t="n"/>
      <c r="B42" s="251" t="n"/>
      <c r="C42" s="251" t="n"/>
      <c r="D42" s="251" t="n"/>
      <c r="E42" s="251" t="n"/>
      <c r="F42" s="251" t="n"/>
      <c r="G42" s="254" t="n"/>
      <c r="H42" s="251" t="n"/>
      <c r="I42" s="251" t="n"/>
      <c r="J42" s="251" t="n"/>
      <c r="K42" s="251" t="n"/>
      <c r="L42" s="251" t="n"/>
      <c r="M42" s="251" t="n"/>
      <c r="N42" s="251" t="n"/>
      <c r="O42" s="251" t="n"/>
    </row>
    <row r="43">
      <c r="A43" s="251" t="n"/>
      <c r="B43" s="251" t="n"/>
      <c r="C43" s="251" t="n"/>
      <c r="D43" s="251" t="n"/>
      <c r="E43" s="251" t="n"/>
      <c r="F43" s="251" t="n"/>
      <c r="G43" s="254" t="n"/>
      <c r="H43" s="251" t="n"/>
      <c r="I43" s="251" t="n"/>
      <c r="J43" s="251" t="n"/>
      <c r="K43" s="251" t="n"/>
      <c r="L43" s="251" t="n"/>
      <c r="M43" s="251" t="n"/>
      <c r="N43" s="251" t="n"/>
      <c r="O43" s="251" t="n"/>
    </row>
    <row r="44">
      <c r="A44" s="251" t="n"/>
      <c r="B44" s="251" t="n"/>
      <c r="C44" s="251" t="n"/>
      <c r="D44" s="251" t="n"/>
      <c r="E44" s="251" t="n"/>
      <c r="F44" s="251" t="n"/>
      <c r="G44" s="254" t="n"/>
      <c r="H44" s="251" t="n"/>
      <c r="I44" s="251" t="n"/>
      <c r="J44" s="251" t="n"/>
      <c r="K44" s="251" t="n"/>
      <c r="L44" s="251" t="n"/>
      <c r="M44" s="251" t="n"/>
      <c r="N44" s="251" t="n"/>
      <c r="O44" s="251" t="n"/>
    </row>
    <row r="45">
      <c r="A45" s="251" t="n"/>
      <c r="B45" s="251" t="n"/>
      <c r="C45" s="251" t="n"/>
      <c r="D45" s="251" t="n"/>
      <c r="E45" s="251" t="n"/>
      <c r="F45" s="251" t="n"/>
      <c r="G45" s="254" t="n"/>
      <c r="H45" s="251" t="n"/>
      <c r="I45" s="251" t="n"/>
      <c r="J45" s="251" t="n"/>
      <c r="K45" s="251" t="n"/>
      <c r="L45" s="251" t="n"/>
      <c r="M45" s="251" t="n"/>
      <c r="N45" s="251" t="n"/>
      <c r="O45" s="251" t="n"/>
    </row>
    <row r="46">
      <c r="A46" s="251" t="n"/>
      <c r="B46" s="251" t="n"/>
      <c r="C46" s="251" t="n"/>
      <c r="D46" s="251" t="n"/>
      <c r="E46" s="251" t="n"/>
      <c r="F46" s="251" t="n"/>
      <c r="G46" s="254" t="n"/>
      <c r="H46" s="251" t="n"/>
      <c r="I46" s="251" t="n"/>
      <c r="J46" s="251" t="n"/>
      <c r="K46" s="251" t="n"/>
      <c r="L46" s="251" t="n"/>
      <c r="M46" s="251" t="n"/>
      <c r="N46" s="251" t="n"/>
      <c r="O46" s="251" t="n"/>
    </row>
    <row r="47">
      <c r="A47" s="251" t="n"/>
      <c r="B47" s="251" t="n"/>
      <c r="C47" s="251" t="n"/>
      <c r="D47" s="251" t="n"/>
      <c r="E47" s="251" t="n"/>
      <c r="F47" s="251" t="n"/>
      <c r="G47" s="254" t="n"/>
      <c r="H47" s="251" t="n"/>
      <c r="I47" s="251" t="n"/>
      <c r="J47" s="251" t="n"/>
      <c r="K47" s="251" t="n"/>
      <c r="L47" s="251" t="n"/>
      <c r="M47" s="251" t="n"/>
      <c r="N47" s="251" t="n"/>
      <c r="O47" s="251" t="n"/>
    </row>
    <row r="48">
      <c r="A48" s="251" t="n"/>
      <c r="B48" s="251" t="n"/>
      <c r="C48" s="251" t="n"/>
      <c r="D48" s="251" t="n"/>
      <c r="E48" s="251" t="n"/>
      <c r="F48" s="251" t="n"/>
      <c r="G48" s="254" t="n"/>
      <c r="H48" s="251" t="n"/>
      <c r="I48" s="251" t="n"/>
      <c r="J48" s="251" t="n"/>
      <c r="K48" s="251" t="n"/>
      <c r="L48" s="251" t="n"/>
      <c r="M48" s="251" t="n"/>
      <c r="N48" s="251" t="n"/>
      <c r="O48" s="251" t="n"/>
    </row>
    <row r="49">
      <c r="A49" s="251" t="n"/>
      <c r="B49" s="251" t="n"/>
      <c r="C49" s="251" t="n"/>
      <c r="D49" s="251" t="n"/>
      <c r="E49" s="251" t="n"/>
      <c r="F49" s="251" t="n"/>
      <c r="G49" s="254" t="n"/>
      <c r="H49" s="251" t="n"/>
      <c r="I49" s="251" t="n"/>
      <c r="J49" s="251" t="n"/>
      <c r="K49" s="251" t="n"/>
      <c r="L49" s="251" t="n"/>
      <c r="M49" s="251" t="n"/>
      <c r="N49" s="251" t="n"/>
      <c r="O49" s="251" t="n"/>
    </row>
    <row r="50">
      <c r="A50" s="251" t="n"/>
      <c r="B50" s="251" t="n"/>
      <c r="C50" s="251" t="n"/>
      <c r="D50" s="251" t="n"/>
      <c r="E50" s="251" t="n"/>
      <c r="F50" s="251" t="n"/>
      <c r="G50" s="254" t="n"/>
      <c r="H50" s="251" t="n"/>
      <c r="I50" s="251" t="n"/>
      <c r="J50" s="251" t="n"/>
      <c r="K50" s="251" t="n"/>
      <c r="L50" s="251" t="n"/>
      <c r="M50" s="251" t="n"/>
      <c r="N50" s="251" t="n"/>
      <c r="O50" s="251" t="n"/>
    </row>
    <row r="51">
      <c r="A51" s="251" t="n"/>
      <c r="B51" s="251" t="n"/>
      <c r="C51" s="251" t="n"/>
      <c r="D51" s="251" t="n"/>
      <c r="E51" s="251" t="n"/>
      <c r="F51" s="251" t="n"/>
      <c r="G51" s="254" t="n"/>
      <c r="H51" s="251" t="n"/>
      <c r="I51" s="251" t="n"/>
      <c r="J51" s="251" t="n"/>
      <c r="K51" s="251" t="n"/>
      <c r="L51" s="251" t="n"/>
      <c r="M51" s="251" t="n"/>
      <c r="N51" s="251" t="n"/>
      <c r="O51" s="251" t="n"/>
    </row>
    <row r="52">
      <c r="A52" s="251" t="n"/>
      <c r="B52" s="251" t="n"/>
      <c r="C52" s="251" t="n"/>
      <c r="D52" s="251" t="n"/>
      <c r="E52" s="251" t="n"/>
      <c r="F52" s="251" t="n"/>
      <c r="G52" s="254" t="n"/>
      <c r="H52" s="251" t="n"/>
      <c r="I52" s="251" t="n"/>
      <c r="J52" s="251" t="n"/>
      <c r="K52" s="251" t="n"/>
      <c r="L52" s="251" t="n"/>
      <c r="M52" s="251" t="n"/>
      <c r="N52" s="251" t="n"/>
      <c r="O52" s="251" t="n"/>
    </row>
    <row r="53">
      <c r="A53" s="251" t="n"/>
      <c r="B53" s="251" t="n"/>
      <c r="C53" s="251" t="n"/>
      <c r="D53" s="251" t="n"/>
      <c r="E53" s="251" t="n"/>
      <c r="F53" s="251" t="n"/>
      <c r="G53" s="254" t="n"/>
      <c r="H53" s="251" t="n"/>
      <c r="I53" s="251" t="n"/>
      <c r="J53" s="251" t="n"/>
      <c r="K53" s="251" t="n"/>
      <c r="L53" s="251" t="n"/>
      <c r="M53" s="251" t="n"/>
      <c r="N53" s="251" t="n"/>
      <c r="O53" s="251" t="n"/>
    </row>
  </sheetData>
  <mergeCells count="2">
    <mergeCell ref="A1:O1"/>
    <mergeCell ref="A2:O2"/>
  </mergeCells>
  <dataValidations count="4">
    <dataValidation sqref="C4:C53" showDropDown="0" showInputMessage="0" showErrorMessage="0" allowBlank="1" type="list">
      <formula1>"Planning,Demand,Supply,Inventory,Procurement,Capacity,Finance,Funding,Governance,Quality"</formula1>
    </dataValidation>
    <dataValidation sqref="D4:D53" showDropDown="0" showInputMessage="0" showErrorMessage="0" allowBlank="1" type="list">
      <formula1>"Critical,High,Medium,Low"</formula1>
    </dataValidation>
    <dataValidation sqref="J4:J53" showDropDown="0" showInputMessage="0" showErrorMessage="0" allowBlank="1" type="list">
      <formula1>"Pending,Approved,Rejected,Deferred,Rework"</formula1>
    </dataValidation>
    <dataValidation sqref="M4:M53" showDropDown="0" showInputMessage="0" showErrorMessage="0" allowBlank="1" type="list">
      <formula1>"Open,In Progress,Closed,Cancelled"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2026-09-08T05:26:02Z</dcterms:created>
  <dcterms:modified xmlns:dcterms="http://purl.org/dc/terms/" xmlns:xsi="http://www.w3.org/2001/XMLSchema-instance" xsi:type="dcterms:W3CDTF">2026-09-08T05:26:02Z</dcterms:modified>
</cp:coreProperties>
</file>